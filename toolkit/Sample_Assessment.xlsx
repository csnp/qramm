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<sst xmlns="http://schemas.openxmlformats.org/spreadsheetml/2006/main" count="7010" uniqueCount="1888">
  <si>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</si>
  <si>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</si>
  <si>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</si>
  <si>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</si>
  <si>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</si>
  <si>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</si>
  <si>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</si>
  <si>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</si>
  <si>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</si>
  <si>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</si>
  <si>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 (illustrative values, not survey data)</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</si>
  <si>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</si>
  <si>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</si>
  <si>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</si>
  <si>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</si>
  <si>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</si>
  <si>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</si>
  <si>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</si>
  <si>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</si>
  <si>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</si>
  <si>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</si>
  <si>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</si>
  <si>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</si>
  <si>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</si>
  <si>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</si>
  <si>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</si>
  <si>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</si>
  <si>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</si>
  <si>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</si>
  <si>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</si>
  <si>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</si>
  <si>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</si>
  <si>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</si>
  <si>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</si>
  <si>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</si>
  <si>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</si>
  <si>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</si>
  <si>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</si>
  <si>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</si>
  <si>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</si>
  <si>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</si>
  <si>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</si>
  <si>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</si>
  <si>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</si>
  <si>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</si>
  <si>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</si>
  <si>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</si>
  <si>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</si>
  <si>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</si>
  <si>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</si>
  <si>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</si>
  <si>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</si>
  <si>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</si>
  <si>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</si>
  <si>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</si>
  <si>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</si>
  <si>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</si>
  <si>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</si>
  <si>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</si>
  <si>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</si>
  <si>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</si>
  <si>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</si>
  <si>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</si>
  <si>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</si>
  <si>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</si>
  <si>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</si>
  <si>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</si>
  <si>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</si>
  <si>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</si>
  <si>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</si>
  <si>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</si>
  <si>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</si>
  <si>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</si>
  <si>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</si>
  <si>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</si>
  <si>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</si>
  <si>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</si>
  <si>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</si>
  <si>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</si>
  <si>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</si>
  <si>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</si>
  <si>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</si>
  <si>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</si>
  <si>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</si>
  <si>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</si>
  <si>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</si>
  <si>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</si>
  <si>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</si>
  <si>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</si>
  <si>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</si>
  <si>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</si>
  <si>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</si>
  <si>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</si>
  <si>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</si>
  <si>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</si>
  <si>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</si>
  <si>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</si>
  <si>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</si>
  <si>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</si>
  <si>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</si>
  <si>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</si>
  <si>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</si>
  <si>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</si>
  <si>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</si>
  <si>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</si>
  <si>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</si>
  <si>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</si>
  <si>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</si>
  <si>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</si>
  <si>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</si>
  <si>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</si>
  <si>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</si>
  <si>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</si>
  <si>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</si>
  <si>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</si>
  <si>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</si>
  <si>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</si>
  <si>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</si>
  <si>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</si>
  <si>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</si>
  <si>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</si>
  <si>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</si>
  <si>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</si>
  <si>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</si>
  <si>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</si>
  <si>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</si>
  <si>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</si>
  <si>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</si>
  <si>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</si>
  <si>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</si>
  <si>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</si>
  <si>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</si>
  <si>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</si>
  <si>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</si>
  <si>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</si>
  <si>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</si>
  <si>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</si>
  <si>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</si>
  <si>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</si>
  <si>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</si>
  <si>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</si>
  <si>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</si>
  <si>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</si>
  <si>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</si>
  <si>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</si>
  <si>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</si>
  <si>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</si>
  <si>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</si>
  <si>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</si>
  <si>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</si>
  <si>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</si>
  <si>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</si>
  <si>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</si>
  <si>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</si>
  <si>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</si>
  <si>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</si>
  <si>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</si>
  <si>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</si>
  <si>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</si>
  <si>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</si>
  <si>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</si>
  <si>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</si>
  <si>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</si>
  <si>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</si>
  <si>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</si>
  <si>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</si>
  <si>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</si>
  <si>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</si>
  <si>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</si>
  <si>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</si>
  <si>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</si>
  <si>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</si>
  <si>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</si>
  <si>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</si>
  <si>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</si>
  <si>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</si>
  <si>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</si>
  <si>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</si>
  <si>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</si>
  <si>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</si>
  <si>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</si>
  <si>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</si>
  <si>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</si>
  <si>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</si>
  <si>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</si>
  <si>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</si>
  <si>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</si>
  <si>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</si>
  <si>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</si>
  <si>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</si>
  <si>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</si>
  <si>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</si>
  <si>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</si>
  <si>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</si>
  <si>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</si>
  <si>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</si>
  <si>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</si>
  <si>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</si>
  <si>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</si>
  <si>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</si>
  <si>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</si>
  <si>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</si>
  <si>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</si>
  <si>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</si>
  <si>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</si>
  <si>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</si>
  <si>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</si>
  <si>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</si>
  <si>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</si>
  <si>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</si>
  <si>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</si>
  <si>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</si>
  <si>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</si>
  <si>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</si>
  <si>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</si>
  <si>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</si>
  <si>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</si>
  <si>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</si>
  <si>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</si>
  <si>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</si>
  <si>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</si>
  <si>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</si>
  <si>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</si>
  <si>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</si>
  <si>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</si>
  <si>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</si>
  <si>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</si>
  <si>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</si>
  <si>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</si>
  <si>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</si>
  <si>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</si>
  <si>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</si>
  <si>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</si>
  <si>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</si>
  <si>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</si>
  <si>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</si>
  <si>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</si>
  <si>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</si>
  <si>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</si>
  <si>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</si>
  <si>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</si>
  <si>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</si>
  <si>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</si>
  <si>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</si>
  <si>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</si>
  <si>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</si>
  <si>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</si>
  <si>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</si>
  <si>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</si>
  <si>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</si>
  <si>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</si>
  <si>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</si>
  <si>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</si>
  <si>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</si>
  <si>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</si>
  <si>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</si>
  <si>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</si>
  <si>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</si>
  <si>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</si>
  <si>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</si>
  <si>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</si>
  <si>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</si>
  <si>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</si>
  <si>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</si>
  <si>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</si>
  <si>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</si>
  <si>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</si>
  <si>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</si>
  <si>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</si>
  <si>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</si>
  <si>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</si>
  <si>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</si>
  <si>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</si>
  <si>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</si>
  <si>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</si>
  <si>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</si>
  <si>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</si>
  <si>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</si>
  <si>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</si>
  <si>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</si>
  <si>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</si>
  <si>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</si>
  <si>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</si>
  <si>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</si>
  <si>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</si>
  <si>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</si>
  <si>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</si>
  <si>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</si>
  <si>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</si>
  <si>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</si>
  <si>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</si>
  <si>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</si>
  <si>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</si>
  <si>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</si>
  <si>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</si>
  <si>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</si>
  <si>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</si>
  <si>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</si>
  <si>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</si>
  <si>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</si>
  <si>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</si>
  <si>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</si>
  <si>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</si>
  <si>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</si>
  <si>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</si>
  <si>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</si>
  <si>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</si>
  <si>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</si>
  <si>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</si>
  <si>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</si>
  <si>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</si>
  <si>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</si>
  <si>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</si>
  <si>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</si>
  <si>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</si>
  <si>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</si>
  <si>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</si>
  <si>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</si>
  <si>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</si>
  <si>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</si>
  <si>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</si>
  <si>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</si>
  <si>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</si>
  <si>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</si>
  <si>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</si>
  <si>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</si>
  <si>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</si>
  <si>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</si>
  <si>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</si>
  <si>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</si>
  <si>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</si>
  <si>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</si>
  <si>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</si>
  <si>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</si>
  <si>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</si>
  <si>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</si>
  <si>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</si>
  <si>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</si>
  <si>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</si>
  <si>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</si>
  <si>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</si>
  <si>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</si>
  <si>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</si>
  <si>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</si>
  <si>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</si>
  <si>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</si>
  <si>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</si>
  <si>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</si>
  <si>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</si>
  <si>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</si>
  <si>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</si>
  <si>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</si>
  <si>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</si>
  <si>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</si>
  <si>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</si>
  <si>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</si>
  <si>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</si>
  <si>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</si>
  <si>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</si>
  <si>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</si>
  <si>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</si>
  <si>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</si>
  <si>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</si>
  <si>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</si>
  <si>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</si>
  <si>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</si>
  <si>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</si>
  <si>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</si>
  <si>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</si>
  <si>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</si>
  <si>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</si>
  <si>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</si>
  <si>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</si>
  <si>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</si>
  <si>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</si>
  <si>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</si>
  <si>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</si>
  <si>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</si>
  <si>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</si>
  <si>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</si>
  <si>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</si>
  <si>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</si>
  <si>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</si>
  <si>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</si>
  <si>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</si>
  <si>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</si>
  <si>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</si>
  <si>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</si>
  <si>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</si>
  <si>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</si>
  <si>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</si>
  <si>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</si>
  <si>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</si>
  <si>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</si>
  <si>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</si>
  <si>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</si>
  <si>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</si>
  <si>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</si>
  <si>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</si>
  <si>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</si>
  <si>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</si>
  <si>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</si>
  <si>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</si>
  <si>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</si>
  <si>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</si>
  <si>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</si>
  <si>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</si>
  <si>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</si>
  <si>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</si>
  <si>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</si>
  <si>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</si>
  <si>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</si>
  <si>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</si>
  <si>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</si>
  <si>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</si>
  <si>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</si>
  <si>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</si>
  <si>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</si>
  <si>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</si>
  <si>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</si>
  <si>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</si>
  <si>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</si>
  <si>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</si>
  <si>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</si>
  <si>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</si>
  <si>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</si>
  <si>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</si>
  <si>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</si>
  <si>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</si>
  <si>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</si>
  <si>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</si>
  <si>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</si>
  <si>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</si>
  <si>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</si>
  <si>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</si>
  <si>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</si>
  <si>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</si>
  <si>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</si>
  <si>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</si>
  <si>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</si>
  <si>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</si>
  <si>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</si>
  <si>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</si>
  <si>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</si>
  <si>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</si>
  <si>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</si>
  <si>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</si>
  <si>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</si>
  <si>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</si>
  <si>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</si>
  <si>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</si>
  <si>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</si>
  <si>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</si>
  <si>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</si>
  <si>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</si>
  <si>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</si>
  <si>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</si>
  <si>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</si>
  <si>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</si>
  <si>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</si>
  <si>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</si>
  <si>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</si>
  <si>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</si>
  <si>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</si>
  <si>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</si>
  <si>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</si>
  <si>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</si>
  <si>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</si>
  <si>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</si>
  <si>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</si>
  <si>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</si>
  <si>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</si>
  <si>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</si>
  <si>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</si>
  <si>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</si>
  <si>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</si>
  <si>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</si>
  <si>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</si>
  <si>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</si>
  <si>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</si>
  <si>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</si>
  <si>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</si>
  <si>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</si>
  <si>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</si>
  <si>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</si>
  <si>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</si>
  <si>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</si>
  <si>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</si>
  <si>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</si>
  <si>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</si>
  <si>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</si>
  <si>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</si>
  <si>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</si>
  <si>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</si>
  <si>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</si>
  <si>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</si>
  <si>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</si>
  <si>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</si>
  <si>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</si>
  <si>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</si>
  <si>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</si>
  <si>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</si>
  <si>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</si>
  <si>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</si>
  <si>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</si>
  <si>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</si>
  <si>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</si>
  <si>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</si>
  <si>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</si>
  <si>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</si>
  <si>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</si>
  <si>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</si>
  <si>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</si>
  <si>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</si>
  <si>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</si>
  <si>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</si>
  <si>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</si>
  <si>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</si>
  <si>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</si>
  <si>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</si>
  <si>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</si>
  <si>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</si>
  <si>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</si>
  <si>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</si>
  <si>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</si>
  <si>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</si>
  <si>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</si>
  <si>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</si>
  <si>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</si>
  <si>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</si>
  <si>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</si>
  <si>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</si>
  <si>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</si>
  <si>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</si>
  <si>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</si>
  <si>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</si>
  <si>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</si>
  <si>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</si>
  <si>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</si>
  <si>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</si>
  <si>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</si>
  <si>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</si>
  <si>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</si>
  <si>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</si>
  <si>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</si>
  <si>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</si>
  <si>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</si>
  <si>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</si>
  <si>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</si>
  <si>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</si>
  <si>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</si>
  <si>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</si>
  <si>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</si>
  <si>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</si>
  <si>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</si>
  <si>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</si>
  <si>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</si>
  <si>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</si>
  <si>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</si>
  <si>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</si>
  <si>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</si>
  <si>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</si>
  <si>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</si>
  <si>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</si>
  <si>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</si>
  <si>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</si>
  <si>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</si>
  <si>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</si>
  <si>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</si>
  <si>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</si>
  <si>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</si>
  <si>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</si>
  <si>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</si>
  <si>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</si>
  <si>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</si>
  <si>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</si>
  <si>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</si>
  <si>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</si>
  <si>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</si>
  <si>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</si>
  <si>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</si>
  <si>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</si>
  <si>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</si>
  <si>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</si>
  <si>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</si>
  <si>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</si>
  <si>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</si>
  <si>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</si>
  <si>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</si>
  <si>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</si>
  <si>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</si>
  <si>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</si>
  <si>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</si>
  <si>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</si>
  <si>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</si>
  <si>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</si>
  <si>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</si>
  <si>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</si>
  <si>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</si>
  <si>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</si>
  <si>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</si>
  <si>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</si>
  <si>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</si>
  <si>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</si>
  <si>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</si>
  <si>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</si>
  <si>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</si>
  <si>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</si>
  <si>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</si>
  <si>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</si>
  <si>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</si>
  <si>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</si>
  <si>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</si>
  <si>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</si>
  <si>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</si>
  <si>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</si>
  <si>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</si>
  <si>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</si>
  <si>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</si>
  <si>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</si>
  <si>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</si>
  <si>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</si>
  <si>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</si>
  <si>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</si>
  <si>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</si>
  <si>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</si>
  <si>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</si>
  <si>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</si>
  <si>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</si>
  <si>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</si>
  <si>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</si>
  <si>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</si>
  <si>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</si>
  <si>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</si>
  <si>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</si>
  <si>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</si>
  <si>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</si>
  <si>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</si>
  <si>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</si>
  <si>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</si>
  <si>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</si>
  <si>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</si>
  <si>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</si>
  <si>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</si>
  <si>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</si>
  <si>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</si>
  <si>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</si>
  <si>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</si>
  <si>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</si>
  <si>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</si>
  <si>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</si>
  <si>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</si>
  <si>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</si>
  <si>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</si>
  <si>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</si>
  <si>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</si>
  <si>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</si>
  <si>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</si>
  <si>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</si>
  <si>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</si>
  <si>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</si>
  <si>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</si>
  <si>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</si>
  <si>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</si>
  <si>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</si>
  <si>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</si>
  <si>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</si>
  <si>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</si>
  <si>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</si>
  <si>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</si>
  <si>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</si>
  <si>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</si>
  <si>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</si>
  <si>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</si>
  <si>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</si>
  <si>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</si>
  <si>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</si>
  <si>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</si>
  <si>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</si>
  <si>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</si>
  <si>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</si>
  <si>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</si>
  <si>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</si>
  <si>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</si>
  <si>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</si>
  <si>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</si>
  <si>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</si>
  <si>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</si>
  <si>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</si>
  <si>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</si>
  <si>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</si>
  <si>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</si>
  <si>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</si>
  <si>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</si>
  <si>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</si>
  <si>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</si>
  <si>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</si>
  <si>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</si>
  <si>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</si>
  <si>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</si>
  <si>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</si>
  <si>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</si>
  <si>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</si>
  <si>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</si>
  <si>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</si>
  <si>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</si>
  <si>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</si>
  <si>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</si>
  <si>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</si>
  <si>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</si>
  <si>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</si>
  <si>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</si>
  <si>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</si>
  <si>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</si>
  <si>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</si>
  <si>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</si>
  <si>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</si>
  <si>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</si>
  <si>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</si>
  <si>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</si>
  <si>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</si>
  <si>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</si>
  <si>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</si>
  <si>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</si>
  <si>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</si>
  <si>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</si>
  <si>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</si>
  <si>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</si>
  <si>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</si>
  <si>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</si>
  <si>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</si>
  <si>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</si>
  <si>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</si>
  <si>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</si>
  <si>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</si>
  <si>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</si>
  <si>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</si>
  <si>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</si>
  <si>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</si>
  <si>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</si>
  <si>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</si>
  <si>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</si>
  <si>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</si>
  <si>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</si>
  <si>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</si>
  <si>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</si>
  <si>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</si>
  <si>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</si>
  <si>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</si>
  <si>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</si>
  <si>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</si>
  <si>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</si>
  <si>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</si>
  <si>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</si>
  <si>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</si>
  <si>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</si>
  <si>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</si>
  <si>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</si>
  <si>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</si>
  <si>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</si>
  <si>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</si>
  <si>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</si>
  <si>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</si>
  <si>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</si>
  <si>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</si>
  <si>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</si>
  <si>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</si>
  <si>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</si>
  <si>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</si>
  <si>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</si>
  <si>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</si>
  <si>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</si>
  <si>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</si>
  <si>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</si>
  <si>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</si>
  <si>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</si>
  <si>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</si>
  <si>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</si>
  <si>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</si>
  <si>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</si>
  <si>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</si>
  <si>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</si>
  <si>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</si>
  <si>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</si>
  <si>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</si>
  <si>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</si>
  <si>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</si>
  <si>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</si>
  <si>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</si>
  <si>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</si>
  <si>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</si>
  <si>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</si>
  <si>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</si>
  <si>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</si>
  <si>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</si>
  <si>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</si>
  <si>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</si>
  <si>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</si>
  <si>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</si>
  <si>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</si>
  <si>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</si>
  <si>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</si>
  <si>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</si>
  <si>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</si>
  <si>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</si>
  <si>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</si>
  <si>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</si>
  <si>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</si>
  <si>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</si>
  <si>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</si>
  <si>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</si>
  <si>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</si>
  <si>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</si>
  <si>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</si>
  <si>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</si>
  <si>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</si>
  <si>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</si>
  <si>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</si>
  <si>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</si>
  <si>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</si>
  <si>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</si>
  <si>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</si>
  <si>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</si>
  <si>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</si>
  <si>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</si>
  <si>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</si>
  <si>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</si>
  <si>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</si>
  <si>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</si>
  <si>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</si>
  <si>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</si>
  <si>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</si>
  <si>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</si>
  <si>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</si>
  <si>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</si>
  <si>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</si>
  <si>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</si>
  <si>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</si>
  <si>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</si>
  <si>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</si>
  <si>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</si>
  <si>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</si>
  <si>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</si>
  <si>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</si>
  <si>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</si>
  <si>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</si>
  <si>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</si>
  <si>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</si>
  <si>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</si>
  <si>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</si>
  <si>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</si>
  <si>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</si>
  <si>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</si>
  <si>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</si>
  <si>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</si>
  <si>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</si>
  <si>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</si>
  <si>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</si>
  <si>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</si>
  <si>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</si>
  <si>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</si>
  <si>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</si>
  <si>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</si>
  <si>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</si>
  <si>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</si>
  <si>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</si>
  <si>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</si>
  <si>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</si>
  <si>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</si>
  <si>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</si>
  <si>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</si>
  <si>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</si>
  <si>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</si>
  <si>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</si>
  <si>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</si>
  <si>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</si>
  <si>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</si>
  <si>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</si>
  <si>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</si>
  <si>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</si>
  <si>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</si>
  <si>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</si>
  <si>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</si>
  <si>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</si>
  <si>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</si>
  <si>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</si>
  <si>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</si>
  <si>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</si>
  <si>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</si>
  <si>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</si>
  <si>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</si>
  <si>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</si>
  <si>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</si>
  <si>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</si>
  <si>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</si>
  <si>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</si>
  <si>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</si>
  <si>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</si>
  <si>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</si>
  <si>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</si>
  <si>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</si>
  <si>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</si>
  <si>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</si>
  <si>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</si>
  <si>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</si>
  <si>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</si>
  <si>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</si>
  <si>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</si>
  <si>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</si>
  <si>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</si>
  <si>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</si>
  <si>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</si>
  <si>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</si>
  <si>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</si>
  <si>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</si>
  <si>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</si>
  <si>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</si>
  <si>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</si>
  <si>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</si>
  <si>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</si>
  <si>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</si>
  <si>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</si>
  <si>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</si>
  <si>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</si>
  <si>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</si>
  <si>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</si>
  <si>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</si>
  <si>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</si>
  <si>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</si>
  <si>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</si>
  <si>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</si>
  <si>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</si>
  <si>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</si>
  <si>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</si>
  <si>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</si>
  <si>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</si>
  <si>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</si>
  <si>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</si>
  <si>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</si>
  <si>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</si>
  <si>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</si>
  <si>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</si>
  <si>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</si>
  <si>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</si>
  <si>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</si>
  <si>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</si>
  <si>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</si>
  <si>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</si>
  <si>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t>
  </si>
  <si>
    <t>Expand discovery to all production</t>
  </si>
  <si>
    <t>Automate discovery processes</t>
  </si>
  <si>
    <t>Conduct quantum threat briefing</t>
  </si>
  <si>
    <t>Implement basic vulnerability scanning</t>
  </si>
  <si>
    <t>Add threat intelligence feeds</t>
  </si>
  <si>
    <t>Map top 10 critical dependencies</t>
  </si>
  <si>
    <t>Document all system dependencies</t>
  </si>
  <si>
    <t>Implement dependency tracking</t>
  </si>
  <si>
    <t>Schedule executive quantum briefing</t>
  </si>
  <si>
    <t>Form quantum task force</t>
  </si>
  <si>
    <t>Establish steering committee</t>
  </si>
  <si>
    <t>Draft initial quantum policy</t>
  </si>
  <si>
    <t>Review and approve policies</t>
  </si>
  <si>
    <t>Implement policy training</t>
  </si>
  <si>
    <t>Add quantum to risk register</t>
  </si>
  <si>
    <t>Quantify quantum risks</t>
  </si>
  <si>
    <t>Integrate into ERM</t>
  </si>
  <si>
    <t>Classify top 20% of data</t>
  </si>
  <si>
    <t>Expand to 80% coverage</t>
  </si>
  <si>
    <t>Automate classification</t>
  </si>
  <si>
    <t>Test PQC algorithms</t>
  </si>
  <si>
    <t>Pilot on non-critical systems</t>
  </si>
  <si>
    <t>Plan production rollout</t>
  </si>
  <si>
    <t>Document current processes</t>
  </si>
  <si>
    <t>Define lifecycle procedures</t>
  </si>
  <si>
    <t>Implement automation</t>
  </si>
  <si>
    <t>Audit critical infrastructure</t>
  </si>
  <si>
    <t>Assess full environment</t>
  </si>
  <si>
    <t>Create modernization plan</t>
  </si>
  <si>
    <t>Create high-level roadmap</t>
  </si>
  <si>
    <t>Develop detailed plan</t>
  </si>
  <si>
    <t>Finalize with stakeholders</t>
  </si>
  <si>
    <t>Define operational procedures</t>
  </si>
  <si>
    <t>Train operations team</t>
  </si>
  <si>
    <t>Implement monitoring</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</si>
  <si>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</si>
  <si>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</si>
  <si>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</si>
  <si>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</si>
  <si>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</si>
  <si>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</si>
  <si>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</si>
  <si>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</si>
  <si>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</si>
  <si>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</si>
  <si>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</si>
  <si>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</si>
  <si>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</si>
  <si>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</si>
  <si>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</si>
  <si>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</si>
  <si>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</si>
  <si>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</si>
  <si>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</si>
  <si>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</si>
  <si>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</si>
  <si>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</si>
  <si>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</si>
  <si>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</si>
  <si>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</si>
  <si>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</si>
  <si>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</si>
  <si>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</si>
  <si>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</si>
  <si>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</si>
  <si>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</si>
  <si>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</si>
  <si>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</si>
  <si>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</si>
  <si>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</si>
  <si>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</si>
  <si>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</si>
  <si>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</si>
  <si>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</si>
  <si>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</si>
  <si>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</si>
  <si>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</si>
  <si>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</si>
  <si>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</si>
  <si>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</si>
  <si>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</si>
  <si>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</si>
  <si>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</si>
  <si>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</si>
  <si>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</si>
  <si>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</si>
  <si>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</si>
  <si>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</si>
  <si>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</si>
  <si>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</si>
  <si>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</si>
  <si>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</si>
  <si>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</si>
  <si>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</si>
  <si>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</si>
  <si>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</si>
  <si>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</si>
  <si>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</si>
  <si>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</si>
  <si>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</si>
  <si>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</si>
  <si>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</si>
  <si>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</si>
  <si>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</si>
  <si>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</si>
  <si>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</si>
  <si>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</si>
  <si>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</si>
  <si>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</si>
  <si>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</si>
  <si>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</si>
  <si>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</si>
  <si>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</si>
  <si>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</si>
  <si>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</si>
  <si>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</si>
  <si>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</si>
  <si>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</si>
  <si>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</si>
  <si>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</si>
  <si>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</si>
  <si>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</si>
  <si>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</si>
  <si>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</si>
  <si>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</si>
  <si>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</si>
  <si>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</si>
  <si>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</si>
  <si>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</si>
  <si>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</si>
  <si>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</si>
  <si>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</si>
  <si>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</si>
  <si>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</si>
  <si>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</si>
  <si>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</si>
  <si>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</si>
  <si>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</si>
  <si>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</si>
  <si>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</si>
  <si>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</si>
  <si>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</si>
  <si>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</si>
  <si>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</si>
  <si>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</si>
  <si>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</si>
  <si>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</si>
  <si>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</si>
  <si>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</si>
  <si>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</si>
  <si>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</si>
  <si>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</si>
  <si>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</si>
  <si>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</si>
  <si>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</si>
  <si>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</si>
  <si>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</si>
  <si>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</si>
  <si>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</si>
  <si>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</si>
  <si>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</si>
  <si>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</si>
  <si>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</si>
  <si>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</si>
  <si>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</si>
  <si>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</si>
  <si>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</si>
  <si>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</si>
  <si>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</si>
  <si>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</si>
  <si>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</si>
  <si>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</si>
  <si>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</si>
  <si>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</si>
  <si>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</si>
  <si>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</si>
  <si>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</si>
  <si>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</si>
  <si>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</si>
  <si>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</si>
  <si>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</si>
  <si>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</si>
  <si>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</si>
  <si>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</si>
  <si>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</si>
  <si>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</si>
  <si>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</si>
  <si>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</si>
  <si>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</si>
  <si>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</si>
  <si>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</si>
  <si>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</si>
  <si>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</si>
  <si>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</si>
  <si>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</si>
  <si>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</si>
  <si>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</si>
  <si>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</si>
  <si>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</si>
  <si>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</si>
  <si>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</si>
  <si>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</si>
  <si>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</si>
  <si>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</si>
  <si>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</si>
  <si>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</si>
  <si>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</si>
  <si>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</si>
  <si>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</si>
  <si>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</si>
  <si>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</si>
  <si>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</si>
  <si>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</si>
  <si>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</si>
  <si>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</si>
  <si>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</si>
  <si>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</si>
  <si>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</si>
  <si>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</si>
  <si>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</si>
  <si>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</si>
  <si>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</si>
  <si>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</si>
  <si>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</si>
  <si>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</si>
  <si>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</si>
  <si>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</si>
  <si>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</si>
  <si>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</si>
  <si>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</si>
  <si>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</si>
  <si>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</si>
  <si>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</si>
  <si>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</si>
  <si>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</si>
  <si>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</si>
  <si>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</si>
  <si>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</si>
  <si>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</si>
  <si>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</si>
  <si>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</si>
  <si>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</si>
  <si>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</si>
  <si>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</si>
  <si>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</si>
  <si>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</si>
  <si>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</si>
  <si>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</si>
  <si>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</si>
  <si>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</si>
  <si>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</si>
  <si>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</si>
  <si>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</si>
  <si>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</si>
  <si>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</si>
  <si>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</si>
  <si>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</si>
  <si>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</si>
  <si>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</si>
  <si>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</si>
  <si>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</si>
  <si>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</si>
  <si>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</si>
  <si>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</si>
  <si>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</si>
  <si>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</si>
  <si>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</si>
  <si>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</si>
  <si>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</si>
  <si>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</si>
  <si>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</si>
  <si>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</si>
  <si>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</si>
  <si>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</si>
  <si>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</si>
  <si>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</si>
  <si>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</si>
  <si>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</si>
  <si>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</si>
  <si>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</si>
  <si>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</si>
  <si>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</si>
  <si>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</si>
  <si>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</si>
  <si>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</si>
  <si>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</si>
  <si>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</si>
  <si>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</si>
  <si>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</si>
  <si>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</si>
  <si>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</si>
  <si>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</si>
  <si>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</si>
  <si>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</si>
  <si>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</si>
  <si>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</si>
  <si>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</si>
  <si>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</si>
  <si>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</si>
  <si>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</si>
  <si>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</si>
  <si>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</si>
  <si>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</si>
  <si>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</si>
  <si>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</si>
  <si>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</si>
  <si>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</si>
  <si>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</si>
  <si>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</si>
  <si>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</si>
  <si>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</si>
  <si>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</si>
  <si>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</si>
  <si>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</si>
  <si>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</si>
  <si>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</si>
  <si>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</si>
  <si>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</si>
  <si>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</si>
  <si>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</si>
  <si>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</si>
  <si>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</si>
  <si>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</si>
  <si>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</si>
  <si>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</si>
  <si>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</si>
  <si>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</si>
  <si>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</si>
  <si>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</si>
  <si>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</si>
  <si>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</si>
  <si>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</si>
  <si>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</si>
  <si>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</si>
  <si>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</si>
  <si>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</si>
  <si>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</si>
  <si>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</si>
  <si>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</si>
  <si>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</si>
  <si>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</si>
  <si>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</si>
  <si>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</si>
  <si>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</si>
  <si>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</si>
  <si>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</si>
  <si>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</si>
  <si>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</si>
  <si>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</si>
  <si>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</si>
  <si>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</si>
  <si>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</si>
  <si>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</si>
  <si>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</si>
  <si>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</si>
  <si>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</si>
  <si>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</si>
  <si>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</si>
  <si>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</si>
  <si>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</si>
  <si>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</si>
  <si>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</si>
  <si>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</si>
  <si>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</si>
  <si>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</si>
  <si>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</si>
  <si>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</si>
  <si>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</si>
  <si>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</si>
  <si>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</si>
  <si>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</si>
  <si>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</si>
  <si>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</si>
  <si>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</si>
  <si>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</si>
  <si>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</si>
  <si>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</si>
  <si>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</si>
  <si>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</si>
  <si>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</si>
  <si>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</si>
  <si>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</si>
  <si>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</si>
  <si>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</si>
  <si>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</si>
  <si>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</si>
  <si>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</si>
  <si>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</si>
  <si>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</si>
  <si>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</si>
  <si>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</si>
  <si>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</si>
  <si>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</si>
  <si>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</si>
  <si>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</si>
  <si>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</si>
  <si>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</si>
  <si>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</si>
  <si>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</si>
  <si>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</si>
  <si>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</si>
  <si>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</si>
  <si>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</si>
  <si>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</si>
  <si>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</si>
  <si>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</si>
  <si>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</si>
  <si>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</si>
  <si>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</si>
  <si>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</si>
  <si>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</si>
  <si>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</si>
  <si>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</si>
  <si>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</si>
  <si>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</si>
  <si>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</si>
  <si>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</si>
  <si>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</si>
  <si>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</si>
  <si>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</si>
  <si>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</si>
  <si>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</si>
  <si>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</si>
  <si>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</si>
  <si>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</si>
  <si>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</si>
  <si>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</si>
  <si>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</si>
  <si>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</si>
  <si>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</si>
  <si>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</si>
  <si>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</si>
  <si>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</si>
  <si>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</si>
  <si>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</si>
  <si>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</si>
  <si>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</si>
  <si>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</si>
  <si>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</si>
  <si>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</si>
  <si>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</si>
  <si>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</si>
  <si>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</si>
  <si>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</si>
  <si>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</si>
  <si>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</si>
  <si>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</si>
  <si>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</si>
  <si>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</si>
  <si>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</si>
  <si>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</si>
  <si>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</si>
  <si>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</si>
  <si>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</si>
  <si>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</si>
  <si>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</si>
  <si>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</si>
  <si>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</si>
  <si>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</si>
  <si>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</si>
  <si>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</si>
  <si>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</si>
  <si>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</si>
  <si>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</si>
  <si>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</si>
  <si>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</si>
  <si>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</si>
  <si>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</si>
  <si>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</si>
  <si>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</si>
  <si>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</si>
  <si>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</si>
  <si>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</si>
  <si>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</si>
  <si>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</si>
  <si>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</si>
  <si>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</si>
  <si>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</si>
  <si>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</si>
  <si>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</si>
  <si>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</si>
  <si>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</si>
  <si>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</si>
  <si>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</si>
  <si>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</si>
  <si>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</si>
  <si>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</si>
  <si>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</si>
  <si>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</si>
  <si>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</si>
  <si>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</si>
  <si>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</si>
  <si>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</si>
  <si>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</si>
  <si>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</si>
  <si>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</si>
  <si>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</si>
  <si>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</si>
  <si>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</si>
  <si>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</si>
  <si>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</si>
  <si>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</si>
  <si>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</si>
  <si>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</si>
  <si>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</si>
  <si>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</si>
  <si>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</si>
  <si>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</si>
  <si>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</si>
  <si>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</si>
  <si>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</si>
  <si>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</si>
  <si>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</si>
  <si>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</si>
  <si>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</si>
  <si>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</si>
  <si>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</si>
  <si>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</si>
  <si>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</si>
  <si>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</si>
  <si>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</si>
  <si>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</si>
  <si>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</si>
  <si>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</si>
  <si>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</si>
  <si>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</si>
  <si>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</si>
  <si>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</si>
  <si>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</si>
  <si>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</si>
  <si>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</si>
  <si>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</si>
  <si>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</si>
  <si>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</si>
  <si>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</si>
  <si>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</si>
  <si>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</si>
  <si>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</si>
  <si>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</si>
  <si>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</si>
  <si>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</si>
  <si>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</si>
  <si>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</si>
  <si>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</si>
  <si>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</si>
  <si>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</si>
  <si>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</si>
  <si>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</si>
  <si>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</si>
  <si>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</si>
  <si>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</si>
  <si>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</si>
  <si>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</si>
  <si>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</si>
  <si>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</si>
  <si>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</si>
  <si>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</si>
  <si>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</si>
  <si>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</si>
  <si>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</si>
  <si>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</si>
  <si>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</si>
  <si>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</si>
  <si>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</si>
  <si>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</si>
  <si>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</si>
  <si>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</si>
  <si>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</si>
  <si>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</si>
  <si>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</si>
  <si>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</si>
  <si>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</si>
  <si>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</si>
  <si>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</si>
  <si>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</si>
  <si>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</si>
  <si>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</si>
  <si>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</si>
  <si>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</si>
  <si>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</si>
  <si>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</si>
  <si>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</si>
  <si>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</si>
  <si>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</si>
  <si>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</si>
  <si>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</si>
  <si>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</si>
  <si>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</si>
  <si>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</si>
  <si>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</si>
  <si>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</si>
  <si>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</si>
  <si>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</si>
  <si>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</si>
  <si>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</si>
  <si>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</si>
  <si>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</si>
  <si>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</si>
  <si>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</si>
  <si>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</si>
  <si>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</si>
  <si>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</si>
  <si>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</si>
  <si>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</si>
  <si>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</si>
  <si>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</si>
  <si>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</si>
  <si>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</si>
  <si>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</si>
  <si>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</si>
  <si>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</si>
  <si>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</si>
  <si>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</si>
  <si>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</si>
  <si>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</si>
  <si>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</si>
  <si>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</si>
  <si>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</si>
  <si>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</si>
  <si>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</si>
  <si>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</si>
  <si>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</si>
  <si>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</si>
  <si>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</si>
  <si>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</si>
  <si>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</si>
  <si>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</si>
  <si>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</si>
  <si>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</si>
  <si>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</si>
  <si>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</si>
  <si>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</si>
  <si>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</si>
  <si>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</si>
  <si>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</si>
  <si>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</si>
  <si>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</si>
  <si>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</si>
  <si>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</si>
  <si>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</si>
  <si>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</si>
  <si>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</si>
  <si>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</si>
  <si>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</si>
  <si>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</si>
  <si>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</si>
  <si>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</si>
  <si>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</si>
  <si>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</si>
  <si>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</si>
  <si>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</si>
  <si>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</si>
  <si>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</si>
  <si>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</si>
  <si>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</si>
  <si>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</si>
  <si>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</si>
  <si>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</si>
  <si>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</si>
  <si>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</si>
  <si>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</si>
  <si>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</si>
  <si>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</si>
  <si>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</si>
  <si>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</si>
  <si>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</si>
  <si>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</si>
  <si>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</si>
  <si>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</si>
  <si>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</si>
  <si>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</si>
  <si>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</si>
  <si>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</si>
  <si>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</si>
  <si>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</si>
  <si>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</si>
  <si>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</si>
  <si>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</si>
  <si>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</si>
  <si>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</si>
  <si>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</si>
  <si>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</si>
  <si>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</si>
  <si>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</si>
  <si>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</si>
  <si>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</si>
  <si>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</si>
  <si>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</si>
  <si>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</si>
  <si>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</si>
  <si>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</si>
  <si>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</si>
  <si>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</si>
  <si>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</si>
  <si>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</si>
  <si>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</si>
  <si>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</si>
  <si>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</si>
  <si>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</si>
  <si>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</si>
  <si>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</si>
  <si>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</si>
  <si>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</si>
  <si>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</si>
  <si>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</si>
  <si>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</si>
  <si>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</si>
  <si>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</si>
  <si>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</si>
  <si>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</si>
  <si>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</si>
  <si>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</si>
  <si>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</si>
  <si>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</si>
  <si>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</si>
  <si>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</si>
  <si>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</si>
  <si>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</si>
  <si>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</si>
  <si>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</si>
  <si>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</si>
  <si>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</si>
  <si>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</si>
  <si>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</si>
  <si>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</si>
  <si>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</si>
  <si>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</si>
  <si>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</si>
  <si>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</si>
  <si>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</si>
  <si>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</si>
  <si>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</si>
  <si>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</si>
  <si>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</si>
  <si>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</si>
  <si>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</si>
  <si>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</si>
  <si>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</si>
  <si>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</si>
  <si>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</si>
  <si>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</si>
  <si>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</si>
  <si>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</si>
  <si>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</si>
  <si>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</si>
  <si>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</si>
  <si>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</si>
  <si>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</si>
  <si>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</si>
  <si>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</si>
  <si>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</si>
  <si>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</si>
  <si>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</si>
  <si>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</si>
  <si>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</si>
  <si>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</si>
  <si>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</si>
  <si>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</si>
  <si>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</si>
  <si>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</si>
  <si>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</si>
  <si>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</si>
  <si>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</si>
  <si>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</si>
  <si>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</si>
  <si>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</si>
  <si>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</si>
  <si>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</si>
  <si>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</si>
  <si>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</si>
  <si>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</si>
  <si>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</si>
  <si>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</si>
  <si>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</si>
  <si>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</si>
  <si>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</si>
  <si>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</si>
  <si>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</si>
  <si>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</si>
  <si>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</si>
  <si>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</si>
  <si>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</si>
  <si>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</si>
  <si>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</si>
  <si>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</si>
  <si>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</si>
  <si>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</si>
  <si>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</si>
  <si>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</si>
  <si>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</si>
  <si>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</si>
  <si>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</si>
  <si>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</si>
  <si>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</si>
  <si>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</si>
  <si>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</si>
  <si>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</si>
  <si>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</si>
  <si>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</si>
  <si>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</si>
  <si>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</si>
  <si>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</si>
  <si>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</si>
  <si>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</si>
  <si>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</si>
  <si>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</si>
  <si>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</si>
  <si>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</si>
  <si>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</si>
  <si>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</si>
  <si>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</si>
  <si>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</si>
  <si>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</si>
  <si>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</si>
  <si>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</si>
  <si>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</si>
  <si>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</si>
  <si>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</si>
  <si>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</si>
  <si>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</si>
  <si>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</si>
  <si>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</si>
  <si>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</si>
  <si>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</si>
  <si>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</si>
  <si>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</si>
  <si>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</si>
  <si>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</si>
  <si>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</si>
  <si>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</si>
  <si>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</si>
  <si>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</si>
  <si>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</si>
  <si>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</si>
  <si>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</si>
  <si>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</si>
  <si>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</si>
  <si>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</si>
  <si>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</si>
  <si>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</si>
  <si>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</si>
  <si>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</si>
  <si>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</si>
  <si>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</si>
  <si>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</si>
  <si>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</si>
  <si>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</si>
  <si>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</si>
  <si>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</si>
  <si>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</si>
  <si>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</si>
  <si>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</si>
  <si>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</si>
  <si>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</si>
  <si>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</si>
  <si>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</si>
  <si>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</si>
  <si>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</si>
  <si>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</si>
  <si>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</si>
  <si>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</si>
  <si>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</si>
  <si>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</si>
  <si>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</si>
  <si>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</si>
  <si>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</si>
  <si>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</si>
  <si>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</si>
  <si>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</si>
  <si>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</si>
  <si>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</si>
  <si>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</si>
  <si>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The Scorecard shows two kinds of score: raw scores, from your answers to the assessment questions, and weighted scores.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Below 1.5: Basic (initial awareness and ad-hoc practices)
   •   1.5 to below 2.5: Developing (structured approaches beginning to emerge)
   •   2.5 to below 3.5: Established (systematic and consistent practices)
   •   3.5 to 4.0: Advanced (optimized processes with continuous improvement)
   •   Optimizing, the fifth maturity level, has no raw score range.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A weighted score is the raw score multiplied by a profile multiplier between 1.00 and 1.50, adjusted by your five answers on the Profile tab:
   •   Industry (factor 0.30)
   •   Organization size (factor 0.10)
   •   Geographic scope (factor 0.15)
   •   Data sensitivity (factor 0.25)
   •   Regulatory requirements (factor 0.20)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Raw scores stop at 4.0; weighted scores can be higher. A multiplier of 1.33 and a raw score of 3.4 give a weighted score of 4.52. A raw score of 4.0 with the highest multiplier, 1.50, gives 6.0.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</si>
  <si>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</si>
  <si>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</si>
  <si>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</si>
  <si>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shows all of your results in one place.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Total QRAMM Score: the average of your four dimension scores
   •   Maturity Level: Basic, Developing, Established or Advanced, for the total score
   •   Assessment Completion Status: how many of the 120 questions you answered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the score from your answers
   •   Weighted Score: the raw score multiplied by your profile multiplier
   •   Industry Benchmark: illustrative values, not survey data, shown once you enter your industry and size on the Profile tab
   •   Maturity Level: Basic, Developing, Established or Advanced, from the raw score
   •   Percentage completion: how many of the dimension's 30 questions you answered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Scoring: a bar chart of your four raw scores
   •   Maturity Distribution: a donut chart of your 12 practices by maturity level
   •   Dimension Maturity Scores: a radar chart of your raw and weighted scores and the illustrative industry benchmark values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up to three of your highest-scoring practices
   •   Top Area for Improvement: up to three of your lowest-scoring practices, and where to start
   •   Profile-based insights: the top priority for your industry and organization size
   •   Practice Area Heatmaps: each practice's score, with quick win actions
</t>
    </r>
    <r>
      <rPr>
        <b/>
        <sz val="11"/>
        <color theme="1"/>
        <rFont val="Segoe UI"/>
        <family val="2"/>
      </rPr>
      <t xml:space="preserve">Compliance Mapping
</t>
    </r>
    <r>
      <rPr>
        <sz val="10"/>
        <color theme="1"/>
        <rFont val="Segoe UI"/>
        <family val="2"/>
      </rPr>
      <t xml:space="preserve">The Compliance tab links the questions to controls in eight frameworks: NIST CSF 2.0, NIST PQC, CMMC 2.0, FISMA, FedRAMP, ISO 27001, SOC 2 and CIS Controls v8. Not every question has a control in every framework.
</t>
    </r>
    <r>
      <rPr>
        <sz val="6"/>
        <color theme="1"/>
        <rFont val="Segoe UI"/>
        <family val="2"/>
      </rPr>
      <t xml:space="preserve">
</t>
    </r>
    <r>
      <rPr>
        <b/>
        <sz val="11"/>
        <color theme="1"/>
        <rFont val="Segoe UI"/>
        <family val="2"/>
      </rPr>
      <t xml:space="preserve">Business Value
</t>
    </r>
    <r>
      <rPr>
        <sz val="10"/>
        <color theme="1"/>
        <rFont val="Segoe UI"/>
        <family val="2"/>
      </rPr>
      <t>What the results show you
   •   Gaps: the practices where your answers scored lowest
   •   Next steps: quick win actions chosen by each practice's score
   •   Compliance: the framework controls each question relates to
   •   Priorities: the top priority for your industry and organization size</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</si>
  <si>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</si>
  <si>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</si>
  <si>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</si>
  <si>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</si>
  <si>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</si>
  <si>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</si>
  <si>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</si>
  <si>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</si>
  <si>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</si>
  <si>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</si>
  <si>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</si>
  <si>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</si>
  <si>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</si>
  <si>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</si>
  <si>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</si>
  <si>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</si>
  <si>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</si>
  <si>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</si>
  <si>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</si>
  <si>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</si>
  <si>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</si>
  <si>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</si>
  <si>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</si>
  <si>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</si>
  <si>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</si>
  <si>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</si>
  <si>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</si>
  <si>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</si>
  <si>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</si>
  <si>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</si>
  <si>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</si>
  <si>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</si>
  <si>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</si>
  <si>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</si>
  <si>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</si>
  <si>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</si>
  <si>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</si>
  <si>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</si>
  <si>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</si>
  <si>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</si>
  <si>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</si>
  <si>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</si>
  <si>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</si>
  <si>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</si>
  <si>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</si>
  <si>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</si>
  <si>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</si>
  <si>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</si>
  <si>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</si>
  <si>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</si>
  <si>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</si>
  <si>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</si>
  <si>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</si>
  <si>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</si>
  <si>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</si>
  <si>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</si>
  <si>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</si>
  <si>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</si>
  <si>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</si>
  <si>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</si>
  <si>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</si>
  <si>
    <t>* The Industry Benchmark values are illustrative. They are not measured from real organizations. Compare your scores with your own earlier assessments instead.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</si>
</sst>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Scorecard!$L$21:$L$25</c:f>
              <c:strCache>
                <c:ptCount val="5"/>
                <c:pt idx="0">
                  <c:v>Basic</c:v>
                </c:pt>
                <c:pt idx="1">
                  <c:v>Developing</c:v>
                </c:pt>
                <c:pt idx="2">
                  <c:v>Established</c:v>
                </c:pt>
                <c:pt idx="3">
                  <c:v>Advanced</c:v>
                </c:pt>
                <c:pt idx="4">
                  <c:v>Incomplete Assessment</c:v>
                </c:pt>
              </c:strCache>
            </c:strRef>
          </c:cat>
          <c:val>
            <c:numRef>
              <c:f>Scorecard!$M$21:$M$25</c:f>
              <c:numCache>
                <c:formatCode>0%</c:formatCode>
                <c:ptCount val="5"/>
                <c:pt idx="0">
                  <c:v>0</c:v>
                </c:pt>
                <c:pt idx="1">
                  <c:v>0.16666666666666666</c:v>
                </c:pt>
                <c:pt idx="2">
                  <c:v>0.58333333333333337</c:v>
                </c:pt>
                <c:pt idx="3">
                  <c:v>0.25</c:v>
                </c:pt>
                <c:pt idx="4">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IF(OR(ProfileOrgIndustry="",ProfileOrgSize=""),"-",VLOOKUP($C$16,Benchmarks,3,FALSE)*1)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IF(OR(ProfileOrgIndustry="",ProfileOrgSize=""),"-",VLOOKUP($C$16,Benchmarks,4,FALSE)*1)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IF(OR(ProfileOrgIndustry="",ProfileOrgSize=""),"-",VLOOKUP($C$16,Benchmarks,5,FALSE)*1)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IF(OR(ProfileOrgIndustry="",ProfileOrgSize=""),"-",VLOOKUP($C$16,Benchmarks,6,FALSE)*1)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IF(OR(ProfileOrgIndustry="",ProfileOrgSize=""),"-",VLOOKUP($C$16,Benchmarks,2,FALSE)*1)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6" t="s">
        <v>1887</v>
      </c>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COUNTIF(PracticeScoreOutcomes,"&lt;1.5")/12</f>
        <v>0</v>
      </c>
      <c r="N21" s="59"/>
    </row>
    <row r="22" spans="1:15" ht="18" customHeight="1" x14ac:dyDescent="0.2">
      <c r="A22" s="48"/>
      <c r="C22" s="110"/>
      <c r="D22" s="110"/>
      <c r="J22" s="123"/>
      <c r="K22" s="123"/>
      <c r="L22" s="59" t="s">
        <v>1017</v>
      </c>
      <c r="M22" s="121">
        <f ca="1">COUNTIFS(PracticeScoreOutcomes,"&gt;=1.5",PracticeScoreOutcomes,"&lt;2.5")/12</f>
        <v>0.16666666666666666</v>
      </c>
      <c r="N22" s="59"/>
    </row>
    <row r="23" spans="1:15" ht="27.75" customHeight="1" x14ac:dyDescent="0.2">
      <c r="A23" s="48"/>
      <c r="C23" s="112"/>
      <c r="D23" s="110"/>
      <c r="J23" s="123"/>
      <c r="K23" s="123"/>
      <c r="L23" s="59" t="s">
        <v>1018</v>
      </c>
      <c r="M23" s="121">
        <f ca="1">COUNTIFS(PracticeScoreOutcomes,"&gt;=2.5",PracticeScoreOutcomes,"&lt;3.5")/12</f>
        <v>0.58333333333333337</v>
      </c>
      <c r="N23" s="59"/>
    </row>
    <row r="24" spans="1:15" ht="27.75" customHeight="1" x14ac:dyDescent="0.3">
      <c r="A24" s="48"/>
      <c r="C24" s="119"/>
      <c r="D24" s="109"/>
      <c r="J24" s="123"/>
      <c r="K24" s="123"/>
      <c r="L24" s="59" t="s">
        <v>836</v>
      </c>
      <c r="M24" s="121">
        <f ca="1">COUNTIF(PracticeScoreOutcomes,"&gt;=3.5")/12</f>
        <v>0.25</v>
      </c>
      <c r="N24" s="59"/>
    </row>
    <row r="25" spans="1:15" ht="18" customHeight="1" x14ac:dyDescent="0.2">
      <c r="A25" s="48"/>
      <c r="C25" s="110"/>
      <c r="D25" s="110"/>
      <c r="J25" s="123"/>
      <c r="K25" s="123"/>
      <c r="L25" s="59" t="s">
        <v>1020</v>
      </c>
      <c r="M25" s="121">
        <f ca="1">COUNTIF(PracticeScoreOutcomes,"-")/12</f>
        <v>0</v>
      </c>
      <c r="N25" s="59"/>
    </row>
    <row r="26" spans="1:15" ht="27.75" customHeight="1" x14ac:dyDescent="0.2">
      <c r="A26" s="48"/>
      <c r="C26" s="112"/>
      <c r="D26" s="111"/>
      <c r="J26" s="123"/>
      <c r="K26" s="123"/>
      <c r="L26" s="59"/>
      <c r="M26" s="121"/>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IFERROR(INDEX(P58:P69,MATCH(1,PracticeOutcomesDeDupRank,0)),"-")</f>
        <v>ITR_3</v>
      </c>
      <c r="B35" s="110" t="str">
        <f ca="1">IF(AND(ISNUMBER(A36),A36&gt;=3.6),"✓","")</f>
        <v>✓</v>
      </c>
      <c r="C35" s="124" t="str">
        <f ca="1">IF(A35="-","-",IF(B35="","No practice areas with score 3.6 or greater",
INDEX(Data!$U$3:$U$14,MATCH(A35,Data!$V$3:$V$14,0))&amp;" (Score = "&amp;INDEX(PracticeScoreOutcomes,MATCH(1,PracticeOutcomesDeDupRank,0))&amp;")"
))</f>
        <v>Incident Response &amp; Recovery (Score = 4)</v>
      </c>
      <c r="D35" s="110"/>
      <c r="G35" s="126" t="str">
        <f ca="1">IFERROR(INDEX($P$58:$P$69,MATCH(MAX(PracticeOutcomesDeDupRank),PracticeOutcomesDeDupRank,0)),"-")</f>
        <v>CVI_2</v>
      </c>
      <c r="H35" s="125" t="str">
        <f ca="1">IF(AND(ISNUMBER(G36),G36&lt;2.6),"!","")</f>
        <v>!</v>
      </c>
      <c r="I35" s="124" t="str">
        <f ca="1">IF(G35="-","-",IF(H35="","No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IFERROR(INDEX(PracticeScoreOutcomes,MATCH(1,PracticeOutcomesDeDupRank,0)),"-")</f>
        <v>4</v>
      </c>
      <c r="C36" s="215" t="str">
        <f ca="1">IF(B35="","",INDEX(Data!$U$3:$U$14,MATCH(A35,Data!$V$3:$V$14,0))&amp;" is one of your three highest-scoring practices, with a score of "&amp;FIXED(A36,2)&amp;" out of 4.")</f>
        <v>Incident Response &amp; Recovery is one of your three highest-scoring practices, with a score of 4.00 out of 4.</v>
      </c>
      <c r="D36" s="215"/>
      <c r="E36" s="215"/>
      <c r="F36" s="215"/>
      <c r="G36" s="127">
        <f ca="1">IFERROR(INDEX(PracticeScoreOutcomes,MATCH(MAX(PracticeOutcomesDeDupRank),PracticeOutcomesDeDupRank,0)),"-")</f>
        <v>2.2000000000000002</v>
      </c>
      <c r="I36" s="215" t="str">
        <f ca="1">IF(H35="","",INDEX(Data!$U$3:$U$14,MATCH(G35,Data!$V$3:$V$14,0))&amp;" is one of your three lowest-scoring practices, with a score of "&amp;FIXED(G36,2)&amp;" out of 4. Start with the questions in this practice that you answered 1 or 2.")</f>
        <v>Vulnerability Scanning &amp; Analysis is one of your three lowest-scoring practices, with a score of 2.20 out of 4. Start with the questions in this practice that you answered 1 or 2.</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ITR_2</v>
      </c>
      <c r="B39" s="110" t="str">
        <f ca="1">IF(AND(ISNUMBER(A40),A40&gt;=3.6),"✓","")</f>
        <v>✓</v>
      </c>
      <c r="C39" s="124" t="str">
        <f ca="1">IF(A39="-","-",IF(B39="","",
INDEX(Data!$U$3:$U$14,MATCH(A39,Data!$V$3:$V$14,0))  &amp; " (Score = "&amp;INDEX(PracticeScoreOutcomes,MATCH(2,PracticeOutcomesDeDupRank,0))&amp;")"
))</f>
        <v>System Hardening &amp; Updates (Score = 4)</v>
      </c>
      <c r="D39" s="110"/>
      <c r="G39" s="126" t="str">
        <f ca="1">IFERROR(INDEX($P$58:$P$69,MATCH(MAX(PracticeOutcomesDeDupRank)-1,PracticeOutcomesDeDupRank,0)),"-")</f>
        <v>SGRM_2</v>
      </c>
      <c r="H39" s="125" t="str">
        <f ca="1">IF(AND(ISNUMBER(G40),G40&lt;2.6),"!","")</f>
        <v>!</v>
      </c>
      <c r="I39" s="124" t="str">
        <f ca="1">IF(G39="-","-",INDEX(Data!$U$3:$U$14,MATCH(G39,Data!$V$3:$V$14,0))   &amp; " (Score = "&amp;INDEX(PracticeScoreOutcomes,MATCH(MAX(PracticeOutcomesDeDupRank) - 1,PracticeOutcomesDeDupRank,0))&amp;")")</f>
        <v>Risk Management Framework (Score = 2.48)</v>
      </c>
      <c r="J39" s="110"/>
      <c r="L39" s="45"/>
    </row>
    <row r="40" spans="1:15" ht="18" customHeight="1" x14ac:dyDescent="0.2">
      <c r="A40" s="91">
        <f ca="1">IFERROR(INDEX(PracticeScoreOutcomes,MATCH(2,PracticeOutcomesDeDupRank,0)),"-")</f>
        <v>4</v>
      </c>
      <c r="C40" s="215" t="str">
        <f ca="1">IF(B39="","",INDEX(Data!$U$3:$U$14,MATCH(A39,Data!$V$3:$V$14,0))&amp;" is one of your three highest-scoring practices, with a score of "&amp;FIXED(A40,2)&amp;" out of 4.")</f>
        <v>System Hardening &amp; Updates is one of your three highest-scoring practices, with a score of 4.00 out of 4.</v>
      </c>
      <c r="D40" s="215"/>
      <c r="E40" s="215"/>
      <c r="F40" s="215"/>
      <c r="G40" s="127">
        <f ca="1">IFERROR(INDEX(PracticeScoreOutcomes,MATCH(MAX(PracticeOutcomesDeDupRank)-1,PracticeOutcomesDeDupRank,0)),"-")</f>
        <v>2.48</v>
      </c>
      <c r="I40" s="215" t="str">
        <f ca="1">IF(H39="","",INDEX(Data!$U$3:$U$14,MATCH(G39,Data!$V$3:$V$14,0))&amp;" is one of your three lowest-scoring practices, with a score of "&amp;FIXED(G40,2)&amp;" out of 4. Start with the questions in this practice that you answered 1 or 2.")</f>
        <v>Risk Management Framework is one of your three lowest-scoring practices, with a score of 2.48 out of 4. Start with the questions in this practice that you answered 1 or 2.</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ITR_1</v>
      </c>
      <c r="B43" s="110" t="str">
        <f ca="1">IF(AND(ISNUMBER(A44),A44&gt;=3.6),"✓","")</f>
        <v>✓</v>
      </c>
      <c r="C43" s="124" t="str">
        <f ca="1">IF(A43="-","-",IF(B43="","",
INDEX(Data!$U$3:$U$14,MATCH(A43,Data!$V$3:$V$14,0))  &amp; " (Score = "&amp;INDEX(PracticeScoreOutcomes,MATCH(3,PracticeOutcomesDeDupRank,0))&amp;")"
))</f>
        <v>Network Security Architecture (Score = 3.88)</v>
      </c>
      <c r="D43" s="110"/>
      <c r="G43" s="126" t="str">
        <f ca="1">IFERROR(INDEX($P$58:$P$69,MATCH(MAX(PracticeOutcomesDeDupRank)-2,PracticeOutcomesDeDupRank,0)),"-")</f>
        <v>CVI_3</v>
      </c>
      <c r="H43" s="125" t="str">
        <f ca="1">IF(AND(ISNUMBER(G44),G44&lt;2.6),"!","")</f>
        <v>!</v>
      </c>
      <c r="I43" s="124" t="str">
        <f ca="1">IF(G43="-","-",INDEX(Data!$U$3:$U$14,MATCH(G43,Data!$V$3:$V$14,0))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IFERROR(INDEX(PracticeScoreOutcomes,MATCH(3,PracticeOutcomesDeDupRank,0)),"-")</f>
        <v>3.88</v>
      </c>
      <c r="C44" s="215" t="str">
        <f ca="1">IF(B43="","",INDEX(Data!$U$3:$U$14,MATCH(A43,Data!$V$3:$V$14,0))&amp;" is one of your three highest-scoring practices, with a score of "&amp;FIXED(A44,2)&amp;" out of 4.")</f>
        <v>Network Security Architecture is one of your three highest-scoring practices, with a score of 3.88 out of 4.</v>
      </c>
      <c r="D44" s="215"/>
      <c r="E44" s="215"/>
      <c r="F44" s="215"/>
      <c r="G44" s="127">
        <f ca="1">IFERROR(INDEX(PracticeScoreOutcomes,MATCH(MAX(PracticeOutcomesDeDupRank)-2,PracticeOutcomesDeDupRank,0)),"-")</f>
        <v>2.56</v>
      </c>
      <c r="I44" s="215" t="str">
        <f ca="1">IF(H43="","",INDEX(Data!$U$3:$U$14,MATCH(G43,Data!$V$3:$V$14,0))&amp;" is one of your three lowest-scoring practices, with a score of "&amp;FIXED(G44,2)&amp;" out of 4. Start with the questions in this practice that you answered 1 or 2.")</f>
        <v>Risk Prioritization &amp; Tracking is one of your three lowest-scoring practices, with a score of 2.56 out of 4. Start with the questions in this practice that you answered 1 or 2.</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IF(ProfileOrgIndustry="","-",ProfileOrgIndustry)</f>
        <v>Healthcare</v>
      </c>
    </row>
    <row r="51" spans="1:24" ht="27.75" customHeight="1" x14ac:dyDescent="0.2">
      <c r="A51" s="48"/>
      <c r="C51" s="112"/>
      <c r="D51" s="136" t="s">
        <v>1035</v>
      </c>
      <c r="E51" s="98" t="str">
        <f>IF(ProfileOrgSize="","-",ProfileOrgSize)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v>
      </c>
      <c r="E60" s="114"/>
      <c r="F60" s="116"/>
      <c r="G60" s="140" t="str" cm="1">
        <f t="array" ref="G60">_xlfn.IFS(J59=0,"Quick Win Actions: N/A", J59&gt;3.5,"Quick Win Actions: None",1=1,_xlfn.CONCAT("Quick Win Actions: ", _xlfn.IFS(J59=0,"",J59&lt;=1.5,Data!BZ6,J59&lt;=2.5,Data!CA6,J59&lt;=3.5,Data!CB6)))</f>
        <v>Quick Win Actions: Establish steering committee</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v>
      </c>
      <c r="E62" s="114"/>
      <c r="F62" s="116"/>
      <c r="G62" s="140" t="str" cm="1">
        <f t="array" ref="G62">_xlfn.IFS(J61=0,"Quick Win Actions: N/A", J61&gt;3.5,"Quick Win Actions: None",1=1,_xlfn.CONCAT("Quick Win Actions: ", _xlfn.IFS(J61=0,"",J61&lt;=1.5,Data!BZ7,J61&lt;=2.5,Data!CA7,J61&lt;=3.5,Data!CB7)))</f>
        <v>Quick Win Actions: Review and approve policies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v>
      </c>
      <c r="E64" s="114"/>
      <c r="F64" s="116"/>
      <c r="G64" s="140" t="str" cm="1">
        <f t="array" ref="G64">_xlfn.IFS(J63=0,"Quick Win Actions: N/A", J63&gt;3.5,"Quick Win Actions: None",1=1,_xlfn.CONCAT("Quick Win Actions: ", _xlfn.IFS(J63=0,"",J63&lt;=1.5,Data!BZ8,J63&lt;=2.5,Data!CA8,J63&lt;=3.5,Data!CB8)))</f>
        <v>Quick Win Actions: Integrate into ERM</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1">
    <mergeCell ref="K4:M4"/>
    <mergeCell ref="J3:M3"/>
    <mergeCell ref="A3:C4"/>
    <mergeCell ref="D3:D4"/>
    <mergeCell ref="C44:F46"/>
    <mergeCell ref="I44:M46"/>
    <mergeCell ref="C36:F38"/>
    <mergeCell ref="I36:M38"/>
    <mergeCell ref="C40:F42"/>
    <mergeCell ref="I40:M42"/>
    <mergeCell ref="C15:I15"/>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IF(COUNTIF(I63:I182,"&gt;0")=0,"-",_xlfn.UNIQUE(_xlfn._xlws.FILTER(F63:F182,I63:I182&gt;0)))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IF(COUNTIF(I63:I182,"&gt;0")=0,"-",_xlfn.UNIQUE(_xlfn._xlws.FILTER(E63:E182,I63:I182&gt;0)))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IF(COUNTIF(I63:I182,"&gt;0")=0,"-",_xlfn.UNIQUE(_xlfn._xlws.FILTER(F63:F182,I63:I182&gt;0)))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t="s">
        <v>1832</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t="s">
        <v>1833</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t="s">
        <v>1834</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t="s">
        <v>1832</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t="s">
        <v>1833</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t="s">
        <v>1835</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t="s">
        <v>1836</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t="s">
        <v>1836</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t="s">
        <v>1837</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t="s">
        <v>1838</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t="s">
        <v>1839</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t="s">
        <v>1834</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t="s">
        <v>1840</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c r="BE107" s="2" t="s">
        <v>711</v>
      </c>
      <c r="BF107" s="2" t="s">
        <v>1075</v>
      </c>
      <c r="BG107" s="2" t="str">
        <f>_xlfn.CONCAT(BE107,BF107)</f>
        <v>FISMASR</v>
      </c>
      <c r="BH107" s="2" t="s">
        <v>1132</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1075</v>
      </c>
      <c r="BG108" s="2" t="str">
        <f>_xlfn.CONCAT(BE108,BF108)</f>
        <v>FedRAMPSR</v>
      </c>
      <c r="BH108" s="2" t="s">
        <v>1132</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t="s">
        <v>1841</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t="s">
        <v>1842</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t="s">
        <v>1843</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t="s">
        <v>1839</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t="s">
        <v>1844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t="s">
        <v>1840</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t="s">
        <v>1845</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t="s">
        <v>1846</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t="s">
        <v>1846</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t="s">
        <v>1847</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t="s">
        <v>1846</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t="s">
        <v>1848</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t="s">
        <v>1847</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t="s">
        <v>1839</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t="s">
        <v>1849</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t="s">
        <v>1841</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t="s">
        <v>1850</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t="s">
        <v>1832</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t="s">
        <v>1851</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t="s">
        <v>1832</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t="s">
        <v>1832</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t="s">
        <v>1850</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t="s">
        <v>1851</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t="s">
        <v>1852</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t="s">
        <v>1832</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t="s">
        <v>1849</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t="s">
        <v>1853</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t="s">
        <v>1846</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t="s">
        <v>1847</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t="s">
        <v>1846</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t="s">
        <v>1846</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t="s">
        <v>1847</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t="s">
        <v>1839</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t="s">
        <v>1853</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t="s">
        <v>1854</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t="s">
        <v>1855</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t="s">
        <v>1846</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t="s">
        <v>1850</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t="s">
        <v>1850</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t="s">
        <v>1856</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t="s">
        <v>1856</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t="s">
        <v>1857</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t="s">
        <v>1856</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t="s">
        <v>1856</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t="s">
        <v>1856</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t="s">
        <v>1857</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t="s">
        <v>1858</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t="s">
        <v>1834</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t="s">
        <v>1859</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t="s">
        <v>1834</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t="s">
        <v>1834</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t="s">
        <v>1834</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t="s">
        <v>1860</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t="s">
        <v>1834</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t="s">
        <v>1834</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t="s">
        <v>1861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t="s">
        <v>1834</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t="s">
        <v>1834</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t="s">
        <v>1834</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t="s">
        <v>1834</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t="s">
        <v>1834</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t="s">
        <v>1834</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t="s">
        <v>1834</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t="s">
        <v>1862</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t="s">
        <v>1834</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t="s">
        <v>1863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t="s">
        <v>1834</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t="s">
        <v>1864</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t="s">
        <v>1864</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t="s">
        <v>1865</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t="s">
        <v>1866</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t="s">
        <v>1867</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t="s">
        <v>1868</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t="s">
        <v>1866</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t="s">
        <v>1869</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t="s">
        <v>1870</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t="s">
        <v>1866</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t="s">
        <v>1871</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t="s">
        <v>1872</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t="s">
        <v>1871</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t="s">
        <v>1836</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t="s">
        <v>1835</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t="s">
        <v>1873</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t="s">
        <v>1874</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t="s">
        <v>1875</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t="s">
        <v>1871</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t="s">
        <v>1876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t="s">
        <v>1877</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t="s">
        <v>1877</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t="s">
        <v>1848</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t="s">
        <v>1848</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t="s">
        <v>1878</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t="s">
        <v>1879</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t="s">
        <v>1880</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t="s">
        <v>1861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t="s">
        <v>1855</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t="s">
        <v>1840</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t="s">
        <v>1881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t="s">
        <v>1882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t="s">
        <v>1863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t="s">
        <v>1854</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t="s">
        <v>1883</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t="s">
        <v>1855</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t="s">
        <v>1884</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t="s">
        <v>1855</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t="s">
        <v>1885</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t="s">
        <v>1886</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