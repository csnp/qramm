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<sst xmlns="http://schemas.openxmlformats.org/spreadsheetml/2006/main" count="6760" uniqueCount="1830">
  <si>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</si>
  <si>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</si>
  <si>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</si>
  <si>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</si>
  <si>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</si>
  <si>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</si>
  <si>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</si>
  <si>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</si>
  <si>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</si>
  <si>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</si>
  <si>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</si>
  <si>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</si>
  <si>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</si>
  <si>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</si>
  <si>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</si>
  <si>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</si>
  <si>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</si>
  <si>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</si>
  <si>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</si>
  <si>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</si>
  <si>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</si>
  <si>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</si>
  <si>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</si>
  <si>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</si>
  <si>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</si>
  <si>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</si>
  <si>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</si>
  <si>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</si>
  <si>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</si>
  <si>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</si>
  <si>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</si>
  <si>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</si>
  <si>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</si>
  <si>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</si>
  <si>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</si>
  <si>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</si>
  <si>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</si>
  <si>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</si>
  <si>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</si>
  <si>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</si>
  <si>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</si>
  <si>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</si>
  <si>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</si>
  <si>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</si>
  <si>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</si>
  <si>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</si>
  <si>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</si>
  <si>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</si>
  <si>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</si>
  <si>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</si>
  <si>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</si>
  <si>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</si>
  <si>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</si>
  <si>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</si>
  <si>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</si>
  <si>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</si>
  <si>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</si>
  <si>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</si>
  <si>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</si>
  <si>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</si>
  <si>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</si>
  <si>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</si>
  <si>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</si>
  <si>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</si>
  <si>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</si>
  <si>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</si>
  <si>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</si>
  <si>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</si>
  <si>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</si>
  <si>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</si>
  <si>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</si>
  <si>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</si>
  <si>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</si>
  <si>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</si>
  <si>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</si>
  <si>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</si>
  <si>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</si>
  <si>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</si>
  <si>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</si>
  <si>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</si>
  <si>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</si>
  <si>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</si>
  <si>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</si>
  <si>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</si>
  <si>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</si>
  <si>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</si>
  <si>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</si>
  <si>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</si>
  <si>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</si>
  <si>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</si>
  <si>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</si>
  <si>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</si>
  <si>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</si>
  <si>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</si>
  <si>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</si>
  <si>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</si>
  <si>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</si>
  <si>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</si>
  <si>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</si>
  <si>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</si>
  <si>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</si>
  <si>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</si>
  <si>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</si>
  <si>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</si>
  <si>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</si>
  <si>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</si>
  <si>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</si>
  <si>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</si>
  <si>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</si>
  <si>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</si>
  <si>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</si>
  <si>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</si>
  <si>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</si>
  <si>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</si>
  <si>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</si>
  <si>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</si>
  <si>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</si>
  <si>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</si>
  <si>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</si>
  <si>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</si>
  <si>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</si>
  <si>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</si>
  <si>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</si>
  <si>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</si>
  <si>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</si>
  <si>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</si>
  <si>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</si>
  <si>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</si>
  <si>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</si>
  <si>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</si>
  <si>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</si>
  <si>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</si>
  <si>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</si>
  <si>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</si>
  <si>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</si>
  <si>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</si>
  <si>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</si>
  <si>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</si>
  <si>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</si>
  <si>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</si>
  <si>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</si>
  <si>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</si>
  <si>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</si>
  <si>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</si>
  <si>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</si>
  <si>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</si>
  <si>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</si>
  <si>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</si>
  <si>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</si>
  <si>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</si>
  <si>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</si>
  <si>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</si>
  <si>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</si>
  <si>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</si>
  <si>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</si>
  <si>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</si>
  <si>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</si>
  <si>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</si>
  <si>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</si>
  <si>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</si>
  <si>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</si>
  <si>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</si>
  <si>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</si>
  <si>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</si>
  <si>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</si>
  <si>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</si>
  <si>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</si>
  <si>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</si>
  <si>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</si>
  <si>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</si>
  <si>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</si>
  <si>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</si>
  <si>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</si>
  <si>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</si>
  <si>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</si>
  <si>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</si>
  <si>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</si>
  <si>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</si>
  <si>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</si>
  <si>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</si>
  <si>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</si>
  <si>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</si>
  <si>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</si>
  <si>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</si>
  <si>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</si>
  <si>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</si>
  <si>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</si>
  <si>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</si>
  <si>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</si>
  <si>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</si>
  <si>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</si>
  <si>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</si>
  <si>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</si>
  <si>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</si>
  <si>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</si>
  <si>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</si>
  <si>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</si>
  <si>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</si>
  <si>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</si>
  <si>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</si>
  <si>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</si>
  <si>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</si>
  <si>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</si>
  <si>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</si>
  <si>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</si>
  <si>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</si>
  <si>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</si>
  <si>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</si>
  <si>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</si>
  <si>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</si>
  <si>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</si>
  <si>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</si>
  <si>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</si>
  <si>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</si>
  <si>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</si>
  <si>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</si>
  <si>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</si>
  <si>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</si>
  <si>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</si>
  <si>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</si>
  <si>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</si>
  <si>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</si>
  <si>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</si>
  <si>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</si>
  <si>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</si>
  <si>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</si>
  <si>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</si>
  <si>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</si>
  <si>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</si>
  <si>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</si>
  <si>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</si>
  <si>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</si>
  <si>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</si>
  <si>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</si>
  <si>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</si>
  <si>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</si>
  <si>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</si>
  <si>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</si>
  <si>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</si>
  <si>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</si>
  <si>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</si>
  <si>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</si>
  <si>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</si>
  <si>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</si>
  <si>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</si>
  <si>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</si>
  <si>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</si>
  <si>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</si>
  <si>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</si>
  <si>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</si>
  <si>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</si>
  <si>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</si>
  <si>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</si>
  <si>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</si>
  <si>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</si>
  <si>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</si>
  <si>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</si>
  <si>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</si>
  <si>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</si>
  <si>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</si>
  <si>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</si>
  <si>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</si>
  <si>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</si>
  <si>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</si>
  <si>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</si>
  <si>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</si>
  <si>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</si>
  <si>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</si>
  <si>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</si>
  <si>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</si>
  <si>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</si>
  <si>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</si>
  <si>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</si>
  <si>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</si>
  <si>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</si>
  <si>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</si>
  <si>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</si>
  <si>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</si>
  <si>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</si>
  <si>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</si>
  <si>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</si>
  <si>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</si>
  <si>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</si>
  <si>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</si>
  <si>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</si>
  <si>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</si>
  <si>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</si>
  <si>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</si>
  <si>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</si>
  <si>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</si>
  <si>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</si>
  <si>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</si>
  <si>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</si>
  <si>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</si>
  <si>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</si>
  <si>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</si>
  <si>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</si>
  <si>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</si>
  <si>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</si>
  <si>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</si>
  <si>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</si>
  <si>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</si>
  <si>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</si>
  <si>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</si>
  <si>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</si>
  <si>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</si>
  <si>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</si>
  <si>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</si>
  <si>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</si>
  <si>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</si>
  <si>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</si>
  <si>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</si>
  <si>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</si>
  <si>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</si>
  <si>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</si>
  <si>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</si>
  <si>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</si>
  <si>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</si>
  <si>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</si>
  <si>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</si>
  <si>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</si>
  <si>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</si>
  <si>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</si>
  <si>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</si>
  <si>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</si>
  <si>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</si>
  <si>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</si>
  <si>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</si>
  <si>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</si>
  <si>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</si>
  <si>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</si>
  <si>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</si>
  <si>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</si>
  <si>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</si>
  <si>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</si>
  <si>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</si>
  <si>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</si>
  <si>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</si>
  <si>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</si>
  <si>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</si>
  <si>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</si>
  <si>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</si>
  <si>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</si>
  <si>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</si>
  <si>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</si>
  <si>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</si>
  <si>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</si>
  <si>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</si>
  <si>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</si>
  <si>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</si>
  <si>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</si>
  <si>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</si>
  <si>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</si>
  <si>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</si>
  <si>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</si>
  <si>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</si>
  <si>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</si>
  <si>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</si>
  <si>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</si>
  <si>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</si>
  <si>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</si>
  <si>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</si>
  <si>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</si>
  <si>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</si>
  <si>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</si>
  <si>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</si>
  <si>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</si>
  <si>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</si>
  <si>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</si>
  <si>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</si>
  <si>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</si>
  <si>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</si>
  <si>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</si>
  <si>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</si>
  <si>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</si>
  <si>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</si>
  <si>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</si>
  <si>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</si>
  <si>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</si>
  <si>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</si>
  <si>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</si>
  <si>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</si>
  <si>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</si>
  <si>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</si>
  <si>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</si>
  <si>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</si>
  <si>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</si>
  <si>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</si>
  <si>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</si>
  <si>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</si>
  <si>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</si>
  <si>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</si>
  <si>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</si>
  <si>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</si>
  <si>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</si>
  <si>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</si>
  <si>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</si>
  <si>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</si>
  <si>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</si>
  <si>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</si>
  <si>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</si>
  <si>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</si>
  <si>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</si>
  <si>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</si>
  <si>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</si>
  <si>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</si>
  <si>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</si>
  <si>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</si>
  <si>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</si>
  <si>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</si>
  <si>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</si>
  <si>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</si>
  <si>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</si>
  <si>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</si>
  <si>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</si>
  <si>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</si>
  <si>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</si>
  <si>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</si>
  <si>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</si>
  <si>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</si>
  <si>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</si>
  <si>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</si>
  <si>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</si>
  <si>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</si>
  <si>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</si>
  <si>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</si>
  <si>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</si>
  <si>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</si>
  <si>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</si>
  <si>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</si>
  <si>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</si>
  <si>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</si>
  <si>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</si>
  <si>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</si>
  <si>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</si>
  <si>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</si>
  <si>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</si>
  <si>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</si>
  <si>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</si>
  <si>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</si>
  <si>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</si>
  <si>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</si>
  <si>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</si>
  <si>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</si>
  <si>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</si>
  <si>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</si>
  <si>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</si>
  <si>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</si>
  <si>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</si>
  <si>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</si>
  <si>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</si>
  <si>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</si>
  <si>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</si>
  <si>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</si>
  <si>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</si>
  <si>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</si>
  <si>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</si>
  <si>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</si>
  <si>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</si>
  <si>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</si>
  <si>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</si>
  <si>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</si>
  <si>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</si>
  <si>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</si>
  <si>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</si>
  <si>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</si>
  <si>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</si>
  <si>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</si>
  <si>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</si>
  <si>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</si>
  <si>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</si>
  <si>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</si>
  <si>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</si>
  <si>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</si>
  <si>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</si>
  <si>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</si>
  <si>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</si>
  <si>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</si>
  <si>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</si>
  <si>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</si>
  <si>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</si>
  <si>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</si>
  <si>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</si>
  <si>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</si>
  <si>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</si>
  <si>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</si>
  <si>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</si>
  <si>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</si>
  <si>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</si>
  <si>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</si>
  <si>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</si>
  <si>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</si>
  <si>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</si>
  <si>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</si>
  <si>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</si>
  <si>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</si>
  <si>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</si>
  <si>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</si>
  <si>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</si>
  <si>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</si>
  <si>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</si>
  <si>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</si>
  <si>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</si>
  <si>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</si>
  <si>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</si>
  <si>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</si>
  <si>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</si>
  <si>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</si>
  <si>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</si>
  <si>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</si>
  <si>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</si>
  <si>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</si>
  <si>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</si>
  <si>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</si>
  <si>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</si>
  <si>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</si>
  <si>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</si>
  <si>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</si>
  <si>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</si>
  <si>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</si>
  <si>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</si>
  <si>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</si>
  <si>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</si>
  <si>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</si>
  <si>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</si>
  <si>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</si>
  <si>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</si>
  <si>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</si>
  <si>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</si>
  <si>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</si>
  <si>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</si>
  <si>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</si>
  <si>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</si>
  <si>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</si>
  <si>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</si>
  <si>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</si>
  <si>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</si>
  <si>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</si>
  <si>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</si>
  <si>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</si>
  <si>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</si>
  <si>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</si>
  <si>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</si>
  <si>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</si>
  <si>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</si>
  <si>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</si>
  <si>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</si>
  <si>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</si>
  <si>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</si>
  <si>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</si>
  <si>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</si>
  <si>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</si>
  <si>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</si>
  <si>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</si>
  <si>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</si>
  <si>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</si>
  <si>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</si>
  <si>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</si>
  <si>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</si>
  <si>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</si>
  <si>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</si>
  <si>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</si>
  <si>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</si>
  <si>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</si>
  <si>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</si>
  <si>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</si>
  <si>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</si>
  <si>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</si>
  <si>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</si>
  <si>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</si>
  <si>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</si>
  <si>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</si>
  <si>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</si>
  <si>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</si>
  <si>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</si>
  <si>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</si>
  <si>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</si>
  <si>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</si>
  <si>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</si>
  <si>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</si>
  <si>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</si>
  <si>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</si>
  <si>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</si>
  <si>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</si>
  <si>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</si>
  <si>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</si>
  <si>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</si>
  <si>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</si>
  <si>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</si>
  <si>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</si>
  <si>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</si>
  <si>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</si>
  <si>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</si>
  <si>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</si>
  <si>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</si>
  <si>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</si>
  <si>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</si>
  <si>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</si>
  <si>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</si>
  <si>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</si>
  <si>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</si>
  <si>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</si>
  <si>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</si>
  <si>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</si>
  <si>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</si>
  <si>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</si>
  <si>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</si>
  <si>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</si>
  <si>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</si>
  <si>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</si>
  <si>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</si>
  <si>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</si>
  <si>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</si>
  <si>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</si>
  <si>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</si>
  <si>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</si>
  <si>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</si>
  <si>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</si>
  <si>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</si>
  <si>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</si>
  <si>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</si>
  <si>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</si>
  <si>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</si>
  <si>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</si>
  <si>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</si>
  <si>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</si>
  <si>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</si>
  <si>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</si>
  <si>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</si>
  <si>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</si>
  <si>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</si>
  <si>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</si>
  <si>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</si>
  <si>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</si>
  <si>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</si>
  <si>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</si>
  <si>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</si>
  <si>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</si>
  <si>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</si>
  <si>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</si>
  <si>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</si>
  <si>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</si>
  <si>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</si>
  <si>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</si>
  <si>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</si>
  <si>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</si>
  <si>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</si>
  <si>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</si>
  <si>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</si>
  <si>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</si>
  <si>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</si>
  <si>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</si>
  <si>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</si>
  <si>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</si>
  <si>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</si>
  <si>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</si>
  <si>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</si>
  <si>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</si>
  <si>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</si>
  <si>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</si>
  <si>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</si>
  <si>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</si>
  <si>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</si>
  <si>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</si>
  <si>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</si>
  <si>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</si>
  <si>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</si>
  <si>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</si>
  <si>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</si>
  <si>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</si>
  <si>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</si>
  <si>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</si>
  <si>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</si>
  <si>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</si>
  <si>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</si>
  <si>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</si>
  <si>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</si>
  <si>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</si>
  <si>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</si>
  <si>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</si>
  <si>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</si>
  <si>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</si>
  <si>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</si>
  <si>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</si>
  <si>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</si>
  <si>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</si>
  <si>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</si>
  <si>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</si>
  <si>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</si>
  <si>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</si>
  <si>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</si>
  <si>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</si>
  <si>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</si>
  <si>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</si>
  <si>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</si>
  <si>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</si>
  <si>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</si>
  <si>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</si>
  <si>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</si>
  <si>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</si>
  <si>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</si>
  <si>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</si>
  <si>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</si>
  <si>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</si>
  <si>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</si>
  <si>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</si>
  <si>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</si>
  <si>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</si>
  <si>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</si>
  <si>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</si>
  <si>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</si>
  <si>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</si>
  <si>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</si>
  <si>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</si>
  <si>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</si>
  <si>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</si>
  <si>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</si>
  <si>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</si>
  <si>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</si>
  <si>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</si>
  <si>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</si>
  <si>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</si>
  <si>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</si>
  <si>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</si>
  <si>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</si>
  <si>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</si>
  <si>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</si>
  <si>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</si>
  <si>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</si>
  <si>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</si>
  <si>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</si>
  <si>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</si>
  <si>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</si>
  <si>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</si>
  <si>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</si>
  <si>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</si>
  <si>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</si>
  <si>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</si>
  <si>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</si>
  <si>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</si>
  <si>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</si>
  <si>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</si>
  <si>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</si>
  <si>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</si>
  <si>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</si>
  <si>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</si>
  <si>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</si>
  <si>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</si>
  <si>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</si>
  <si>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</si>
  <si>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</si>
  <si>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</si>
  <si>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</si>
  <si>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</si>
  <si>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</si>
  <si>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</si>
  <si>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</si>
  <si>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</si>
  <si>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</si>
  <si>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</si>
  <si>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</si>
  <si>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</si>
  <si>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</si>
  <si>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</si>
  <si>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</si>
  <si>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</si>
  <si>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</si>
  <si>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</si>
  <si>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</si>
  <si>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</si>
  <si>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</si>
  <si>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</si>
  <si>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</si>
  <si>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</si>
  <si>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</si>
  <si>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</si>
  <si>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</si>
  <si>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</si>
  <si>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</si>
  <si>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</si>
  <si>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</si>
  <si>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</si>
  <si>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</si>
  <si>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</si>
  <si>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</si>
  <si>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</si>
  <si>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</si>
  <si>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</si>
  <si>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</si>
  <si>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</si>
  <si>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</si>
  <si>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</si>
  <si>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</si>
  <si>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</si>
  <si>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</si>
  <si>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</si>
  <si>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</si>
  <si>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</si>
  <si>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</si>
  <si>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</si>
  <si>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</si>
  <si>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</si>
  <si>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</si>
  <si>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</si>
  <si>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</si>
  <si>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</si>
  <si>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</si>
  <si>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</si>
  <si>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</si>
  <si>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</si>
  <si>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</si>
  <si>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</si>
  <si>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</si>
  <si>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</si>
  <si>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</si>
  <si>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</si>
  <si>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</si>
  <si>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</si>
  <si>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</si>
  <si>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</si>
  <si>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</si>
  <si>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</si>
  <si>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</si>
  <si>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</si>
  <si>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</si>
  <si>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</si>
  <si>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</si>
  <si>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</si>
  <si>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</si>
  <si>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</si>
  <si>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</si>
  <si>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</si>
  <si>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</si>
  <si>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</si>
  <si>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</si>
  <si>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</si>
  <si>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</si>
  <si>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</si>
  <si>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</si>
  <si>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</si>
  <si>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</si>
  <si>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</si>
  <si>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</si>
  <si>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</si>
  <si>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</si>
  <si>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</si>
  <si>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</si>
  <si>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</si>
  <si>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</si>
  <si>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</si>
  <si>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</si>
  <si>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</si>
  <si>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</si>
  <si>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</si>
  <si>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</si>
  <si>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</si>
  <si>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</si>
  <si>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</si>
  <si>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</si>
  <si>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</si>
  <si>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</si>
  <si>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</si>
  <si>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</si>
  <si>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</si>
  <si>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</si>
  <si>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</si>
  <si>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</si>
  <si>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</si>
  <si>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</si>
  <si>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</si>
  <si>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</si>
  <si>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</si>
  <si>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</si>
  <si>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</si>
  <si>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</si>
  <si>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</si>
  <si>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</si>
  <si>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</si>
  <si>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</si>
  <si>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</si>
  <si>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</si>
  <si>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</si>
  <si>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</si>
  <si>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</si>
  <si>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</si>
  <si>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</si>
  <si>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</si>
  <si>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</si>
  <si>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</si>
  <si>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</si>
  <si>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</si>
  <si>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</si>
  <si>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</si>
  <si>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</si>
  <si>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</si>
  <si>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</si>
  <si>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</si>
  <si>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</si>
  <si>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</si>
  <si>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</si>
  <si>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</si>
  <si>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</si>
  <si>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</si>
  <si>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</si>
  <si>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</si>
  <si>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</si>
  <si>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</si>
  <si>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</si>
  <si>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</si>
  <si>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</si>
  <si>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</si>
  <si>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</si>
  <si>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</si>
  <si>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</si>
  <si>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</si>
  <si>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</si>
  <si>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</si>
  <si>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</si>
  <si>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</si>
  <si>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</si>
  <si>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</si>
  <si>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</si>
  <si>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</si>
  <si>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</si>
  <si>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</si>
  <si>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</si>
  <si>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</si>
  <si>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</si>
  <si>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</si>
  <si>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</si>
  <si>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</si>
  <si>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</si>
  <si>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</si>
  <si>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</si>
  <si>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</si>
  <si>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</si>
  <si>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</si>
  <si>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</si>
  <si>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</si>
  <si>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</si>
  <si>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</si>
  <si>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</si>
  <si>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</si>
  <si>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</si>
  <si>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</si>
  <si>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</si>
  <si>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</si>
  <si>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</si>
  <si>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</si>
  <si>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</si>
  <si>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</si>
  <si>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</si>
  <si>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</si>
  <si>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</si>
  <si>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</si>
  <si>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</si>
  <si>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</si>
  <si>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</si>
  <si>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</si>
  <si>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</si>
  <si>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</si>
  <si>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</si>
  <si>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</si>
  <si>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</si>
  <si>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</si>
  <si>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</si>
  <si>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</si>
  <si>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</si>
  <si>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</si>
  <si>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</si>
  <si>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</si>
  <si>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</si>
  <si>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</si>
  <si>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</si>
  <si>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</si>
  <si>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</si>
  <si>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</si>
  <si>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</si>
  <si>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</si>
  <si>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</si>
  <si>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</si>
  <si>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</si>
  <si>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</si>
  <si>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</si>
  <si>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</si>
  <si>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</si>
  <si>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</si>
  <si>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</si>
  <si>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</si>
  <si>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</si>
  <si>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</si>
  <si>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</si>
  <si>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</si>
  <si>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</si>
  <si>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</si>
  <si>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</si>
  <si>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</si>
  <si>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</si>
  <si>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</si>
  <si>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</si>
  <si>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</si>
  <si>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</si>
  <si>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</si>
  <si>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</si>
  <si>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</si>
  <si>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</si>
  <si>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</si>
  <si>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</si>
  <si>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</si>
  <si>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</si>
  <si>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</si>
  <si>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</si>
  <si>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</si>
  <si>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</si>
  <si>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</si>
  <si>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</si>
  <si>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</si>
  <si>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</si>
  <si>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</si>
  <si>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</si>
  <si>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</si>
  <si>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</si>
  <si>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</si>
  <si>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</si>
  <si>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</si>
  <si>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</si>
  <si>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</si>
  <si>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</si>
  <si>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</si>
  <si>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</si>
  <si>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</si>
  <si>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</si>
  <si>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</si>
  <si>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</si>
  <si>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</si>
  <si>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</si>
  <si>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</si>
  <si>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</si>
  <si>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</si>
  <si>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</si>
  <si>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</si>
  <si>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</si>
  <si>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</si>
  <si>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</si>
  <si>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</si>
  <si>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</si>
  <si>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</si>
  <si>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</si>
  <si>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</si>
  <si>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</si>
  <si>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</si>
  <si>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</si>
  <si>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</si>
  <si>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</si>
  <si>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</si>
  <si>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</si>
  <si>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</si>
  <si>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</si>
  <si>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</si>
  <si>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</si>
  <si>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</si>
  <si>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</si>
  <si>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</si>
  <si>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</si>
  <si>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</si>
  <si>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</si>
  <si>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</si>
  <si>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</si>
  <si>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</si>
  <si>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</si>
  <si>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</si>
  <si>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</si>
  <si>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</si>
  <si>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</si>
  <si>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</si>
  <si>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</si>
  <si>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</si>
  <si>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</si>
  <si>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</si>
  <si>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</si>
  <si>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</si>
  <si>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</si>
  <si>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</si>
  <si>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</si>
  <si>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</si>
  <si>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</si>
  <si>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</si>
  <si>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</si>
  <si>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</si>
  <si>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</si>
  <si>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</si>
  <si>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</si>
  <si>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</si>
  <si>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</si>
  <si>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</si>
  <si>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</si>
  <si>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</si>
  <si>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</si>
  <si>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</si>
  <si>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</si>
  <si>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</si>
  <si>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</si>
  <si>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</si>
  <si>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</si>
  <si>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</si>
  <si>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</si>
  <si>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</si>
  <si>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</si>
  <si>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</si>
  <si>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</si>
  <si>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</si>
  <si>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</si>
  <si>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</si>
  <si>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</si>
  <si>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</si>
  <si>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</si>
  <si>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</si>
  <si>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</si>
  <si>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</si>
  <si>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</si>
  <si>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</si>
  <si>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</si>
  <si>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</si>
  <si>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</si>
  <si>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</si>
  <si>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</si>
  <si>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</si>
  <si>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</si>
  <si>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</si>
  <si>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</si>
  <si>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</si>
  <si>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</si>
  <si>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</si>
  <si>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</si>
  <si>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</si>
  <si>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</si>
  <si>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</si>
  <si>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</si>
  <si>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</si>
  <si>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</si>
  <si>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</si>
  <si>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</si>
  <si>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</si>
  <si>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</si>
  <si>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</si>
  <si>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</si>
  <si>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</si>
  <si>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</si>
  <si>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</si>
  <si>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</si>
  <si>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</si>
  <si>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</si>
  <si>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</si>
  <si>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</si>
  <si>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</si>
  <si>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</si>
  <si>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</si>
  <si>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</si>
  <si>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</si>
  <si>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</si>
  <si>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</si>
  <si>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</si>
  <si>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</si>
  <si>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</si>
  <si>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</si>
  <si>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</si>
  <si>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</si>
  <si>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</si>
  <si>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</si>
  <si>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</si>
  <si>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</si>
  <si>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</si>
  <si>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</si>
  <si>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</si>
  <si>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</si>
  <si>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</si>
  <si>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</si>
  <si>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</si>
  <si>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</si>
  <si>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</si>
  <si>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</si>
  <si>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</si>
  <si>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</si>
  <si>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</si>
  <si>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</si>
  <si>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</si>
  <si>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</si>
  <si>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</si>
  <si>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</si>
  <si>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</si>
  <si>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</si>
  <si>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</si>
  <si>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</si>
  <si>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</si>
  <si>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</si>
  <si>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</si>
  <si>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</si>
  <si>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</si>
  <si>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</si>
  <si>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</si>
  <si>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</si>
  <si>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</si>
  <si>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</si>
  <si>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</si>
  <si>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</si>
  <si>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</si>
  <si>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</si>
  <si>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</si>
  <si>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</si>
  <si>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</si>
  <si>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</si>
  <si>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</si>
  <si>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</si>
  <si>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</si>
  <si>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</si>
  <si>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</si>
  <si>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</si>
  <si>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</si>
  <si>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</si>
  <si>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</si>
  <si>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</si>
  <si>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</si>
  <si>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</si>
  <si>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</si>
  <si>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</si>
  <si>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</si>
  <si>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</si>
  <si>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</si>
  <si>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</si>
  <si>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</si>
  <si>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</si>
  <si>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</si>
  <si>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</si>
  <si>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</si>
  <si>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</si>
  <si>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</si>
  <si>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</si>
  <si>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</si>
  <si>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</si>
  <si>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</si>
  <si>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</si>
  <si>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</si>
  <si>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</si>
  <si>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</si>
  <si>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</si>
  <si>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</si>
  <si>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</si>
  <si>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</si>
  <si>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</si>
  <si>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</si>
  <si>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</si>
  <si>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</si>
  <si>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</si>
  <si>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</si>
  <si>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</si>
  <si>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</si>
  <si>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</si>
  <si>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</si>
  <si>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</si>
  <si>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</si>
  <si>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</si>
  <si>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</si>
  <si>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</si>
  <si>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</si>
  <si>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</si>
  <si>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</si>
  <si>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</si>
  <si>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</si>
  <si>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</si>
  <si>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</si>
  <si>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</si>
  <si>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</si>
  <si>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</si>
  <si>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</si>
  <si>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</si>
  <si>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</si>
  <si>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</si>
  <si>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</si>
  <si>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</si>
  <si>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</si>
  <si>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</si>
  <si>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</si>
  <si>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</si>
  <si>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</si>
  <si>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</si>
  <si>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</si>
  <si>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</si>
  <si>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</si>
  <si>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</si>
  <si>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</si>
  <si>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</si>
  <si>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</si>
  <si>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</si>
  <si>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</si>
  <si>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</si>
  <si>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</si>
  <si>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</si>
  <si>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</si>
  <si>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</si>
  <si>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</si>
  <si>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</si>
  <si>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</si>
  <si>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</si>
  <si>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</si>
  <si>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</si>
  <si>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</si>
  <si>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</si>
  <si>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</si>
  <si>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</si>
  <si>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</si>
  <si>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</si>
  <si>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</si>
  <si>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</si>
  <si>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</si>
  <si>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</si>
  <si>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</si>
  <si>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</si>
  <si>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</si>
  <si>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</si>
  <si>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</si>
  <si>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</si>
  <si>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</si>
  <si>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</si>
  <si>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</si>
  <si>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</si>
  <si>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</si>
  <si>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</si>
  <si>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</si>
  <si>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</si>
  <si>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</si>
  <si>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</si>
  <si>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</si>
  <si>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</si>
  <si>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</si>
  <si>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</si>
  <si>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</si>
  <si>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</si>
  <si>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</si>
  <si>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</si>
  <si>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</si>
  <si>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</si>
  <si>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</si>
  <si>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</si>
  <si>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</si>
  <si>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</si>
  <si>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</si>
  <si>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</si>
  <si>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</si>
  <si>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</si>
  <si>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</si>
  <si>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</si>
  <si>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</si>
  <si>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</si>
  <si>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</si>
  <si>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</si>
  <si>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</si>
  <si>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</si>
  <si>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</si>
  <si>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</si>
  <si>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</si>
  <si>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</si>
  <si>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</si>
  <si>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</si>
  <si>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</si>
  <si>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</si>
  <si>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</si>
  <si>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</si>
  <si>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</si>
  <si>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</si>
  <si>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</si>
  <si>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</si>
  <si>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</si>
  <si>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</si>
  <si>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</si>
  <si>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</si>
  <si>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</si>
  <si>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</si>
  <si>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</si>
  <si>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</si>
  <si>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</si>
  <si>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</si>
  <si>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</si>
  <si>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</si>
  <si>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</si>
  <si>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</si>
  <si>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</si>
  <si>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</si>
  <si>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</si>
  <si>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</si>
  <si>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</si>
  <si>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</si>
  <si>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</si>
  <si>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</si>
  <si>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</si>
  <si>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</si>
  <si>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</si>
  <si>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</si>
  <si>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</si>
  <si>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</si>
  <si>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</si>
  <si>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</si>
  <si>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</si>
  <si>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</si>
  <si>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</si>
  <si>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</si>
  <si>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</si>
  <si>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</si>
  <si>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</si>
  <si>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</si>
  <si>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</si>
  <si>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</si>
  <si>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</si>
  <si>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</si>
  <si>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</si>
  <si>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</si>
  <si>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</si>
  <si>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</si>
  <si>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</si>
  <si>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</si>
  <si>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</si>
  <si>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</si>
  <si>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</si>
  <si>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</si>
  <si>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</si>
  <si>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</si>
  <si>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</si>
  <si>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</si>
  <si>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</si>
  <si>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</si>
  <si>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</si>
  <si>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</si>
  <si>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</si>
  <si>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</si>
  <si>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</si>
  <si>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</si>
  <si>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</si>
  <si>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</si>
  <si>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</si>
  <si>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</si>
  <si>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</si>
  <si>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</si>
  <si>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</si>
  <si>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</si>
  <si>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</si>
  <si>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</si>
  <si>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</si>
  <si>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</si>
  <si>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</si>
  <si>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</si>
  <si>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</si>
  <si>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</si>
  <si>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</si>
  <si>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</si>
  <si>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</si>
  <si>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</si>
  <si>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</si>
  <si>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</si>
  <si>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</si>
  <si>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</si>
  <si>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</si>
  <si>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</si>
  <si>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</si>
  <si>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</si>
  <si>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</si>
  <si>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</si>
  <si>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</si>
  <si>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</si>
  <si>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</si>
  <si>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</si>
  <si>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</si>
  <si>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</si>
  <si>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</si>
  <si>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</si>
  <si>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</si>
  <si>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</si>
  <si>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</si>
  <si>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</si>
  <si>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</si>
  <si>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</si>
  <si>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</si>
  <si>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</si>
  <si>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</si>
  <si>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</si>
  <si>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</si>
  <si>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</si>
  <si>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</si>
  <si>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</si>
  <si>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</si>
  <si>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</si>
  <si>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</si>
  <si>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</si>
  <si>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</si>
  <si>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</si>
  <si>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</si>
  <si>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</si>
  <si>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</si>
  <si>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</si>
  <si>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</si>
  <si>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</si>
  <si>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</si>
  <si>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</si>
  <si>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</si>
  <si>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</si>
  <si>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</si>
  <si>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</si>
  <si>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</si>
  <si>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</si>
  <si>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</si>
  <si>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</si>
  <si>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</si>
  <si>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</si>
  <si>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</si>
  <si>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</si>
  <si>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</si>
  <si>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</si>
  <si>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</si>
  <si>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</si>
  <si>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</si>
  <si>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</si>
  <si>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</si>
  <si>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</si>
  <si>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</si>
  <si>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</si>
  <si>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</si>
  <si>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</si>
  <si>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</si>
  <si>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</si>
  <si>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</si>
  <si>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</si>
  <si>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</si>
  <si>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</si>
  <si>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</si>
  <si>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</si>
  <si>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</si>
  <si>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</si>
  <si>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</si>
  <si>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</si>
  <si>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</si>
  <si>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</si>
  <si>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</si>
  <si>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</si>
  <si>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</si>
  <si>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</si>
  <si>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</si>
  <si>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</si>
  <si>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</si>
  <si>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</si>
  <si>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</si>
  <si>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</si>
  <si>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</si>
  <si>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</si>
  <si>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</si>
  <si>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</si>
  <si>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</si>
  <si>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</si>
  <si>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</si>
  <si>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</si>
  <si>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</si>
  <si>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</si>
  <si>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</si>
  <si>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</si>
  <si>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</si>
  <si>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</si>
  <si>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</si>
  <si>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</si>
  <si>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</si>
  <si>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</si>
  <si>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</si>
  <si>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</si>
  <si>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</si>
  <si>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</si>
  <si>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</si>
  <si>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</si>
  <si>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</si>
  <si>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</si>
  <si>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</si>
  <si>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</si>
  <si>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</si>
  <si>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</si>
  <si>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</si>
  <si>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</si>
  <si>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</si>
  <si>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</si>
  <si>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</si>
  <si>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</si>
  <si>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</si>
  <si>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</si>
  <si>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</si>
  <si>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</si>
  <si>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</si>
  <si>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</si>
  <si>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</si>
  <si>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</si>
  <si>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</si>
  <si>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</si>
  <si>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</si>
  <si>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</si>
  <si>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</si>
  <si>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</si>
  <si>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</si>
  <si>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</si>
  <si>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</si>
  <si>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</si>
  <si>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</si>
  <si>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</si>
  <si>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</si>
  <si>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</si>
  <si>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</si>
  <si>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</si>
  <si>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</si>
  <si>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</si>
  <si>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</si>
  <si>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</si>
  <si>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</si>
  <si>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</si>
  <si>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</si>
  <si>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</si>
  <si>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</si>
  <si>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</si>
  <si>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</si>
  <si>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</si>
  <si>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</si>
  <si>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</si>
  <si>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</si>
  <si>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</si>
  <si>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</si>
  <si>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</si>
  <si>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</si>
  <si>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</si>
  <si>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</si>
  <si>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</si>
  <si>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</si>
  <si>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</si>
  <si>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</si>
  <si>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</si>
  <si>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</si>
  <si>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</si>
  <si>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</si>
  <si>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</si>
  <si>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</si>
  <si>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</si>
  <si>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</si>
  <si>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</si>
  <si>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</si>
  <si>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</si>
  <si>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</si>
  <si>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</si>
  <si>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</si>
  <si>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</si>
  <si>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</si>
  <si>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</si>
  <si>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</si>
  <si>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</si>
  <si>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</si>
  <si>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</si>
  <si>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</si>
  <si>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</si>
  <si>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</si>
  <si>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</si>
  <si>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</si>
  <si>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</si>
  <si>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</si>
  <si>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</si>
  <si>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</si>
  <si>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</si>
  <si>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</si>
  <si>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</si>
  <si>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</si>
  <si>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</si>
  <si>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</si>
  <si>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</si>
  <si>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</si>
  <si>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</si>
  <si>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</si>
  <si>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</si>
  <si>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</si>
  <si>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</si>
  <si>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</si>
  <si>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</si>
  <si>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</si>
  <si>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</si>
  <si>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</si>
  <si>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</si>
  <si>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</si>
  <si>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</si>
  <si>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</si>
  <si>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</si>
  <si>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</si>
  <si>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</si>
  <si>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</si>
  <si>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</si>
  <si>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</si>
  <si>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</si>
  <si>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</si>
  <si>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</si>
  <si>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</si>
  <si>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</si>
  <si>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</si>
  <si>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</si>
  <si>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</si>
  <si>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</si>
  <si>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</si>
  <si>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</si>
  <si>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</si>
  <si>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</si>
  <si>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</si>
  <si>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</si>
  <si>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</si>
  <si>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</si>
  <si>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</si>
  <si>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</si>
  <si>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</si>
  <si>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</si>
  <si>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</si>
  <si>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</si>
  <si>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</si>
  <si>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</si>
  <si>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</si>
  <si>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</si>
  <si>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</si>
  <si>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</si>
  <si>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</si>
  <si>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</si>
  <si>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</si>
  <si>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</si>
  <si>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</si>
  <si>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</si>
  <si>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</si>
  <si>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</si>
  <si>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</si>
  <si>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</si>
  <si>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</si>
  <si>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</si>
  <si>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</si>
  <si>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</si>
  <si>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</si>
  <si>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</si>
  <si>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</si>
  <si>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</si>
  <si>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</si>
  <si>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</si>
  <si>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</si>
  <si>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</si>
  <si>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</si>
  <si>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</si>
  <si>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</si>
  <si>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</si>
  <si>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</si>
  <si>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</si>
  <si>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</si>
  <si>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</si>
  <si>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</si>
  <si>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</si>
  <si>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</si>
  <si>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</si>
  <si>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</si>
  <si>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</si>
  <si>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</si>
  <si>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</si>
  <si>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</si>
  <si>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</si>
  <si>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</si>
  <si>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</si>
  <si>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</si>
  <si>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</si>
  <si>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</si>
  <si>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</si>
  <si>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</si>
  <si>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</si>
  <si>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</si>
  <si>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</si>
  <si>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</si>
  <si>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</si>
  <si>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</si>
  <si>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</si>
  <si>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</si>
  <si>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</si>
  <si>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</si>
  <si>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</si>
  <si>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</si>
  <si>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</si>
  <si>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</si>
  <si>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</si>
  <si>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</si>
  <si>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</si>
  <si>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</si>
  <si>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</si>
  <si>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</si>
  <si>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</si>
  <si>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</si>
  <si>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</si>
  <si>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</si>
  <si>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</si>
  <si>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</si>
  <si>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</si>
  <si>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</si>
  <si>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</si>
  <si>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</si>
  <si>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</si>
  <si>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</si>
  <si>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</si>
  <si>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</si>
  <si>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</si>
  <si>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</si>
  <si>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</si>
  <si>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</si>
  <si>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</si>
  <si>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</si>
  <si>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</si>
  <si>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</si>
  <si>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</si>
  <si>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</si>
  <si>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</si>
  <si>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</si>
  <si>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</si>
  <si>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</si>
  <si>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</si>
  <si>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</si>
  <si>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</si>
  <si>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</si>
  <si>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(0.8x – 1.5x),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</si>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</sst>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2.2000000000000002</c:v>
                </c:pt>
                <c:pt idx="1">
                  <c:v>2.5</c:v>
                </c:pt>
                <c:pt idx="2">
                  <c:v>2.2999999999999998</c:v>
                </c:pt>
                <c:pt idx="3">
                  <c:v>2.1</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5721779357073037"/>
                  <c:y val="-7.6907154669119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c:v>
                </c:pt>
                <c:pt idx="2">
                  <c:v>0</c:v>
                </c:pt>
                <c:pt idx="3">
                  <c:v>0</c:v>
                </c:pt>
                <c:pt idx="4">
                  <c:v>0</c:v>
                </c:pt>
                <c:pt idx="5">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f>VLOOKUP($C$16,Benchmarks,3,FALSE)*1</f>
        <v>2.2000000000000002</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f>VLOOKUP($C$16,Benchmarks,4,FALSE)*1</f>
        <v>2.5</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f>VLOOKUP($C$16,Benchmarks,5,FALSE)*1</f>
        <v>2.2999999999999998</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f>VLOOKUP($C$16,Benchmarks,6,FALSE)*1</f>
        <v>2.1</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f>VLOOKUP($C$16,Benchmarks,2,FALSE)*1</f>
        <v>2.2999999999999998</v>
      </c>
      <c r="H14" s="103" t="str" cm="1">
        <f t="array" ref="H14">_xlfn.IFS(E14="-", "Incomplete Assessment", E14&gt;=3.5,"Advanced",E14&gt;=2.5,"Established",E14&gt;=1.5,"Developing",1=1,"Basic")</f>
        <v>Incomplete Assessment</v>
      </c>
      <c r="I14" s="192">
        <f>SUM(I9:I12)/4</f>
        <v>0</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COUNTIF(PracticeScoreOutcomes,"&lt;1.6")/12</f>
        <v>0</v>
      </c>
      <c r="N21" s="59"/>
    </row>
    <row r="22" spans="1:15" ht="18" customHeight="1" x14ac:dyDescent="0.2">
      <c r="A22" s="48"/>
      <c r="C22" s="110"/>
      <c r="D22" s="110"/>
      <c r="J22" s="123"/>
      <c r="K22" s="123"/>
      <c r="L22" s="59" t="s">
        <v>1016</v>
      </c>
      <c r="M22" s="121">
        <f ca="1">COUNTIFS(PracticeScoreOutcomes,"&gt;=1.6",PracticeScoreOutcomes,"&lt;2.6")/12</f>
        <v>0</v>
      </c>
      <c r="N22" s="59"/>
    </row>
    <row r="23" spans="1:15" ht="27.75" customHeight="1" x14ac:dyDescent="0.2">
      <c r="A23" s="48"/>
      <c r="C23" s="112"/>
      <c r="D23" s="110"/>
      <c r="J23" s="123"/>
      <c r="K23" s="123"/>
      <c r="L23" s="59" t="s">
        <v>1017</v>
      </c>
      <c r="M23" s="121">
        <f ca="1">COUNTIFS(PracticeScoreOutcomes,"&gt;=2.6",PracticeScoreOutcomes,"&lt;3.6")/12</f>
        <v>0</v>
      </c>
      <c r="N23" s="59"/>
    </row>
    <row r="24" spans="1:15" ht="27.75" customHeight="1" x14ac:dyDescent="0.3">
      <c r="A24" s="48"/>
      <c r="C24" s="119"/>
      <c r="D24" s="109"/>
      <c r="J24" s="123"/>
      <c r="K24" s="123"/>
      <c r="L24" s="59" t="s">
        <v>836</v>
      </c>
      <c r="M24" s="121">
        <f ca="1">COUNTIFS(PracticeScoreOutcomes,"&gt;=3.6",PracticeScoreOutcomes,"&lt;4")/12</f>
        <v>0</v>
      </c>
      <c r="N24" s="59"/>
    </row>
    <row r="25" spans="1:15" ht="18" customHeight="1" x14ac:dyDescent="0.2">
      <c r="A25" s="48"/>
      <c r="C25" s="110"/>
      <c r="D25" s="110"/>
      <c r="J25" s="123"/>
      <c r="K25" s="123"/>
      <c r="L25" s="59" t="s">
        <v>1018</v>
      </c>
      <c r="M25" s="121">
        <f ca="1">COUNTIF(PracticeScoreOutcomes,"&gt;=4")/12</f>
        <v>0</v>
      </c>
      <c r="N25" s="59"/>
    </row>
    <row r="26" spans="1:15" ht="27.75" customHeight="1" x14ac:dyDescent="0.2">
      <c r="A26" s="48"/>
      <c r="C26" s="112"/>
      <c r="D26" s="111"/>
      <c r="J26" s="123"/>
      <c r="K26" s="123"/>
      <c r="L26" s="59" t="s">
        <v>1019</v>
      </c>
      <c r="M26" s="121">
        <f ca="1">COUNTIF(PracticeScoreOutcomes,"-")/12</f>
        <v>1</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e">
        <f ca="1">INDEX(P58:P69,MATCH(1,PracticeOutcomesDeDupRank,0))</f>
        <v>#N/A</v>
      </c>
      <c r="B35" s="110" t="e">
        <f ca="1">IF(A36&gt;=3.6,"✓","")</f>
        <v>#N/A</v>
      </c>
      <c r="C35" s="124" t="e">
        <f ca="1">IF(B35="","No practice areas with score 3.6 or greater",
INDEX(Data!$U$3:$U$14,MATCH(A35,Data!$V$3:$V$14,0))&amp;" (Score = "&amp;INDEX(PracticeScoreOutcomes,MATCH(1,PracticeOutcomesDeDupRank,0))&amp;")"
)</f>
        <v>#N/A</v>
      </c>
      <c r="D35" s="110"/>
      <c r="G35" s="126" t="e">
        <f ca="1">INDEX($P$58:$P$69,MATCH(MAX(PracticeOutcomesDeDupRank),PracticeOutcomesDeDupRank,0))</f>
        <v>#N/A</v>
      </c>
      <c r="H35" s="125" t="e">
        <f ca="1">IF(G36&lt;2.6,"⮽","")</f>
        <v>#N/A</v>
      </c>
      <c r="I35" s="124" t="e">
        <f ca="1">IF(H35="","No practice areas with score below 2.6",
INDEX(Data!$U$3:$U$14,MATCH(G35,Data!$V$3:$V$14,0))  &amp; " (Score = "&amp;INDEX(PracticeScoreOutcomes,MATCH(MAX(PracticeOutcomesDeDupRank),PracticeOutcomesDeDupRank,0))&amp;")"
)</f>
        <v>#N/A</v>
      </c>
      <c r="J35" s="110"/>
      <c r="L35" s="45"/>
    </row>
    <row r="36" spans="1:15" ht="18" customHeight="1" x14ac:dyDescent="0.2">
      <c r="A36" s="91" t="e">
        <f ca="1">INDEX(PracticeScoreOutcomes,MATCH(1,PracticeOutcomesDeDupRank,0))</f>
        <v>#N/A</v>
      </c>
      <c r="C36" s="215" t="e">
        <f ca="1">IF(B35="","",VLOOKUP(A35,Data!$BP$3:$BR$14,3,FALSE))</f>
        <v>#N/A</v>
      </c>
      <c r="D36" s="215"/>
      <c r="E36" s="215"/>
      <c r="F36" s="215"/>
      <c r="G36" s="127" t="e">
        <f ca="1">INDEX(PracticeScoreOutcomes,MATCH(MAX(PracticeOutcomesDeDupRank),PracticeOutcomesDeDupRank,0))</f>
        <v>#N/A</v>
      </c>
      <c r="I36" s="215" t="e">
        <f ca="1">IF(H35="","",
VLOOKUP(G35,Data!$BT$2:$BW$14,3,FALSE) &amp; CHAR(10) &amp; "Risk level: " &amp; UPPER(VLOOKUP(G35,Data!$BT$2:$BW$14,4,FALSE))
)</f>
        <v>#N/A</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e">
        <f ca="1">INDEX(P58:P69,MATCH(2,PracticeOutcomesDeDupRank,0))</f>
        <v>#N/A</v>
      </c>
      <c r="B39" s="110" t="e">
        <f ca="1">IF(A40&gt;=3.6,"✓","")</f>
        <v>#N/A</v>
      </c>
      <c r="C39" s="124" t="e">
        <f ca="1">IF(B39="","",
INDEX(Data!$U$3:$U$14,MATCH(A39,Data!$V$3:$V$14,0))  &amp; " (Score = "&amp;INDEX(PracticeScoreOutcomes,MATCH(2,PracticeOutcomesDeDupRank,0))&amp;")"
)</f>
        <v>#N/A</v>
      </c>
      <c r="D39" s="110"/>
      <c r="G39" s="126" t="e">
        <f ca="1">INDEX($P$58:$P$69,MATCH(MAX(PracticeOutcomesDeDupRank)-1,PracticeOutcomesDeDupRank,0))</f>
        <v>#N/A</v>
      </c>
      <c r="H39" s="125" t="e">
        <f ca="1">IF(G40&lt;2.6,"⮽","")</f>
        <v>#N/A</v>
      </c>
      <c r="I39" s="124" t="e">
        <f ca="1">INDEX(Data!$U$3:$U$14,MATCH(G39,Data!$V$3:$V$14,0))   &amp; " (Score = "&amp;INDEX(PracticeScoreOutcomes,MATCH(MAX(PracticeOutcomesDeDupRank) - 1,PracticeOutcomesDeDupRank,0))&amp;")"</f>
        <v>#N/A</v>
      </c>
      <c r="J39" s="110"/>
      <c r="L39" s="45"/>
    </row>
    <row r="40" spans="1:15" ht="18" customHeight="1" x14ac:dyDescent="0.2">
      <c r="A40" s="91" t="e">
        <f ca="1">INDEX(PracticeScoreOutcomes,MATCH(2,PracticeOutcomesDeDupRank,0))</f>
        <v>#N/A</v>
      </c>
      <c r="C40" s="215" t="e">
        <f ca="1">IF(B39="","",VLOOKUP(A39,Data!$BP$3:$BR$14,3,FALSE))</f>
        <v>#N/A</v>
      </c>
      <c r="D40" s="215"/>
      <c r="E40" s="215"/>
      <c r="F40" s="215"/>
      <c r="G40" s="127" t="e">
        <f ca="1">INDEX(PracticeScoreOutcomes,MATCH(MAX(PracticeOutcomesDeDupRank)-1,PracticeOutcomesDeDupRank,0))</f>
        <v>#N/A</v>
      </c>
      <c r="I40" s="215" t="e">
        <f ca="1">IF(H39="","",
VLOOKUP(G39,Data!$BT$2:$BW$14,3,FALSE) &amp; CHAR(10) &amp; "Risk level: " &amp; UPPER(VLOOKUP(G39,Data!$BT$2:$BW$14,4,FALSE))
)</f>
        <v>#N/A</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e">
        <f ca="1">INDEX(P58:P69,MATCH(3,PracticeOutcomesDeDupRank,0))</f>
        <v>#N/A</v>
      </c>
      <c r="B43" s="110" t="e">
        <f ca="1">IF(A44&gt;=3.6,"✓","")</f>
        <v>#N/A</v>
      </c>
      <c r="C43" s="124" t="e">
        <f ca="1">IF(B43="","",
INDEX(Data!$U$3:$U$14,MATCH(A43,Data!$V$3:$V$14,0))  &amp; " (Score = "&amp;INDEX(PracticeScoreOutcomes,MATCH(3,PracticeOutcomesDeDupRank,0))&amp;")"
)</f>
        <v>#N/A</v>
      </c>
      <c r="D43" s="110"/>
      <c r="G43" s="126" t="e">
        <f ca="1">INDEX($P$58:$P$69,MATCH(MAX(PracticeOutcomesDeDupRank)-2,PracticeOutcomesDeDupRank,0))</f>
        <v>#N/A</v>
      </c>
      <c r="H43" s="125" t="e">
        <f ca="1">IF(G44&lt;2.6,"⮽","")</f>
        <v>#N/A</v>
      </c>
      <c r="I43" s="124" t="e">
        <f ca="1">INDEX(Data!$U$3:$U$14,MATCH(G43,Data!$V$3:$V$14,0))   &amp; " (Score = "&amp;INDEX(PracticeScoreOutcomes,MATCH(MAX(PracticeOutcomesDeDupRank) - 2,PracticeOutcomesDeDupRank,0))&amp;")"</f>
        <v>#N/A</v>
      </c>
      <c r="J43" s="110"/>
      <c r="L43" s="45"/>
    </row>
    <row r="44" spans="1:15" ht="18" customHeight="1" x14ac:dyDescent="0.2">
      <c r="A44" s="91" t="e">
        <f ca="1">INDEX(PracticeScoreOutcomes,MATCH(3,PracticeOutcomesDeDupRank,0))</f>
        <v>#N/A</v>
      </c>
      <c r="C44" s="215" t="e">
        <f ca="1">IF(B43="","",VLOOKUP(A43,Data!$BP$3:$BR$14,3,FALSE))</f>
        <v>#N/A</v>
      </c>
      <c r="D44" s="215"/>
      <c r="E44" s="215"/>
      <c r="F44" s="215"/>
      <c r="G44" s="127" t="e">
        <f ca="1">INDEX(PracticeScoreOutcomes,MATCH(MAX(PracticeOutcomesDeDupRank)-2,PracticeOutcomesDeDupRank,0))</f>
        <v>#N/A</v>
      </c>
      <c r="I44" s="215" t="e">
        <f ca="1">IF(H43="","",
VLOOKUP(G43,Data!$BT$2:$BW$14,3,FALSE) &amp; CHAR(10) &amp; "Risk level: " &amp; UPPER(VLOOKUP(G43,Data!$BT$2:$BW$14,4,FALSE))
)</f>
        <v>#N/A</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f>ProfileOrgIndustry</f>
        <v>0</v>
      </c>
    </row>
    <row r="51" spans="1:24" ht="27.75" customHeight="1" x14ac:dyDescent="0.2">
      <c r="A51" s="48"/>
      <c r="C51" s="112"/>
      <c r="D51" s="136" t="s">
        <v>1034</v>
      </c>
      <c r="E51" s="98">
        <f>ProfileOrgSize</f>
        <v>0</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e">
        <f ca="1">REPT("█",ROUND(C9*10,0))&amp;REPT("░",10-ROUND(C9*10,0))</f>
        <v>#VALUE!</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e" cm="1" vm="1">
        <f t="array" aca="1" ref="C34" ca="1">_xlfn.UNIQUE(_xlfn._xlws.FILTER(F63:F182,I63:I182&gt;0))</f>
        <v>#VALUE!</v>
      </c>
      <c r="D34" s="172" t="str">
        <f t="shared" ref="D34:D39" ca="1" si="4">IFERROR(REPT("█",ROUND(N34/2,0)) &amp; "  " &amp; ROUND(N34,0) &amp; "%","")</f>
        <v/>
      </c>
      <c r="E34" s="172"/>
      <c r="F34" s="144"/>
      <c r="G34" s="144"/>
      <c r="H34" s="144"/>
      <c r="I34" s="144"/>
      <c r="J34" s="144"/>
      <c r="K34" s="144"/>
      <c r="L34" s="59"/>
      <c r="M34" s="59" t="e" cm="1" vm="1">
        <f t="array" aca="1" ref="M34" ca="1">_xlfn.UNIQUE(_xlfn._xlws.FILTER(E63:E182,I63:I182&gt;0))</f>
        <v>#VALUE!</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e" cm="1" vm="1">
        <f t="array" aca="1" ref="N63" ca="1">_xlfn.UNIQUE(_xlfn._xlws.FILTER(F63:F182,I63:I182&gt;0))</f>
        <v>#VALUE!</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v>1.1000000000000001</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v>2.1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v>3.11</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v>1.1000000000000001</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v>2.1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v>12.1</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v>13.1</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v>13.1</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v>15.1</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v>2.7</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v>7.1</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v>3.11</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v>18.100000000000001</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c r="BE107" s="2" t="s">
        <v>711</v>
      </c>
      <c r="BF107" s="2" t="s">
        <v>1074</v>
      </c>
      <c r="BG107" s="2" t="str">
        <f>_xlfn.CONCAT(BE107,BF107)</f>
        <v>FISMASR</v>
      </c>
      <c r="BH107" s="2" t="s">
        <v>1131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1074</v>
      </c>
      <c r="BG108" s="2" t="str">
        <f>_xlfn.CONCAT(BE108,BF108)</f>
        <v>FedRAMPSR</v>
      </c>
      <c r="BH108" s="2" t="s">
        <v>1131</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v>15.2</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v>7.5</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v>7.2</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v>7.1</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v>7.4</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v>18.100000000000001</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v>18.2</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v>1.4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v>1.4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v>1.5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v>1.4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v>7.3</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v>1.5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v>7.1</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v>1.7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v>15.2</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v>1.3</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v>1.1000000000000001</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v>1.2</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v>1.1000000000000001</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v>1.1000000000000001</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v>1.3</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v>1.2</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v>1.6</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v>1.1000000000000001</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v>1.7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v>1.8</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v>1.4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v>1.5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v>1.4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v>1.4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v>1.5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v>7.1</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v>1.8</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v>16.5</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v>11.1</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v>1.4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v>1.3</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v>1.3</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v>1.9</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v>1.9</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v>1.1000000000000001</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v>1.9</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v>1.9</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v>1.9</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v>1.1000000000000001</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v>1.1100000000000001</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v>3.11</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v>3.13</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v>3.11</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v>3.11</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v>3.11</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v>3.12</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v>3.11</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v>3.11</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v>8.1</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v>3.11</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v>3.11</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v>3.11</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v>3.11</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v>3.11</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v>3.11</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v>3.11</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v>8.1999999999999993</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v>3.11</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v>16.3</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v>3.11</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v>3.1</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v>3.1</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v>3.2</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v>3.3</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v>3.4</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v>3.6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v>3.3</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v>3.7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v>3.8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v>3.3</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v>12.2</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v>14.1</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v>12.2</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v>13.1</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v>12.1</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v>13.2</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v>12.5</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v>12.6</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v>12.2</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v>14.6</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v>4.0999999999999996</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v>4.0999999999999996</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v>7.3</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v>7.3</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v>5.0999999999999996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v>4.8</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v>5.3</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v>8.1</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v>11.1</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v>18.100000000000001</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v>16.100000000000001</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v>16.2</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v>16.3</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v>16.5</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v>16.399999999999999</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v>11.1</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v>11.2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v>11.1</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v>16.600000000000001</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v>16.8</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