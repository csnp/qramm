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F09EE05B-8FBC-4A49-BA35-82428AA89A8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8" i="12" a="1"/>
  <c r="Q66" i="12" a="1"/>
  <c r="Q69" i="12" a="1"/>
  <c r="Q67"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7" i="12" a="1"/>
  <c r="U64" i="12" a="1"/>
  <c r="U69" i="12" a="1"/>
  <c r="U66" i="12" a="1"/>
  <c r="U68" i="12" a="1"/>
  <c r="U65"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77" i="13" a="1"/>
  <c r="H65" i="13" a="1"/>
  <c r="H64" i="13" a="1"/>
  <c r="H73" i="13" a="1"/>
  <c r="H76" i="13" a="1"/>
  <c r="H63" i="13" a="1"/>
  <c r="H66" i="13" a="1"/>
  <c r="H74" i="13" a="1"/>
  <c r="H68" i="13" a="1"/>
  <c r="H75" i="13" a="1"/>
  <c r="H72" i="13" a="1"/>
  <c r="H70" i="13" a="1"/>
  <c r="H69" i="13" a="1"/>
  <c r="H71" i="13" a="1"/>
  <c r="H67"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1" i="12" a="1"/>
  <c r="H78" i="13" a="1"/>
  <c r="Q59" i="12" a="1"/>
  <c r="Q58" i="12" a="1"/>
  <c r="Q62" i="12" a="1"/>
  <c r="Q60" i="12" a="1"/>
  <c r="Q63"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60" i="12" a="1"/>
  <c r="U59"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H80" i="13" a="1"/>
  <c r="U63" i="12" a="1"/>
  <c r="U62" i="12"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<sst xmlns="http://schemas.openxmlformats.org/spreadsheetml/2006/main" count="6879" uniqueCount="1885">
  <si>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</si>
  <si>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</si>
  <si>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</si>
  <si>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</si>
  <si>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</si>
  <si>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</si>
  <si>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</si>
  <si>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</si>
  <si>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</si>
  <si>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</si>
  <si>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</si>
  <si>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</si>
  <si>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</si>
  <si>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</si>
  <si>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</si>
  <si>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</si>
  <si>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</si>
  <si>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</si>
  <si>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</si>
  <si>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</si>
  <si>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</si>
  <si>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</si>
  <si>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</si>
  <si>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</si>
  <si>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</si>
  <si>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</si>
  <si>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</si>
  <si>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</si>
  <si>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</si>
  <si>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</si>
  <si>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</si>
  <si>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</si>
  <si>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</si>
  <si>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</si>
  <si>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</si>
  <si>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</si>
  <si>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</si>
  <si>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</si>
  <si>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</si>
  <si>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</si>
  <si>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</si>
  <si>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</si>
  <si>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</si>
  <si>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</si>
  <si>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</si>
  <si>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</si>
  <si>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</si>
  <si>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</si>
  <si>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</si>
  <si>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</si>
  <si>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</si>
  <si>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</si>
  <si>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</si>
  <si>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</si>
  <si>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</si>
  <si>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</si>
  <si>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</si>
  <si>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</si>
  <si>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</si>
  <si>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</si>
  <si>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</si>
  <si>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</si>
  <si>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</si>
  <si>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</si>
  <si>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</si>
  <si>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</si>
  <si>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</si>
  <si>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</si>
  <si>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</si>
  <si>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</si>
  <si>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</si>
  <si>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</si>
  <si>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</si>
  <si>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</si>
  <si>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</si>
  <si>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</si>
  <si>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</si>
  <si>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</si>
  <si>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</si>
  <si>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</si>
  <si>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</si>
  <si>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</si>
  <si>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</si>
  <si>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</si>
  <si>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</si>
  <si>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</si>
  <si>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</si>
  <si>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</si>
  <si>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</si>
  <si>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</si>
  <si>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</si>
  <si>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</si>
  <si>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</si>
  <si>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</si>
  <si>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</si>
  <si>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</si>
  <si>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</si>
  <si>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</si>
  <si>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</si>
  <si>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</si>
  <si>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</si>
  <si>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</si>
  <si>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</si>
  <si>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</si>
  <si>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</si>
  <si>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</si>
  <si>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</si>
  <si>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</si>
  <si>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</si>
  <si>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</si>
  <si>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</si>
  <si>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</si>
  <si>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</si>
  <si>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</si>
  <si>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</si>
  <si>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</si>
  <si>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</si>
  <si>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</si>
  <si>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</si>
  <si>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</si>
  <si>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</si>
  <si>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</si>
  <si>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</si>
  <si>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</si>
  <si>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</si>
  <si>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</si>
  <si>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</si>
  <si>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</si>
  <si>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</si>
  <si>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</si>
  <si>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</si>
  <si>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</si>
  <si>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</si>
  <si>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</si>
  <si>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</si>
  <si>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</si>
  <si>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</si>
  <si>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</si>
  <si>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</si>
  <si>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</si>
  <si>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</si>
  <si>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</si>
  <si>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</si>
  <si>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</si>
  <si>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</si>
  <si>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</si>
  <si>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</si>
  <si>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</si>
  <si>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</si>
  <si>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</si>
  <si>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</si>
  <si>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</si>
  <si>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</si>
  <si>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</si>
  <si>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</si>
  <si>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</si>
  <si>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</si>
  <si>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</si>
  <si>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</si>
  <si>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</si>
  <si>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</si>
  <si>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</si>
  <si>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</si>
  <si>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</si>
  <si>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</si>
  <si>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</si>
  <si>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</si>
  <si>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</si>
  <si>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</si>
  <si>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</si>
  <si>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</si>
  <si>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</si>
  <si>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</si>
  <si>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</si>
  <si>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</si>
  <si>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</si>
  <si>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</si>
  <si>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</si>
  <si>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</si>
  <si>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</si>
  <si>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</si>
  <si>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</si>
  <si>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</si>
  <si>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</si>
  <si>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</si>
  <si>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</si>
  <si>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</si>
  <si>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</si>
  <si>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</si>
  <si>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</si>
  <si>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</si>
  <si>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</si>
  <si>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</si>
  <si>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</si>
  <si>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</si>
  <si>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</si>
  <si>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</si>
  <si>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</si>
  <si>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</si>
  <si>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</si>
  <si>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</si>
  <si>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</si>
  <si>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</si>
  <si>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</si>
  <si>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</si>
  <si>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</si>
  <si>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</si>
  <si>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</si>
  <si>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</si>
  <si>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</si>
  <si>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</si>
  <si>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</si>
  <si>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</si>
  <si>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</si>
  <si>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</si>
  <si>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</si>
  <si>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</si>
  <si>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</si>
  <si>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</si>
  <si>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</si>
  <si>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</si>
  <si>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</si>
  <si>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</si>
  <si>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</si>
  <si>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</si>
  <si>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</si>
  <si>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</si>
  <si>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</si>
  <si>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</si>
  <si>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</si>
  <si>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</si>
  <si>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</si>
  <si>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</si>
  <si>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</si>
  <si>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</si>
  <si>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</si>
  <si>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</si>
  <si>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</si>
  <si>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</si>
  <si>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</si>
  <si>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</si>
  <si>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</si>
  <si>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</si>
  <si>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</si>
  <si>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</si>
  <si>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</si>
  <si>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</si>
  <si>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</si>
  <si>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</si>
  <si>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</si>
  <si>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</si>
  <si>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</si>
  <si>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</si>
  <si>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</si>
  <si>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</si>
  <si>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</si>
  <si>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</si>
  <si>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</si>
  <si>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</si>
  <si>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</si>
  <si>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</si>
  <si>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</si>
  <si>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</si>
  <si>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</si>
  <si>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</si>
  <si>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</si>
  <si>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</si>
  <si>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</si>
  <si>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</si>
  <si>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</si>
  <si>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</si>
  <si>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</si>
  <si>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</si>
  <si>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</si>
  <si>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</si>
  <si>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</si>
  <si>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</si>
  <si>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</si>
  <si>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</si>
  <si>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</si>
  <si>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</si>
  <si>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</si>
  <si>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</si>
  <si>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</si>
  <si>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</si>
  <si>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</si>
  <si>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</si>
  <si>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</si>
  <si>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</si>
  <si>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</si>
  <si>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</si>
  <si>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</si>
  <si>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</si>
  <si>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</si>
  <si>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</si>
  <si>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</si>
  <si>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</si>
  <si>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</si>
  <si>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</si>
  <si>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</si>
  <si>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</si>
  <si>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</si>
  <si>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</si>
  <si>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</si>
  <si>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</si>
  <si>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</si>
  <si>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</si>
  <si>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</si>
  <si>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</si>
  <si>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</si>
  <si>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</si>
  <si>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</si>
  <si>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</si>
  <si>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</si>
  <si>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</si>
  <si>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</si>
  <si>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</si>
  <si>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</si>
  <si>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</si>
  <si>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</si>
  <si>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</si>
  <si>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</si>
  <si>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</si>
  <si>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</si>
  <si>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</si>
  <si>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</si>
  <si>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</si>
  <si>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</si>
  <si>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</si>
  <si>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</si>
  <si>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</si>
  <si>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</si>
  <si>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</si>
  <si>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</si>
  <si>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</si>
  <si>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</si>
  <si>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</si>
  <si>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</si>
  <si>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</si>
  <si>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</si>
  <si>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</si>
  <si>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</si>
  <si>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</si>
  <si>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</si>
  <si>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</si>
  <si>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</si>
  <si>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</si>
  <si>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</si>
  <si>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</si>
  <si>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</si>
  <si>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</si>
  <si>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</si>
  <si>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</si>
  <si>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</si>
  <si>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</si>
  <si>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</si>
  <si>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</si>
  <si>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</si>
  <si>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</si>
  <si>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</si>
  <si>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</si>
  <si>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</si>
  <si>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</si>
  <si>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</si>
  <si>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</si>
  <si>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</si>
  <si>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</si>
  <si>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</si>
  <si>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</si>
  <si>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</si>
  <si>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</si>
  <si>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</si>
  <si>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</si>
  <si>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</si>
  <si>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</si>
  <si>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</si>
  <si>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</si>
  <si>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</si>
  <si>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</si>
  <si>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</si>
  <si>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</si>
  <si>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</si>
  <si>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</si>
  <si>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</si>
  <si>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</si>
  <si>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</si>
  <si>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</si>
  <si>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</si>
  <si>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</si>
  <si>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</si>
  <si>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</si>
  <si>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</si>
  <si>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</si>
  <si>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</si>
  <si>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</si>
  <si>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</si>
  <si>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</si>
  <si>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</si>
  <si>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</si>
  <si>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</si>
  <si>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</si>
  <si>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</si>
  <si>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</si>
  <si>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</si>
  <si>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</si>
  <si>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</si>
  <si>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</si>
  <si>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</si>
  <si>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</si>
  <si>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</si>
  <si>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</si>
  <si>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</si>
  <si>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</si>
  <si>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</si>
  <si>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</si>
  <si>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</si>
  <si>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</si>
  <si>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</si>
  <si>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</si>
  <si>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</si>
  <si>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</si>
  <si>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</si>
  <si>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</si>
  <si>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</si>
  <si>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</si>
  <si>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</si>
  <si>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</si>
  <si>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</si>
  <si>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</si>
  <si>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</si>
  <si>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</si>
  <si>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</si>
  <si>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</si>
  <si>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</si>
  <si>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</si>
  <si>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</si>
  <si>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</si>
  <si>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</si>
  <si>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</si>
  <si>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</si>
  <si>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</si>
  <si>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</si>
  <si>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</si>
  <si>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</si>
  <si>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</si>
  <si>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</si>
  <si>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</si>
  <si>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</si>
  <si>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</si>
  <si>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</si>
  <si>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</si>
  <si>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</si>
  <si>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</si>
  <si>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</si>
  <si>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</si>
  <si>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</si>
  <si>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</si>
  <si>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</si>
  <si>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</si>
  <si>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</si>
  <si>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</si>
  <si>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</si>
  <si>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</si>
  <si>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</si>
  <si>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</si>
  <si>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</si>
  <si>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</si>
  <si>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</si>
  <si>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</si>
  <si>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</si>
  <si>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</si>
  <si>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</si>
  <si>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</si>
  <si>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</si>
  <si>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</si>
  <si>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</si>
  <si>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</si>
  <si>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</si>
  <si>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</si>
  <si>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</si>
  <si>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</si>
  <si>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</si>
  <si>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</si>
  <si>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</si>
  <si>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</si>
  <si>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</si>
  <si>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</si>
  <si>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</si>
  <si>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</si>
  <si>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</si>
  <si>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</si>
  <si>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</si>
  <si>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</si>
  <si>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</si>
  <si>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</si>
  <si>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</si>
  <si>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</si>
  <si>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</si>
  <si>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</si>
  <si>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</si>
  <si>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</si>
  <si>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</si>
  <si>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</si>
  <si>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</si>
  <si>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</si>
  <si>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</si>
  <si>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</si>
  <si>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</si>
  <si>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</si>
  <si>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</si>
  <si>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</si>
  <si>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</si>
  <si>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</si>
  <si>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</si>
  <si>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</si>
  <si>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</si>
  <si>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</si>
  <si>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</si>
  <si>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</si>
  <si>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</si>
  <si>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</si>
  <si>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</si>
  <si>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</si>
  <si>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</si>
  <si>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</si>
  <si>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</si>
  <si>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</si>
  <si>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</si>
  <si>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</si>
  <si>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</si>
  <si>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</si>
  <si>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</si>
  <si>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</si>
  <si>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</si>
  <si>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</si>
  <si>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</si>
  <si>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</si>
  <si>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</si>
  <si>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</si>
  <si>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</si>
  <si>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</si>
  <si>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</si>
  <si>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</si>
  <si>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</si>
  <si>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</si>
  <si>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</si>
  <si>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</si>
  <si>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</si>
  <si>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</si>
  <si>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</si>
  <si>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</si>
  <si>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</si>
  <si>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</si>
  <si>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</si>
  <si>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</si>
  <si>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</si>
  <si>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</si>
  <si>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</si>
  <si>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</si>
  <si>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</si>
  <si>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</si>
  <si>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</si>
  <si>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</si>
  <si>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</si>
  <si>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</si>
  <si>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</si>
  <si>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</si>
  <si>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</si>
  <si>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</si>
  <si>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</si>
  <si>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</si>
  <si>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</si>
  <si>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</si>
  <si>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</si>
  <si>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</si>
  <si>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</si>
  <si>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</si>
  <si>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</si>
  <si>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</si>
  <si>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</si>
  <si>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</si>
  <si>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</si>
  <si>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</si>
  <si>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</si>
  <si>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</si>
  <si>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</si>
  <si>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</si>
  <si>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</si>
  <si>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</si>
  <si>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</si>
  <si>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</si>
  <si>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</si>
  <si>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</si>
  <si>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</si>
  <si>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</si>
  <si>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</si>
  <si>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</si>
  <si>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</si>
  <si>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</si>
  <si>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</si>
  <si>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</si>
  <si>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</si>
  <si>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</si>
  <si>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</si>
  <si>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</si>
  <si>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</si>
  <si>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</si>
  <si>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</si>
  <si>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</si>
  <si>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</si>
  <si>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</si>
  <si>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</si>
  <si>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</si>
  <si>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</si>
  <si>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</si>
  <si>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</si>
  <si>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</si>
  <si>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</si>
  <si>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</si>
  <si>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</si>
  <si>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</si>
  <si>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</si>
  <si>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</si>
  <si>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</si>
  <si>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</si>
  <si>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</si>
  <si>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</si>
  <si>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</si>
  <si>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</si>
  <si>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</si>
  <si>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</si>
  <si>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</si>
  <si>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</si>
  <si>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</si>
  <si>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</si>
  <si>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</si>
  <si>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</si>
  <si>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</si>
  <si>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</si>
  <si>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</si>
  <si>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</si>
  <si>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</si>
  <si>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</si>
  <si>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</si>
  <si>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</si>
  <si>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</si>
  <si>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</si>
  <si>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</si>
  <si>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</si>
  <si>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</si>
  <si>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</si>
  <si>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</si>
  <si>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</si>
  <si>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</si>
  <si>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</si>
  <si>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</si>
  <si>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</si>
  <si>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</si>
  <si>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</si>
  <si>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</si>
  <si>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</si>
  <si>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</si>
  <si>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</si>
  <si>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</si>
  <si>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</si>
  <si>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</si>
  <si>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</si>
  <si>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</si>
  <si>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</si>
  <si>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</si>
  <si>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</si>
  <si>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</si>
  <si>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</si>
  <si>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</si>
  <si>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</si>
  <si>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</si>
  <si>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</si>
  <si>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</si>
  <si>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</si>
  <si>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</si>
  <si>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</si>
  <si>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</si>
  <si>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</si>
  <si>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</si>
  <si>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</si>
  <si>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</si>
  <si>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</si>
  <si>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</si>
  <si>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</si>
  <si>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</si>
  <si>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</si>
  <si>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</si>
  <si>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</si>
  <si>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</si>
  <si>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</si>
  <si>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</si>
  <si>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</si>
  <si>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</si>
  <si>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</si>
  <si>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</si>
  <si>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</si>
  <si>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</si>
  <si>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</si>
  <si>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</si>
  <si>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</si>
  <si>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</si>
  <si>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</si>
  <si>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</si>
  <si>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</si>
  <si>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</si>
  <si>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</si>
  <si>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</si>
  <si>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</si>
  <si>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</si>
  <si>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</si>
  <si>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</si>
  <si>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</si>
  <si>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</si>
  <si>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</si>
  <si>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</si>
  <si>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</si>
  <si>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</si>
  <si>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</si>
  <si>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</si>
  <si>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</si>
  <si>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</si>
  <si>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</si>
  <si>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</si>
  <si>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</si>
  <si>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</si>
  <si>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</si>
  <si>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</si>
  <si>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</si>
  <si>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</si>
  <si>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</si>
  <si>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</si>
  <si>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</si>
  <si>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</si>
  <si>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</si>
  <si>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</si>
  <si>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</si>
  <si>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</si>
  <si>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</si>
  <si>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</si>
  <si>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</si>
  <si>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</si>
  <si>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</si>
  <si>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</si>
  <si>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</si>
  <si>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</si>
  <si>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</si>
  <si>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</si>
  <si>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</si>
  <si>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</si>
  <si>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</si>
  <si>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</si>
  <si>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</si>
  <si>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</si>
  <si>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</si>
  <si>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</si>
  <si>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</si>
  <si>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</si>
  <si>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</si>
  <si>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</si>
  <si>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</si>
  <si>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</si>
  <si>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</si>
  <si>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</si>
  <si>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</si>
  <si>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</si>
  <si>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</si>
  <si>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</si>
  <si>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</si>
  <si>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</si>
  <si>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</si>
  <si>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</si>
  <si>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</si>
  <si>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</si>
  <si>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</si>
  <si>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</si>
  <si>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</si>
  <si>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</si>
  <si>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</si>
  <si>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</si>
  <si>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</si>
  <si>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</si>
  <si>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</si>
  <si>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</si>
  <si>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</si>
  <si>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</si>
  <si>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</si>
  <si>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</si>
  <si>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</si>
  <si>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</si>
  <si>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</si>
  <si>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</si>
  <si>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</si>
  <si>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</si>
  <si>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</si>
  <si>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</si>
  <si>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</si>
  <si>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</si>
  <si>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</si>
  <si>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</si>
  <si>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</si>
  <si>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</si>
  <si>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</si>
  <si>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</si>
  <si>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</si>
  <si>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</si>
  <si>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</si>
  <si>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</si>
  <si>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</si>
  <si>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</si>
  <si>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</si>
  <si>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</si>
  <si>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</si>
  <si>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</si>
  <si>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</si>
  <si>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</si>
  <si>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</si>
  <si>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</si>
  <si>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</si>
  <si>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</si>
  <si>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</si>
  <si>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</si>
  <si>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</si>
  <si>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</si>
  <si>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</si>
  <si>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</si>
  <si>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</si>
  <si>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</si>
  <si>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</si>
  <si>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</si>
  <si>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</si>
  <si>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</si>
  <si>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</si>
  <si>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</si>
  <si>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</si>
  <si>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</si>
  <si>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</si>
  <si>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</si>
  <si>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</si>
  <si>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</si>
  <si>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</si>
  <si>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</si>
  <si>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</si>
  <si>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</si>
  <si>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</si>
  <si>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</si>
  <si>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</si>
  <si>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</si>
  <si>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</si>
  <si>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</si>
  <si>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</si>
  <si>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</si>
  <si>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</si>
  <si>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</si>
  <si>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</si>
  <si>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</si>
  <si>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</si>
  <si>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</si>
  <si>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</si>
  <si>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</si>
  <si>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</si>
  <si>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</si>
  <si>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</si>
  <si>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</si>
  <si>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</si>
  <si>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</si>
  <si>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</si>
  <si>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</si>
  <si>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</si>
  <si>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</si>
  <si>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</si>
  <si>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</si>
  <si>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</si>
  <si>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</si>
  <si>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</si>
  <si>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</si>
  <si>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</si>
  <si>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</si>
  <si>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</si>
  <si>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</si>
  <si>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</si>
  <si>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</si>
  <si>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</si>
  <si>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</si>
  <si>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</si>
  <si>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</si>
  <si>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</si>
  <si>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</si>
  <si>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</si>
  <si>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</si>
  <si>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</si>
  <si>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</si>
  <si>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</si>
  <si>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</si>
  <si>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</si>
  <si>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</si>
  <si>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</si>
  <si>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</si>
  <si>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</si>
  <si>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</si>
  <si>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</si>
  <si>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</si>
  <si>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</si>
  <si>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</si>
  <si>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</si>
  <si>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</si>
  <si>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</si>
  <si>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</si>
  <si>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</si>
  <si>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</si>
  <si>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</si>
  <si>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</si>
  <si>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</si>
  <si>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</si>
  <si>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</si>
  <si>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</si>
  <si>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</si>
  <si>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</si>
  <si>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</si>
  <si>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</si>
  <si>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</si>
  <si>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</si>
  <si>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</si>
  <si>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</si>
  <si>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</si>
  <si>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</si>
  <si>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</si>
  <si>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</si>
  <si>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</si>
  <si>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</si>
  <si>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</si>
  <si>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</si>
  <si>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</si>
  <si>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</si>
  <si>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</si>
  <si>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</si>
  <si>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</si>
  <si>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</si>
  <si>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</si>
  <si>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</si>
  <si>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</si>
  <si>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</si>
  <si>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</si>
  <si>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</si>
  <si>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</si>
  <si>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</si>
  <si>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</si>
  <si>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</si>
  <si>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</si>
  <si>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</si>
  <si>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</si>
  <si>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</si>
  <si>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</si>
  <si>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</si>
  <si>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</si>
  <si>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</si>
  <si>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</si>
  <si>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</si>
  <si>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</si>
  <si>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</si>
  <si>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</si>
  <si>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</si>
  <si>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</si>
  <si>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</si>
  <si>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</si>
  <si>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</si>
  <si>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</si>
  <si>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</si>
  <si>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</si>
  <si>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</si>
  <si>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</si>
  <si>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</si>
  <si>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</si>
  <si>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</si>
  <si>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</si>
  <si>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</si>
  <si>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</si>
  <si>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</si>
  <si>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</si>
  <si>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</si>
  <si>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</si>
  <si>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</si>
  <si>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</si>
  <si>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</si>
  <si>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</si>
  <si>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</si>
  <si>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</si>
  <si>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</si>
  <si>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</si>
  <si>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</si>
  <si>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</si>
  <si>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</si>
  <si>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</si>
  <si>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</si>
  <si>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</si>
  <si>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</si>
  <si>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</si>
  <si>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</si>
  <si>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</si>
  <si>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</si>
  <si>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</si>
  <si>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</si>
  <si>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</si>
  <si>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</si>
  <si>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</si>
  <si>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</si>
  <si>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</si>
  <si>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</si>
  <si>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</si>
  <si>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</si>
  <si>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</si>
  <si>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</si>
  <si>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</si>
  <si>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</si>
  <si>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</si>
  <si>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</si>
  <si>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</si>
  <si>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</si>
  <si>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</si>
  <si>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</si>
  <si>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</si>
  <si>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</si>
  <si>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</si>
  <si>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</si>
  <si>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</si>
  <si>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</si>
  <si>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</si>
  <si>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</si>
  <si>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</si>
  <si>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</si>
  <si>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</si>
  <si>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</si>
  <si>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</si>
  <si>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</si>
  <si>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</si>
  <si>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</si>
  <si>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</si>
  <si>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</si>
  <si>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</si>
  <si>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</si>
  <si>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</si>
  <si>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</si>
  <si>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</si>
  <si>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</si>
  <si>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</si>
  <si>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</si>
  <si>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</si>
  <si>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</si>
  <si>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</si>
  <si>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</si>
  <si>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</si>
  <si>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</si>
  <si>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</si>
  <si>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</si>
  <si>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</si>
  <si>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</si>
  <si>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</si>
  <si>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</si>
  <si>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</si>
  <si>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</si>
  <si>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</si>
  <si>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</si>
  <si>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</si>
  <si>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</si>
  <si>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</si>
  <si>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</si>
  <si>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</si>
  <si>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</si>
  <si>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</si>
  <si>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</si>
  <si>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</si>
  <si>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</si>
  <si>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</si>
  <si>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</si>
  <si>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</si>
  <si>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</si>
  <si>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</si>
  <si>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</si>
  <si>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</si>
  <si>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</si>
  <si>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</si>
  <si>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</si>
  <si>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</si>
  <si>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</si>
  <si>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</si>
  <si>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</si>
  <si>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</si>
  <si>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</si>
  <si>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</si>
  <si>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</si>
  <si>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</si>
  <si>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</si>
  <si>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</si>
  <si>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</si>
  <si>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</si>
  <si>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</si>
  <si>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</si>
  <si>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</si>
  <si>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</si>
  <si>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</si>
  <si>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</si>
  <si>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</si>
  <si>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</si>
  <si>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</si>
  <si>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</si>
  <si>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</si>
  <si>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</si>
  <si>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</si>
  <si>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</si>
  <si>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</si>
  <si>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</si>
  <si>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</si>
  <si>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</si>
  <si>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</si>
  <si>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</si>
  <si>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</si>
  <si>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</si>
  <si>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</si>
  <si>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</si>
  <si>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</si>
  <si>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</si>
  <si>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</si>
  <si>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</si>
  <si>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</si>
  <si>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</si>
  <si>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</si>
  <si>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</si>
  <si>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</si>
  <si>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</si>
  <si>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</si>
  <si>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</si>
  <si>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</si>
  <si>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</si>
  <si>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</si>
  <si>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</si>
  <si>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</si>
  <si>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</si>
  <si>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</si>
  <si>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</si>
  <si>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</si>
  <si>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</si>
  <si>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</si>
  <si>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</si>
  <si>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</si>
  <si>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</si>
  <si>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</si>
  <si>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</si>
  <si>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</si>
  <si>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</si>
  <si>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</si>
  <si>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</si>
  <si>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</si>
  <si>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</si>
  <si>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</si>
  <si>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</si>
  <si>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</si>
  <si>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</si>
  <si>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</si>
  <si>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</si>
  <si>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</si>
  <si>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</si>
  <si>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</si>
  <si>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</si>
  <si>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</si>
  <si>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</si>
  <si>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</si>
  <si>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</si>
  <si>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</si>
  <si>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</si>
  <si>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</si>
  <si>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</si>
  <si>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</si>
  <si>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</si>
  <si>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</si>
  <si>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</si>
  <si>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</si>
  <si>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</si>
  <si>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</si>
  <si>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</si>
  <si>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</si>
  <si>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</si>
  <si>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</si>
  <si>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</si>
  <si>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</si>
  <si>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</si>
  <si>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</si>
  <si>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</si>
  <si>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</si>
  <si>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</si>
  <si>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</si>
  <si>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</si>
  <si>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</si>
  <si>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</si>
  <si>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</si>
  <si>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</si>
  <si>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</si>
  <si>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</si>
  <si>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</si>
  <si>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</si>
  <si>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</si>
  <si>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</si>
  <si>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</si>
  <si>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</si>
  <si>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</si>
  <si>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</si>
  <si>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</si>
  <si>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</si>
  <si>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</si>
  <si>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</si>
  <si>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</si>
  <si>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</si>
  <si>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</si>
  <si>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</si>
  <si>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</si>
  <si>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</si>
  <si>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</si>
  <si>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</si>
  <si>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</si>
  <si>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</si>
  <si>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</si>
  <si>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</si>
  <si>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</si>
  <si>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</si>
  <si>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</si>
  <si>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</si>
  <si>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</si>
  <si>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</si>
  <si>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</si>
  <si>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</si>
  <si>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</si>
  <si>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</si>
  <si>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</si>
  <si>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</si>
  <si>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</si>
  <si>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</si>
  <si>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</si>
  <si>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</si>
  <si>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</si>
  <si>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</si>
  <si>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</si>
  <si>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</si>
  <si>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</si>
  <si>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</si>
  <si>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</si>
  <si>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</si>
  <si>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</si>
  <si>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</si>
  <si>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</si>
  <si>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</si>
  <si>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</si>
  <si>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</si>
  <si>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</si>
  <si>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</si>
  <si>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</si>
  <si>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</si>
  <si>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</si>
  <si>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</si>
  <si>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</si>
  <si>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</si>
  <si>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</si>
  <si>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</si>
  <si>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</si>
  <si>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</si>
  <si>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</si>
  <si>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</si>
  <si>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</si>
  <si>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</si>
  <si>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</si>
  <si>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</si>
  <si>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</si>
  <si>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</si>
  <si>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</si>
  <si>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</si>
  <si>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</si>
  <si>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</si>
  <si>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</si>
  <si>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</si>
  <si>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</si>
  <si>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</si>
  <si>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</si>
  <si>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</si>
  <si>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</si>
  <si>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</si>
  <si>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</si>
  <si>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</si>
  <si>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</si>
  <si>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</si>
  <si>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</si>
  <si>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</si>
  <si>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</si>
  <si>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</si>
  <si>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</si>
  <si>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</si>
  <si>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</si>
  <si>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</si>
  <si>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</si>
  <si>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</si>
  <si>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</si>
  <si>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</si>
  <si>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</si>
  <si>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</si>
  <si>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</si>
  <si>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</si>
  <si>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</si>
  <si>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</si>
  <si>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</si>
  <si>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</si>
  <si>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</si>
  <si>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</si>
  <si>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</si>
  <si>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</si>
  <si>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</si>
  <si>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</si>
  <si>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</si>
  <si>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</si>
  <si>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</si>
  <si>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</si>
  <si>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</si>
  <si>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</si>
  <si>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</si>
  <si>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</si>
  <si>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</si>
  <si>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</si>
  <si>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</si>
  <si>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</si>
  <si>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</si>
  <si>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</si>
  <si>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</si>
  <si>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</si>
  <si>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</si>
  <si>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</si>
  <si>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</si>
  <si>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</si>
  <si>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</si>
  <si>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</si>
  <si>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</si>
  <si>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</si>
  <si>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</si>
  <si>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</si>
  <si>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</si>
  <si>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</si>
  <si>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</si>
  <si>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</si>
  <si>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</si>
  <si>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</si>
  <si>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</si>
  <si>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</si>
  <si>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</si>
  <si>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</si>
  <si>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</si>
  <si>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</si>
  <si>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</si>
  <si>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</si>
  <si>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</si>
  <si>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</si>
  <si>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</si>
  <si>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</si>
  <si>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</si>
  <si>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</si>
  <si>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</si>
  <si>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</si>
  <si>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</si>
  <si>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</si>
  <si>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</si>
  <si>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</si>
  <si>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</si>
  <si>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</si>
  <si>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</si>
  <si>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</si>
  <si>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</si>
  <si>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</si>
  <si>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</si>
  <si>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</si>
  <si>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</si>
  <si>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</si>
  <si>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</si>
  <si>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</si>
  <si>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</si>
  <si>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</si>
  <si>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</si>
  <si>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</si>
  <si>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</si>
  <si>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</si>
  <si>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</si>
  <si>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</si>
  <si>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</si>
  <si>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</si>
  <si>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</si>
  <si>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</si>
  <si>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</si>
  <si>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</si>
  <si>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</si>
  <si>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</si>
  <si>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</si>
  <si>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</si>
  <si>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</si>
  <si>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</si>
  <si>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</si>
  <si>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</si>
  <si>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</si>
  <si>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</si>
  <si>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</si>
  <si>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</si>
  <si>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</si>
  <si>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</si>
  <si>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</si>
  <si>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</si>
  <si>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</si>
  <si>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</si>
  <si>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</si>
  <si>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</si>
  <si>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</si>
  <si>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</si>
  <si>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</si>
  <si>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</si>
  <si>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</si>
  <si>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</si>
  <si>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</si>
  <si>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</si>
  <si>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</si>
  <si>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</si>
  <si>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</si>
  <si>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</si>
  <si>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</si>
  <si>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</si>
  <si>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</si>
  <si>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</si>
  <si>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</si>
  <si>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</si>
  <si>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</si>
  <si>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</si>
  <si>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</si>
  <si>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</si>
  <si>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</si>
  <si>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</si>
  <si>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</si>
  <si>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</si>
  <si>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</si>
  <si>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</si>
  <si>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</si>
  <si>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</si>
  <si>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</si>
  <si>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</si>
  <si>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</si>
  <si>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</si>
  <si>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</si>
  <si>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</si>
  <si>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</si>
  <si>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</si>
  <si>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</si>
  <si>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</si>
  <si>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</si>
  <si>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</si>
  <si>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</si>
  <si>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</si>
  <si>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</si>
  <si>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</si>
  <si>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</si>
  <si>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</si>
  <si>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</si>
  <si>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</si>
  <si>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</si>
  <si>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</si>
  <si>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</si>
  <si>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</si>
  <si>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</si>
  <si>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</si>
  <si>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</si>
  <si>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</si>
  <si>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</si>
  <si>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</si>
  <si>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</si>
  <si>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</si>
  <si>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</si>
  <si>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</si>
  <si>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</si>
  <si>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</si>
  <si>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</si>
  <si>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</si>
  <si>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</si>
  <si>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</si>
  <si>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</si>
  <si>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</si>
  <si>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</si>
  <si>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</si>
  <si>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</si>
  <si>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</si>
  <si>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</si>
  <si>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</si>
  <si>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</si>
  <si>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</si>
  <si>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</si>
  <si>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</si>
  <si>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</si>
  <si>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</si>
  <si>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</si>
  <si>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</si>
  <si>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</si>
  <si>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</si>
  <si>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</si>
  <si>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</si>
  <si>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</si>
  <si>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</si>
  <si>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</si>
  <si>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</si>
  <si>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</si>
  <si>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</si>
  <si>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</si>
  <si>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</si>
  <si>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</si>
  <si>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</si>
  <si>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</si>
  <si>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</si>
  <si>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</si>
  <si>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</si>
  <si>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</si>
  <si>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</si>
  <si>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</si>
  <si>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</si>
  <si>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</si>
  <si>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</si>
  <si>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</si>
  <si>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</si>
  <si>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</si>
  <si>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</si>
  <si>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</si>
  <si>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</si>
  <si>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</si>
  <si>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</si>
  <si>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</si>
  <si>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</si>
  <si>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</si>
  <si>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</si>
  <si>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</si>
  <si>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</si>
  <si>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</si>
  <si>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</si>
  <si>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</si>
  <si>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</si>
  <si>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</si>
  <si>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</si>
  <si>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</si>
  <si>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</si>
  <si>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</si>
  <si>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</si>
  <si>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</si>
  <si>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</si>
  <si>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</si>
  <si>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</si>
  <si>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</si>
  <si>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</si>
  <si>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</si>
  <si>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</si>
  <si>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</si>
  <si>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</si>
  <si>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</si>
  <si>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</si>
  <si>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</si>
  <si>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</si>
  <si>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</si>
  <si>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</si>
  <si>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</si>
  <si>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</si>
  <si>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</si>
  <si>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</si>
  <si>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</si>
  <si>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</si>
  <si>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</si>
  <si>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</si>
  <si>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</si>
  <si>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</si>
  <si>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</si>
  <si>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</si>
  <si>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</si>
  <si>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</si>
  <si>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</si>
  <si>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</si>
  <si>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</si>
  <si>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</si>
  <si>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</si>
  <si>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</si>
  <si>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</si>
  <si>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</si>
  <si>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</si>
  <si>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</si>
  <si>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</si>
  <si>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</si>
  <si>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</si>
  <si>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</si>
  <si>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</si>
  <si>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</si>
  <si>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</si>
  <si>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</si>
  <si>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</si>
  <si>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</si>
  <si>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</si>
  <si>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</si>
  <si>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</si>
  <si>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</si>
  <si>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</si>
  <si>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</si>
  <si>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</si>
  <si>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</si>
  <si>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</si>
  <si>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</si>
  <si>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</si>
  <si>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</si>
  <si>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</si>
  <si>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</si>
  <si>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</si>
  <si>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</si>
  <si>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</si>
  <si>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</si>
  <si>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</si>
  <si>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</si>
  <si>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</si>
  <si>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</si>
  <si>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</si>
  <si>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</si>
  <si>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</si>
  <si>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</si>
  <si>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</si>
  <si>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</si>
  <si>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</si>
  <si>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</si>
  <si>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</si>
  <si>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</si>
  <si>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</si>
  <si>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</si>
  <si>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</si>
  <si>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</si>
  <si>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</si>
  <si>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</si>
  <si>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</si>
  <si>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</si>
  <si>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</si>
  <si>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</si>
  <si>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</si>
  <si>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</si>
  <si>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</si>
  <si>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</si>
  <si>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</si>
  <si>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</si>
  <si>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</si>
  <si>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</si>
  <si>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</si>
  <si>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</si>
  <si>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</si>
  <si>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</si>
  <si>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</si>
  <si>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</si>
  <si>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</si>
  <si>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</si>
  <si>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</si>
  <si>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</si>
  <si>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</si>
  <si>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</si>
  <si>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</si>
  <si>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</si>
  <si>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</si>
  <si>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</si>
  <si>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</si>
  <si>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</si>
  <si>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</si>
  <si>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</si>
  <si>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</si>
  <si>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</si>
  <si>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</si>
  <si>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</si>
  <si>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</si>
  <si>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</si>
  <si>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</si>
  <si>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</si>
  <si>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</si>
  <si>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</si>
  <si>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</si>
  <si>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</si>
  <si>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</si>
  <si>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</si>
  <si>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</si>
  <si>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</si>
  <si>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</si>
  <si>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</si>
  <si>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</si>
  <si>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</si>
  <si>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</si>
  <si>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</si>
  <si>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</si>
  <si>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</si>
  <si>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</si>
  <si>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</si>
  <si>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</si>
  <si>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</si>
  <si>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</si>
  <si>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</si>
  <si>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</si>
  <si>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</si>
  <si>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</si>
  <si>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</si>
  <si>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</si>
  <si>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</si>
  <si>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</si>
  <si>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</si>
  <si>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</si>
  <si>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</si>
  <si>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</si>
  <si>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</si>
  <si>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</si>
  <si>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</si>
  <si>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</si>
  <si>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</si>
  <si>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</si>
  <si>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</si>
  <si>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</si>
  <si>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</si>
  <si>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</si>
  <si>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</si>
  <si>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</si>
  <si>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</si>
  <si>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</si>
  <si>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</si>
  <si>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</si>
  <si>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</si>
  <si>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</si>
  <si>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</si>
  <si>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</si>
  <si>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</si>
  <si>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</si>
  <si>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</si>
  <si>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</si>
  <si>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</si>
  <si>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</si>
  <si>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</si>
  <si>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</si>
  <si>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</si>
  <si>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</si>
  <si>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</si>
  <si>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</si>
  <si>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</si>
  <si>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</si>
  <si>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</si>
  <si>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</si>
  <si>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</si>
  <si>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</si>
  <si>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</si>
  <si>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</si>
  <si>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</si>
  <si>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</si>
  <si>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</si>
  <si>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</si>
  <si>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</si>
  <si>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</si>
  <si>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</si>
  <si>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</si>
  <si>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</si>
  <si>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</si>
  <si>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</si>
  <si>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</si>
  <si>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</si>
  <si>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</si>
  <si>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</si>
  <si>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</si>
  <si>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</si>
  <si>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</si>
  <si>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</si>
  <si>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</si>
  <si>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</si>
  <si>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</si>
  <si>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</si>
  <si>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</si>
  <si>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</si>
  <si>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</si>
  <si>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</si>
  <si>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</si>
  <si>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</si>
  <si>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</si>
  <si>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</si>
  <si>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</si>
  <si>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</si>
  <si>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</si>
  <si>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</si>
  <si>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</si>
  <si>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</si>
  <si>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</si>
  <si>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</si>
  <si>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</si>
  <si>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</si>
  <si>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</si>
  <si>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</si>
  <si>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</si>
  <si>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</si>
  <si>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</si>
  <si>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</si>
  <si>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</si>
  <si>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</si>
  <si>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</si>
  <si>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</si>
  <si>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</si>
  <si>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</si>
  <si>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</si>
  <si>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</si>
  <si>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</si>
  <si>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</si>
  <si>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</si>
  <si>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</si>
  <si>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</si>
  <si>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</si>
  <si>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</si>
  <si>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</si>
  <si>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</si>
  <si>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</si>
  <si>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</si>
  <si>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</si>
  <si>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</si>
  <si>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</si>
  <si>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</si>
  <si>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Below 1.5: Basic – Initial awareness and ad-hoc practices
   •   1.5 to below 2.5: Developing – Structured approaches beginning to emerge
   •   2.5 to below 3.5: Established – Systematic and consistent practices
   •   3.5 to 4.0: Advanced – Optimized processes with continuous improvement
   •   Optimizing, the fifth maturity level, has no raw score range.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between 1.00 and 1.50,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</si>
  <si>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</si>
  <si>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</si>
  <si>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</si>
  <si>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</si>
  <si>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</si>
  <si>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</si>
  <si>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</si>
  <si>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</si>
  <si>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</si>
  <si>
    <t>1.1</t>
  </si>
  <si>
    <t>2.1</t>
  </si>
  <si>
    <t>3.11</t>
  </si>
  <si>
    <t>12.1</t>
  </si>
  <si>
    <t>13.1</t>
  </si>
  <si>
    <t>15.1</t>
  </si>
  <si>
    <t>2.7</t>
  </si>
  <si>
    <t>7.1</t>
  </si>
  <si>
    <t>18.1</t>
  </si>
  <si>
    <t>15.2</t>
  </si>
  <si>
    <t>7.5</t>
  </si>
  <si>
    <t>7.2</t>
  </si>
  <si>
    <t>7.4</t>
  </si>
  <si>
    <t>18.2</t>
  </si>
  <si>
    <t>1.4</t>
  </si>
  <si>
    <t>1.5</t>
  </si>
  <si>
    <t>7.3</t>
  </si>
  <si>
    <t>1.7</t>
  </si>
  <si>
    <t>1.3</t>
  </si>
  <si>
    <t>1.2</t>
  </si>
  <si>
    <t>1.6</t>
  </si>
  <si>
    <t>1.8</t>
  </si>
  <si>
    <t>16.5</t>
  </si>
  <si>
    <t>11.1</t>
  </si>
  <si>
    <t>1.9</t>
  </si>
  <si>
    <t>1.10</t>
  </si>
  <si>
    <t>1.11</t>
  </si>
  <si>
    <t>3.13</t>
  </si>
  <si>
    <t>3.12</t>
  </si>
  <si>
    <t>8.1</t>
  </si>
  <si>
    <t>8.2</t>
  </si>
  <si>
    <t>16.3</t>
  </si>
  <si>
    <t>3.1</t>
  </si>
  <si>
    <t>3.2</t>
  </si>
  <si>
    <t>3.3</t>
  </si>
  <si>
    <t>3.4</t>
  </si>
  <si>
    <t>3.6</t>
  </si>
  <si>
    <t>3.7</t>
  </si>
  <si>
    <t>3.8</t>
  </si>
  <si>
    <t>12.2</t>
  </si>
  <si>
    <t>14.1</t>
  </si>
  <si>
    <t>13.2</t>
  </si>
  <si>
    <t>12.5</t>
  </si>
  <si>
    <t>12.6</t>
  </si>
  <si>
    <t>14.6</t>
  </si>
  <si>
    <t>4.1</t>
  </si>
  <si>
    <t>5.1</t>
  </si>
  <si>
    <t>4.8</t>
  </si>
  <si>
    <t>5.3</t>
  </si>
  <si>
    <t>16.1</t>
  </si>
  <si>
    <t>16.2</t>
  </si>
  <si>
    <t>16.4</t>
  </si>
  <si>
    <t>11.2</t>
  </si>
  <si>
    <t>16.6</t>
  </si>
  <si>
    <t>16.8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</si>
</sst>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2.2000000000000002</c:v>
                </c:pt>
                <c:pt idx="1">
                  <c:v>2.5</c:v>
                </c:pt>
                <c:pt idx="2">
                  <c:v>2.2999999999999998</c:v>
                </c:pt>
                <c:pt idx="3">
                  <c:v>2.1</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0.17562009147352053"/>
                  <c:y val="0.118119284018411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0.20998268397658218"/>
                  <c:y val="0.143052264239185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4282136775207194"/>
                  <c:y val="0.102394810274725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Scorecard!$L$21:$L$25</c:f>
              <c:strCache>
                <c:ptCount val="5"/>
                <c:pt idx="0">
                  <c:v>Basic</c:v>
                </c:pt>
                <c:pt idx="1">
                  <c:v>Developing</c:v>
                </c:pt>
                <c:pt idx="2">
                  <c:v>Established</c:v>
                </c:pt>
                <c:pt idx="3">
                  <c:v>Advanced</c:v>
                </c:pt>
                <c:pt idx="4">
                  <c:v>Incomplete Assessment</c:v>
                </c:pt>
              </c:strCache>
            </c:strRef>
          </c:cat>
          <c:val>
            <c:numRef>
              <c:f>Scorecard!$M$21:$M$25</c:f>
              <c:numCache>
                <c:formatCode>0%</c:formatCode>
                <c:ptCount val="5"/>
                <c:pt idx="0">
                  <c:v>0</c:v>
                </c:pt>
                <c:pt idx="1">
                  <c:v>0</c:v>
                </c:pt>
                <c:pt idx="2">
                  <c:v>0</c:v>
                </c:pt>
                <c:pt idx="3">
                  <c:v>0</c:v>
                </c:pt>
                <c:pt idx="4">
                  <c:v>1</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847</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845</v>
      </c>
      <c r="B4" s="209"/>
      <c r="C4" s="209"/>
      <c r="D4" s="208" t="s">
        <v>859</v>
      </c>
      <c r="E4" s="208"/>
      <c r="F4" s="208"/>
      <c r="G4" s="208"/>
      <c r="H4" s="208"/>
      <c r="J4" s="20"/>
      <c r="K4" s="190" t="str">
        <f>IF(('Dimension 1 - CVI'!N2+'Dimension 2 - SGRM'!N2+'Dimension 3 - DPE'!N2+'Dimension 4 - ITR'!N2)/120 &lt; 0.8,"Assessment Completion Status: INCOMPLETE", "Assessment Completion Status: COMPLETE")</f>
        <v>Assessment Completion Status: INCOMPLETE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0</v>
      </c>
      <c r="K5" s="198" t="str">
        <f>_xlfn.CONCAT(ROUND(('Dimension 1 - CVI'!N2+'Dimension 2 - SGRM'!N2+'Dimension 3 - DPE'!N2+'Dimension 4 - ITR'!N2)/120,2)*100,"% - ",
('Dimension 1 - CVI'!N2+'Dimension 2 - SGRM'!N2+'Dimension 3 - DPE'!N2+'Dimension 4 - ITR'!N2), " of 120 questions answered")</f>
        <v>0% - 0 of 120 questions answered</v>
      </c>
      <c r="O5" s="107"/>
      <c r="P5" s="203"/>
      <c r="Q5" s="203"/>
      <c r="R5" s="203"/>
    </row>
    <row r="6" spans="1:18" hidden="1" x14ac:dyDescent="0.25">
      <c r="D6" s="88" t="s">
        <v>860</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1821</v>
      </c>
      <c r="D9" s="207"/>
      <c r="E9" s="207"/>
      <c r="F9" s="193"/>
      <c r="G9" s="194"/>
      <c r="H9" s="205" t="s">
        <v>1820</v>
      </c>
      <c r="I9" s="195"/>
      <c r="K9" s="205" t="s">
        <v>1823</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1814</v>
      </c>
      <c r="D22" s="206"/>
      <c r="E22" s="201"/>
      <c r="F22" s="201"/>
      <c r="G22" s="194"/>
      <c r="H22" s="204" t="s">
        <v>1822</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election activeCell="N26" sqref="N26"/>
    </sheetView>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845</v>
      </c>
      <c r="C4" s="34" t="s">
        <v>164</v>
      </c>
    </row>
    <row r="5" spans="1:34" x14ac:dyDescent="0.25"/>
    <row r="6" spans="1:34" x14ac:dyDescent="0.25"/>
    <row r="7" spans="1:34" s="21" customFormat="1" ht="21.75" customHeight="1" x14ac:dyDescent="0.2">
      <c r="B7" s="86" t="s">
        <v>838</v>
      </c>
      <c r="C7" s="22"/>
      <c r="D7" s="23"/>
    </row>
    <row r="8" spans="1:34" s="21" customFormat="1" ht="21.75" customHeight="1" x14ac:dyDescent="0.2">
      <c r="B8" s="87"/>
      <c r="C8" s="24"/>
      <c r="D8" s="25"/>
    </row>
    <row r="9" spans="1:34" s="21" customFormat="1" ht="21.75" customHeight="1" x14ac:dyDescent="0.2">
      <c r="B9" s="86" t="s">
        <v>839</v>
      </c>
      <c r="C9" s="22"/>
      <c r="D9" s="23"/>
      <c r="F9" s="26"/>
      <c r="H9" s="26"/>
      <c r="J9" s="26"/>
      <c r="L9" s="26"/>
      <c r="N9" s="26"/>
    </row>
    <row r="10" spans="1:34" s="21" customFormat="1" ht="21.75" customHeight="1" x14ac:dyDescent="0.2">
      <c r="B10" s="87"/>
      <c r="C10" s="24"/>
      <c r="D10" s="25"/>
    </row>
    <row r="11" spans="1:34" s="21" customFormat="1" ht="21.75" customHeight="1" x14ac:dyDescent="0.2">
      <c r="B11" s="86" t="s">
        <v>840</v>
      </c>
      <c r="C11" s="22"/>
      <c r="D11" s="23"/>
    </row>
    <row r="12" spans="1:34" s="21" customFormat="1" ht="21.75" customHeight="1" x14ac:dyDescent="0.2">
      <c r="B12" s="87"/>
      <c r="C12" s="24"/>
      <c r="D12" s="25"/>
    </row>
    <row r="13" spans="1:34" s="21" customFormat="1" ht="21.75" customHeight="1" x14ac:dyDescent="0.2">
      <c r="B13" s="86" t="s">
        <v>841</v>
      </c>
      <c r="C13" s="22"/>
      <c r="D13" s="23"/>
    </row>
    <row r="14" spans="1:34" s="21" customFormat="1" ht="21.75" customHeight="1" x14ac:dyDescent="0.2">
      <c r="B14" s="87"/>
      <c r="C14" s="24"/>
      <c r="D14" s="25"/>
    </row>
    <row r="15" spans="1:34" s="21" customFormat="1" ht="21.75" customHeight="1" x14ac:dyDescent="0.2">
      <c r="B15" s="86" t="s">
        <v>842</v>
      </c>
      <c r="C15" s="22"/>
      <c r="D15" s="23"/>
    </row>
    <row r="16" spans="1:34" s="21" customFormat="1" ht="21.75" customHeight="1" x14ac:dyDescent="0.2">
      <c r="B16" s="87"/>
      <c r="C16" s="24"/>
      <c r="D16" s="25"/>
    </row>
    <row r="17" spans="2:7" s="21" customFormat="1" ht="21.75" customHeight="1" x14ac:dyDescent="0.2">
      <c r="B17" s="86" t="s">
        <v>843</v>
      </c>
      <c r="C17" s="22"/>
      <c r="D17" s="23"/>
    </row>
    <row r="18" spans="2:7" x14ac:dyDescent="0.25"/>
    <row r="19" spans="2:7" x14ac:dyDescent="0.25"/>
    <row r="20" spans="2:7" x14ac:dyDescent="0.25"/>
    <row r="21" spans="2:7" ht="32.25" customHeight="1" x14ac:dyDescent="0.25">
      <c r="D21" s="33" t="str">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v>
      </c>
    </row>
    <row r="22" spans="2:7" ht="21.75" customHeight="1" x14ac:dyDescent="0.25">
      <c r="D22" s="27" t="s">
        <v>844</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O177" sqref="O17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845</v>
      </c>
      <c r="B4" s="209"/>
      <c r="C4" s="209"/>
      <c r="D4" s="211" t="s">
        <v>861</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16" outlineLevel="2" thickBot="1" x14ac:dyDescent="0.25">
      <c r="A29" s="92"/>
      <c r="B29" s="53"/>
      <c r="C29" s="54" t="s">
        <v>173</v>
      </c>
      <c r="D29" s="55">
        <f>D24+1</f>
        <v>5</v>
      </c>
      <c r="E29" s="76" t="str">
        <f>VLOOKUP(D29,QuestionList,6,FALSE)</f>
        <v>How does your organization ensure cryptographic visibility across third-party and cloud systems?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c r="I37" s="77" t="str">
        <f>IFERROR(
IF(G37="","",INT(LEFT(G37,1))),"")</f>
        <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c r="I52" s="77" t="str">
        <f>IFERROR(
IF(G52="","",INT(LEFT(G52,1))),"")</f>
        <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c r="I57" s="77" t="str">
        <f>IFERROR(
IF(G57="","",INT(LEFT(G57,1))),"")</f>
        <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c r="I76" s="77" t="str">
        <f>IFERROR(
IF(G76="","",INT(LEFT(G76,1))),"")</f>
        <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c r="I94" s="77" t="str">
        <f>IFERROR(
IF(G94="","",INT(LEFT(G94,1))),"")</f>
        <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c r="I99" s="77" t="str">
        <f>IFERROR(
IF(G99="","",INT(LEFT(G99,1))),"")</f>
        <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c r="I128" s="77" t="str">
        <f>IFERROR(
IF(G128="","",INT(LEFT(G128,1))),"")</f>
        <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845</v>
      </c>
      <c r="B4" s="209"/>
      <c r="C4" s="209"/>
      <c r="D4" s="211" t="s">
        <v>846</v>
      </c>
      <c r="E4" s="211"/>
      <c r="J4" s="40"/>
      <c r="L4" s="213" t="str">
        <f>D4</f>
        <v>Strategic Governance &amp; Risk Management</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21" customHeight="1" outlineLevel="2" thickBot="1" x14ac:dyDescent="0.25">
      <c r="A14" s="92"/>
      <c r="B14" s="53"/>
      <c r="C14" s="54" t="s">
        <v>170</v>
      </c>
      <c r="D14" s="55">
        <f>D9+1</f>
        <v>32</v>
      </c>
      <c r="E14" s="76" t="str">
        <f>VLOOKUP(D14,QuestionList,6,FALSE)</f>
        <v>How comprehensive is your quantum risk policy framework?</v>
      </c>
      <c r="G14" s="56"/>
      <c r="I14" s="77" t="str">
        <f>IFERROR(
IF(G14="","",INT(LEFT(G14,1))),"")</f>
        <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c r="I19" s="77" t="str">
        <f>IFERROR(
IF(G19="","",INT(LEFT(G19,1))),"")</f>
        <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c r="I37" s="77" t="str">
        <f>IFERROR(
IF(G37="","",INT(LEFT(G37,1))),"")</f>
        <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c r="I47" s="77" t="str">
        <f>IFERROR(
IF(G47="","",INT(LEFT(G47,1))),"")</f>
        <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c r="I94" s="77" t="str">
        <f>IFERROR(
IF(G94="","",INT(LEFT(G94,1))),"")</f>
        <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c r="I104" s="77" t="str">
        <f>IFERROR(
IF(G104="","",INT(LEFT(G104,1))),"")</f>
        <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c r="I114" s="77" t="str">
        <f>IFERROR(
IF(G114="","",INT(LEFT(G114,1))),"")</f>
        <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c r="I123" s="77" t="str">
        <f>IFERROR(
IF(G123="","",INT(LEFT(G123,1))),"")</f>
        <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c r="I128" s="77" t="str">
        <f>IFERROR(
IF(G128="","",INT(LEFT(G128,1))),"")</f>
        <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1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c r="I138" s="77" t="str">
        <f>IFERROR(
IF(G138="","",INT(LEFT(G138,1))),"")</f>
        <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16" outlineLevel="2" thickBot="1" x14ac:dyDescent="0.25">
      <c r="A143" s="92"/>
      <c r="B143" s="53"/>
      <c r="C143" s="54" t="s">
        <v>173</v>
      </c>
      <c r="D143" s="55">
        <f>D114+5</f>
        <v>55</v>
      </c>
      <c r="E143" s="76" t="str">
        <f>VLOOKUP(D143,QuestionList,6,FALSE)</f>
        <v>How do you evaluate vendor support for hardware dependencies?</v>
      </c>
      <c r="G143" s="56"/>
      <c r="I143" s="77" t="str">
        <f>IFERROR(
IF(G143="","",INT(LEFT(G143,1))),"")</f>
        <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845</v>
      </c>
      <c r="B4" s="209"/>
      <c r="C4" s="209"/>
      <c r="D4" s="211" t="s">
        <v>874</v>
      </c>
      <c r="E4" s="211"/>
      <c r="J4" s="40"/>
      <c r="L4" s="213" t="str">
        <f>D4</f>
        <v>Data Protection Engineering</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c r="I19" s="77" t="str">
        <f>IFERROR(
IF(G19="","",INT(LEFT(G19,1))),"")</f>
        <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64</v>
      </c>
      <c r="E24" s="76" t="str">
        <f>VLOOKUP(D24,QuestionList,6,FALSE)</f>
        <v>How does your organization validate protection controls?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c r="I104" s="77" t="str">
        <f>IFERROR(
IF(G104="","",INT(LEFT(G104,1))),"")</f>
        <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845</v>
      </c>
      <c r="B4" s="209"/>
      <c r="C4" s="209"/>
      <c r="D4" s="211" t="s">
        <v>875</v>
      </c>
      <c r="E4" s="211"/>
      <c r="J4" s="40"/>
      <c r="L4" s="213" t="str">
        <f>D4</f>
        <v>Implementation &amp; Technical Readiness</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c r="I14" s="77" t="str">
        <f>IFERROR(
IF(G14="","",INT(LEFT(G14,1))),"")</f>
        <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c r="I24" s="77" t="str">
        <f>IFERROR(
IF(G24="","",INT(LEFT(G24,1))),"")</f>
        <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c r="I47" s="77" t="str">
        <f>IFERROR(
IF(G47="","",INT(LEFT(G47,1))),"")</f>
        <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31"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c r="I57" s="77" t="str">
        <f>IFERROR(
IF(G57="","",INT(LEFT(G57,1))),"")</f>
        <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31"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16" outlineLevel="2" thickBot="1" x14ac:dyDescent="0.25">
      <c r="A94" s="92"/>
      <c r="B94" s="53"/>
      <c r="C94" s="54" t="s">
        <v>168</v>
      </c>
      <c r="D94" s="55">
        <f>D66+5</f>
        <v>106</v>
      </c>
      <c r="E94" s="76" t="str">
        <f>VLOOKUP(D94,QuestionList,6,FALSE)</f>
        <v>How structured is your delivery process for implementing cryptographic changes?</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c r="I109" s="77" t="str">
        <f>IFERROR(
IF(G109="","",INT(LEFT(G109,1))),"")</f>
        <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31"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c r="I123" s="77" t="str">
        <f>IFERROR(
IF(G123="","",INT(LEFT(G123,1))),"")</f>
        <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31"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31"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c r="I151" s="77" t="str">
        <f>IFERROR(
IF(G151="","",INT(LEFT(G151,1))),"")</f>
        <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c r="I165" s="77" t="str">
        <f>IFERROR(
IF(G165="","",INT(LEFT(G165,1))),"")</f>
        <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35" zoomScaleNormal="100" workbookViewId="0">
      <selection activeCell="H16" sqref="H16"/>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847</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845</v>
      </c>
      <c r="B3" s="209"/>
      <c r="C3" s="209"/>
      <c r="D3" s="211" t="s">
        <v>876</v>
      </c>
      <c r="I3" s="40"/>
      <c r="J3" s="202" t="str">
        <f>IF(('Dimension 1 - CVI'!N2+'Dimension 2 - SGRM'!N2+'Dimension 3 - DPE'!N2+'Dimension 4 - ITR'!N2)/120 &lt; 0.8,"Assessment Completion Status: INCOMPLETE", "Assessment Completion Status: COMPLETE")</f>
        <v>Assessment Completion Status: INCOMPLETE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0% - 0 of 120 questions answered</v>
      </c>
      <c r="L4" s="203"/>
      <c r="M4" s="203"/>
      <c r="N4" s="73"/>
    </row>
    <row r="5" spans="1:40" ht="23.25" customHeight="1" x14ac:dyDescent="0.2">
      <c r="A5" s="59"/>
      <c r="B5" s="78"/>
      <c r="C5" s="79" t="s">
        <v>883</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884</v>
      </c>
      <c r="F8" s="105" t="s">
        <v>885</v>
      </c>
      <c r="G8" s="105" t="s">
        <v>1815</v>
      </c>
      <c r="H8" s="105" t="s">
        <v>877</v>
      </c>
      <c r="I8" s="105" t="s">
        <v>1813</v>
      </c>
    </row>
    <row r="9" spans="1:40" s="20" customFormat="1" ht="33" customHeight="1" x14ac:dyDescent="0.25">
      <c r="A9" s="97"/>
      <c r="C9" s="98" t="s">
        <v>878</v>
      </c>
      <c r="D9" s="98"/>
      <c r="E9" s="100" t="str">
        <f>CVI_Score</f>
        <v>-</v>
      </c>
      <c r="F9" s="101" t="str">
        <f>CVI_Score_Adj</f>
        <v>-</v>
      </c>
      <c r="G9" s="101">
        <f>VLOOKUP($C$16,Benchmarks,3,FALSE)*1</f>
        <v>2.2000000000000002</v>
      </c>
      <c r="H9" s="99" t="str" cm="1">
        <f t="array" ref="H9">_xlfn.IFS(E9="-", "Incomplete Assessment", E9&gt;=3.5,"Advanced",E9&gt;=2.5,"Established",E9&gt;=1.5,"Developing",1=1,"Basic")</f>
        <v>Incomplete Assessment</v>
      </c>
      <c r="I9" s="191" cm="1">
        <f t="array" ref="I9:J9">('Dimension 1 - CVI'!N2:O2)/30</f>
        <v>0</v>
      </c>
      <c r="J9" s="20">
        <v>0</v>
      </c>
    </row>
    <row r="10" spans="1:40" s="20" customFormat="1" ht="33" customHeight="1" x14ac:dyDescent="0.25">
      <c r="A10" s="97"/>
      <c r="C10" s="98" t="s">
        <v>846</v>
      </c>
      <c r="D10" s="98"/>
      <c r="E10" s="100" t="str">
        <f>SGRM_Score</f>
        <v>-</v>
      </c>
      <c r="F10" s="101" t="str">
        <f>SGRM_Score_Adj</f>
        <v>-</v>
      </c>
      <c r="G10" s="101">
        <f>VLOOKUP($C$16,Benchmarks,4,FALSE)*1</f>
        <v>2.5</v>
      </c>
      <c r="H10" s="99" t="str" cm="1">
        <f t="array" ref="H10">_xlfn.IFS(E10="-", "Incomplete Assessment", E10&gt;=3.5,"Advanced",E10&gt;=2.5,"Established",E10&gt;=1.5,"Developing",1=1,"Basic")</f>
        <v>Incomplete Assessment</v>
      </c>
      <c r="I10" s="191" cm="1">
        <f t="array" ref="I10:J10">('Dimension 2 - SGRM'!N2:O2)/30</f>
        <v>0</v>
      </c>
      <c r="J10" s="20">
        <v>0</v>
      </c>
    </row>
    <row r="11" spans="1:40" s="20" customFormat="1" ht="33" customHeight="1" x14ac:dyDescent="0.25">
      <c r="A11" s="97"/>
      <c r="C11" s="98" t="s">
        <v>874</v>
      </c>
      <c r="D11" s="98"/>
      <c r="E11" s="100" t="str">
        <f>DPE_Score</f>
        <v>-</v>
      </c>
      <c r="F11" s="101" t="str">
        <f>DPE_Score_Adj</f>
        <v>-</v>
      </c>
      <c r="G11" s="101">
        <f>VLOOKUP($C$16,Benchmarks,5,FALSE)*1</f>
        <v>2.2999999999999998</v>
      </c>
      <c r="H11" s="99" t="str" cm="1">
        <f t="array" ref="H11">_xlfn.IFS(E11="-", "Incomplete Assessment", E11&gt;=3.5,"Advanced",E11&gt;=2.5,"Established",E11&gt;=1.5,"Developing",1=1,"Basic")</f>
        <v>Incomplete Assessment</v>
      </c>
      <c r="I11" s="191" cm="1">
        <f t="array" ref="I11:J11">('Dimension 3 - DPE'!N2:O2)/30</f>
        <v>0</v>
      </c>
      <c r="J11" s="20">
        <v>0</v>
      </c>
    </row>
    <row r="12" spans="1:40" s="20" customFormat="1" ht="33" customHeight="1" x14ac:dyDescent="0.25">
      <c r="A12" s="97"/>
      <c r="C12" s="98" t="s">
        <v>875</v>
      </c>
      <c r="D12" s="98"/>
      <c r="E12" s="100" t="str">
        <f>ITR_Score</f>
        <v>-</v>
      </c>
      <c r="F12" s="101" t="str">
        <f>ITR_Score_Adj</f>
        <v>-</v>
      </c>
      <c r="G12" s="101">
        <f>VLOOKUP($C$16,Benchmarks,6,FALSE)*1</f>
        <v>2.1</v>
      </c>
      <c r="H12" s="99" t="str" cm="1">
        <f t="array" ref="H12">_xlfn.IFS(E12="-", "Incomplete Assessment", E12&gt;=3.5,"Advanced",E12&gt;=2.5,"Established",E12&gt;=1.5,"Developing",1=1,"Basic")</f>
        <v>Incomplete Assessment</v>
      </c>
      <c r="I12" s="191" cm="1">
        <f t="array" ref="I12:J12">('Dimension 4 - ITR'!N2:O2)/30</f>
        <v>0</v>
      </c>
      <c r="J12" s="20">
        <v>0</v>
      </c>
    </row>
    <row r="13" spans="1:40" ht="10.5" customHeight="1" x14ac:dyDescent="0.2">
      <c r="A13" s="48"/>
      <c r="C13" s="95"/>
      <c r="D13" s="95"/>
      <c r="E13" s="95"/>
      <c r="F13" s="96"/>
      <c r="G13" s="96"/>
      <c r="H13" s="95"/>
      <c r="I13" s="106"/>
    </row>
    <row r="14" spans="1:40" ht="48" customHeight="1" x14ac:dyDescent="0.2">
      <c r="A14" s="48"/>
      <c r="C14" s="113" t="s">
        <v>880</v>
      </c>
      <c r="D14" s="113"/>
      <c r="E14" s="102" t="str">
        <f>IF(COUNTIF(E9:E12,"=-")&gt;0,"-",AVERAGE(E9:E12))</f>
        <v>-</v>
      </c>
      <c r="F14" s="102" t="str">
        <f>IF(COUNTIF(F9:F12,"=-")&gt;0,"-",AVERAGE(F9:F12))</f>
        <v>-</v>
      </c>
      <c r="G14" s="102">
        <f>VLOOKUP($C$16,Benchmarks,2,FALSE)*1</f>
        <v>2.2999999999999998</v>
      </c>
      <c r="H14" s="103" t="str" cm="1">
        <f t="array" ref="H14">_xlfn.IFS(E14="-", "Incomplete Assessment", E14&gt;=3.5,"Advanced",E14&gt;=2.5,"Established",E14&gt;=1.5,"Developing",1=1,"Basic")</f>
        <v>Incomplete Assessment</v>
      </c>
      <c r="I14" s="192">
        <f>SUM(I9:I12)/4</f>
        <v>0</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Other_All</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1020</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879</v>
      </c>
      <c r="M21" s="121">
        <f ca="1">COUNTIF(PracticeScoreOutcomes,"&lt;1.5")/12</f>
        <v>0</v>
      </c>
      <c r="N21" s="59"/>
    </row>
    <row r="22" spans="1:15" ht="18" customHeight="1" x14ac:dyDescent="0.2">
      <c r="A22" s="48"/>
      <c r="C22" s="110"/>
      <c r="D22" s="110"/>
      <c r="J22" s="123"/>
      <c r="K22" s="123"/>
      <c r="L22" s="59" t="s">
        <v>1016</v>
      </c>
      <c r="M22" s="121">
        <f ca="1">COUNTIFS(PracticeScoreOutcomes,"&gt;=1.5",PracticeScoreOutcomes,"&lt;2.5")/12</f>
        <v>0</v>
      </c>
      <c r="N22" s="59"/>
    </row>
    <row r="23" spans="1:15" ht="27.75" customHeight="1" x14ac:dyDescent="0.2">
      <c r="A23" s="48"/>
      <c r="C23" s="112"/>
      <c r="D23" s="110"/>
      <c r="J23" s="123"/>
      <c r="K23" s="123"/>
      <c r="L23" s="59" t="s">
        <v>1017</v>
      </c>
      <c r="M23" s="121">
        <f ca="1">COUNTIFS(PracticeScoreOutcomes,"&gt;=2.5",PracticeScoreOutcomes,"&lt;3.5")/12</f>
        <v>0</v>
      </c>
      <c r="N23" s="59"/>
    </row>
    <row r="24" spans="1:15" ht="27.75" customHeight="1" x14ac:dyDescent="0.3">
      <c r="A24" s="48"/>
      <c r="C24" s="119"/>
      <c r="D24" s="109"/>
      <c r="J24" s="123"/>
      <c r="K24" s="123"/>
      <c r="L24" s="59" t="s">
        <v>836</v>
      </c>
      <c r="M24" s="121">
        <f ca="1">COUNTIF(PracticeScoreOutcomes,"&gt;=3.5")/12</f>
        <v>0</v>
      </c>
      <c r="N24" s="59"/>
    </row>
    <row r="25" spans="1:15" ht="18" customHeight="1" x14ac:dyDescent="0.2">
      <c r="A25" s="48"/>
      <c r="C25" s="110"/>
      <c r="D25" s="110"/>
      <c r="J25" s="123"/>
      <c r="K25" s="123"/>
      <c r="L25" s="59" t="s">
        <v>1019</v>
      </c>
      <c r="M25" s="121">
        <f ca="1">COUNTIF(PracticeScoreOutcomes,"-")/12</f>
        <v>1</v>
      </c>
      <c r="N25" s="59"/>
    </row>
    <row r="26" spans="1:15" ht="27.75" customHeight="1" x14ac:dyDescent="0.2">
      <c r="A26" s="48"/>
      <c r="C26" s="112"/>
      <c r="D26" s="111"/>
      <c r="J26" s="123"/>
      <c r="K26" s="123"/>
      <c r="L26" s="59"/>
      <c r="M26" s="121"/>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25" customHeight="1" x14ac:dyDescent="0.2">
      <c r="A32" s="59"/>
      <c r="B32" s="78"/>
      <c r="C32" s="79" t="s">
        <v>1022</v>
      </c>
      <c r="D32" s="79"/>
      <c r="E32" s="78"/>
      <c r="F32" s="81"/>
      <c r="G32" s="78"/>
      <c r="H32" s="82"/>
      <c r="I32" s="79"/>
      <c r="J32" s="79"/>
      <c r="K32" s="79"/>
      <c r="L32" s="79"/>
      <c r="M32" s="79"/>
      <c r="N32" s="48"/>
      <c r="O32" s="48"/>
    </row>
    <row r="33" spans="1:15" ht="27.75" customHeight="1" x14ac:dyDescent="0.2">
      <c r="A33" s="48"/>
      <c r="C33" s="93"/>
      <c r="D33" s="93"/>
      <c r="E33" s="93"/>
      <c r="F33" s="94"/>
      <c r="G33" s="93"/>
      <c r="H33" s="93"/>
    </row>
    <row r="34" spans="1:15" ht="27.75" customHeight="1" x14ac:dyDescent="0.2">
      <c r="A34" s="91" t="s">
        <v>1032</v>
      </c>
      <c r="C34" s="112" t="s">
        <v>1015</v>
      </c>
      <c r="D34" s="98"/>
      <c r="G34" s="55" t="s">
        <v>1032</v>
      </c>
      <c r="I34" s="112" t="s">
        <v>1023</v>
      </c>
      <c r="J34" s="110"/>
      <c r="L34" s="45"/>
    </row>
    <row r="35" spans="1:15" ht="27.75" customHeight="1" x14ac:dyDescent="0.2">
      <c r="A35" s="108" t="str">
        <f ca="1">IFERROR(INDEX(P58:P69,MATCH(1,PracticeOutcomesDeDupRank,0)),"-")</f>
        <v>-</v>
      </c>
      <c r="B35" s="110" t="str">
        <f ca="1">IF(AND(ISNUMBER(A36),A36&gt;=3.6),"✓","")</f>
        <v/>
      </c>
      <c r="C35" s="124" t="str">
        <f ca="1">IF(A35="-","-",IF(B35="","No practice areas with score 3.6 or greater",
INDEX(Data!$U$3:$U$14,MATCH(A35,Data!$V$3:$V$14,0))&amp;" (Score = "&amp;INDEX(PracticeScoreOutcomes,MATCH(1,PracticeOutcomesDeDupRank,0))&amp;")"
))</f>
        <v>-</v>
      </c>
      <c r="D35" s="110"/>
      <c r="G35" s="126" t="str">
        <f ca="1">IFERROR(INDEX($P$58:$P$69,MATCH(MAX(PracticeOutcomesDeDupRank),PracticeOutcomesDeDupRank,0)),"-")</f>
        <v>-</v>
      </c>
      <c r="H35" s="125" t="str">
        <f ca="1">IF(AND(ISNUMBER(G36),G36&lt;2.6),"⮽","")</f>
        <v/>
      </c>
      <c r="I35" s="124" t="str">
        <f ca="1">IF(G35="-","-",IF(H35="","No practice areas with score below 2.6",
INDEX(Data!$U$3:$U$14,MATCH(G35,Data!$V$3:$V$14,0))  &amp; " (Score = "&amp;INDEX(PracticeScoreOutcomes,MATCH(MAX(PracticeOutcomesDeDupRank),PracticeOutcomesDeDupRank,0))&amp;")"
))</f>
        <v>-</v>
      </c>
      <c r="J35" s="110"/>
      <c r="L35" s="45"/>
    </row>
    <row r="36" spans="1:15" ht="18" customHeight="1" x14ac:dyDescent="0.2">
      <c r="A36" s="91" t="str">
        <f ca="1">IFERROR(INDEX(PracticeScoreOutcomes,MATCH(1,PracticeOutcomesDeDupRank,0)),"-")</f>
        <v>-</v>
      </c>
      <c r="C36" s="215" t="str">
        <f ca="1">IF(B35="","",VLOOKUP(A35,Data!$BP$3:$BR$14,3,FALSE))</f>
        <v/>
      </c>
      <c r="D36" s="215"/>
      <c r="E36" s="215"/>
      <c r="F36" s="215"/>
      <c r="G36" s="127" t="str">
        <f ca="1">IFERROR(INDEX(PracticeScoreOutcomes,MATCH(MAX(PracticeOutcomesDeDupRank),PracticeOutcomesDeDupRank,0)),"-")</f>
        <v>-</v>
      </c>
      <c r="I36" s="215" t="str">
        <f ca="1">IF(H35="","",
VLOOKUP(G35,Data!$BT$2:$BW$14,3,FALSE) &amp; CHAR(10) &amp; "Risk level: " &amp; UPPER(VLOOKUP(G35,Data!$BT$2:$BW$14,4,FALSE))
)</f>
        <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v>
      </c>
      <c r="B39" s="110" t="str">
        <f ca="1">IF(AND(ISNUMBER(A40),A40&gt;=3.6),"✓","")</f>
        <v/>
      </c>
      <c r="C39" s="124" t="str">
        <f ca="1">IF(A39="-","-",IF(B39="","",
INDEX(Data!$U$3:$U$14,MATCH(A39,Data!$V$3:$V$14,0))  &amp; " (Score = "&amp;INDEX(PracticeScoreOutcomes,MATCH(2,PracticeOutcomesDeDupRank,0))&amp;")"
))</f>
        <v>-</v>
      </c>
      <c r="D39" s="110"/>
      <c r="G39" s="126" t="str">
        <f ca="1">IFERROR(INDEX($P$58:$P$69,MATCH(MAX(PracticeOutcomesDeDupRank)-1,PracticeOutcomesDeDupRank,0)),"-")</f>
        <v>-</v>
      </c>
      <c r="H39" s="125" t="str">
        <f ca="1">IF(AND(ISNUMBER(G40),G40&lt;2.6),"⮽","")</f>
        <v/>
      </c>
      <c r="I39" s="124" t="str">
        <f ca="1">IF(G39="-","-",INDEX(Data!$U$3:$U$14,MATCH(G39,Data!$V$3:$V$14,0))   &amp; " (Score = "&amp;INDEX(PracticeScoreOutcomes,MATCH(MAX(PracticeOutcomesDeDupRank) - 1,PracticeOutcomesDeDupRank,0))&amp;")")</f>
        <v>-</v>
      </c>
      <c r="J39" s="110"/>
      <c r="L39" s="45"/>
    </row>
    <row r="40" spans="1:15" ht="18" customHeight="1" x14ac:dyDescent="0.2">
      <c r="A40" s="91" t="str">
        <f ca="1">IFERROR(INDEX(PracticeScoreOutcomes,MATCH(2,PracticeOutcomesDeDupRank,0)),"-")</f>
        <v>-</v>
      </c>
      <c r="C40" s="215" t="str">
        <f ca="1">IF(B39="","",VLOOKUP(A39,Data!$BP$3:$BR$14,3,FALSE))</f>
        <v/>
      </c>
      <c r="D40" s="215"/>
      <c r="E40" s="215"/>
      <c r="F40" s="215"/>
      <c r="G40" s="127" t="str">
        <f ca="1">IFERROR(INDEX(PracticeScoreOutcomes,MATCH(MAX(PracticeOutcomesDeDupRank)-1,PracticeOutcomesDeDupRank,0)),"-")</f>
        <v>-</v>
      </c>
      <c r="I40" s="215" t="str">
        <f ca="1">IF(H39="","",
VLOOKUP(G39,Data!$BT$2:$BW$14,3,FALSE) &amp; CHAR(10) &amp; "Risk level: " &amp; UPPER(VLOOKUP(G39,Data!$BT$2:$BW$14,4,FALSE))
)</f>
        <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v>
      </c>
      <c r="B43" s="110" t="str">
        <f ca="1">IF(AND(ISNUMBER(A44),A44&gt;=3.6),"✓","")</f>
        <v/>
      </c>
      <c r="C43" s="124" t="str">
        <f ca="1">IF(A43="-","-",IF(B43="","",
INDEX(Data!$U$3:$U$14,MATCH(A43,Data!$V$3:$V$14,0))  &amp; " (Score = "&amp;INDEX(PracticeScoreOutcomes,MATCH(3,PracticeOutcomesDeDupRank,0))&amp;")"
))</f>
        <v>-</v>
      </c>
      <c r="D43" s="110"/>
      <c r="G43" s="126" t="str">
        <f ca="1">IFERROR(INDEX($P$58:$P$69,MATCH(MAX(PracticeOutcomesDeDupRank)-2,PracticeOutcomesDeDupRank,0)),"-")</f>
        <v>-</v>
      </c>
      <c r="H43" s="125" t="str">
        <f ca="1">IF(AND(ISNUMBER(G44),G44&lt;2.6),"⮽","")</f>
        <v/>
      </c>
      <c r="I43" s="124" t="str">
        <f ca="1">IF(G43="-","-",INDEX(Data!$U$3:$U$14,MATCH(G43,Data!$V$3:$V$14,0))   &amp; " (Score = "&amp;INDEX(PracticeScoreOutcomes,MATCH(MAX(PracticeOutcomesDeDupRank) - 2,PracticeOutcomesDeDupRank,0))&amp;")")</f>
        <v>-</v>
      </c>
      <c r="J43" s="110"/>
      <c r="L43" s="45"/>
    </row>
    <row r="44" spans="1:15" ht="18" customHeight="1" x14ac:dyDescent="0.2">
      <c r="A44" s="91" t="str">
        <f ca="1">IFERROR(INDEX(PracticeScoreOutcomes,MATCH(3,PracticeOutcomesDeDupRank,0)),"-")</f>
        <v>-</v>
      </c>
      <c r="C44" s="215" t="str">
        <f ca="1">IF(B43="","",VLOOKUP(A43,Data!$BP$3:$BR$14,3,FALSE))</f>
        <v/>
      </c>
      <c r="D44" s="215"/>
      <c r="E44" s="215"/>
      <c r="F44" s="215"/>
      <c r="G44" s="127" t="str">
        <f ca="1">IFERROR(INDEX(PracticeScoreOutcomes,MATCH(MAX(PracticeOutcomesDeDupRank)-2,PracticeOutcomesDeDupRank,0)),"-")</f>
        <v>-</v>
      </c>
      <c r="I44" s="215" t="str">
        <f ca="1">IF(H43="","",
VLOOKUP(G43,Data!$BT$2:$BW$14,3,FALSE) &amp; CHAR(10) &amp; "Risk level: " &amp; UPPER(VLOOKUP(G43,Data!$BT$2:$BW$14,4,FALSE))
)</f>
        <v/>
      </c>
      <c r="J44" s="215"/>
      <c r="K44" s="215"/>
      <c r="L44" s="215"/>
      <c r="M44" s="215"/>
    </row>
    <row r="45" spans="1:15" ht="34.5" customHeight="1" x14ac:dyDescent="0.2">
      <c r="A45" s="91"/>
      <c r="C45" s="215"/>
      <c r="D45" s="215"/>
      <c r="E45" s="215"/>
      <c r="F45" s="215"/>
      <c r="G45" s="127"/>
      <c r="I45" s="215"/>
      <c r="J45" s="215"/>
      <c r="K45" s="215"/>
      <c r="L45" s="215"/>
      <c r="M45" s="215"/>
    </row>
    <row r="46" spans="1:15" ht="27.75" customHeight="1" x14ac:dyDescent="0.2">
      <c r="A46" s="48"/>
      <c r="C46" s="215"/>
      <c r="D46" s="215"/>
      <c r="E46" s="215"/>
      <c r="F46" s="215"/>
      <c r="G46" s="59"/>
      <c r="I46" s="215"/>
      <c r="J46" s="215"/>
      <c r="K46" s="215"/>
      <c r="L46" s="215"/>
      <c r="M46" s="215"/>
    </row>
    <row r="47" spans="1:15" ht="27.75" customHeight="1" x14ac:dyDescent="0.2">
      <c r="A47" s="48"/>
      <c r="D47" s="59"/>
    </row>
    <row r="48" spans="1:15" ht="23.25" customHeight="1" x14ac:dyDescent="0.2">
      <c r="A48" s="59"/>
      <c r="B48" s="78"/>
      <c r="C48" s="79" t="s">
        <v>881</v>
      </c>
      <c r="D48" s="79"/>
      <c r="E48" s="78"/>
      <c r="F48" s="81"/>
      <c r="G48" s="78"/>
      <c r="H48" s="82"/>
      <c r="I48" s="79"/>
      <c r="J48" s="79"/>
      <c r="K48" s="79"/>
      <c r="L48" s="79"/>
      <c r="M48" s="79"/>
      <c r="N48" s="48"/>
      <c r="O48" s="48"/>
    </row>
    <row r="49" spans="1:24" ht="27.75" customHeight="1" x14ac:dyDescent="0.2">
      <c r="A49" s="48"/>
      <c r="D49" s="59"/>
    </row>
    <row r="50" spans="1:24" ht="27.75" customHeight="1" x14ac:dyDescent="0.2">
      <c r="A50" s="48"/>
      <c r="C50" s="112"/>
      <c r="D50" s="136" t="s">
        <v>1033</v>
      </c>
      <c r="E50" s="98">
        <f>ProfileOrgIndustry</f>
        <v>0</v>
      </c>
    </row>
    <row r="51" spans="1:24" ht="27.75" customHeight="1" x14ac:dyDescent="0.2">
      <c r="A51" s="48"/>
      <c r="C51" s="112"/>
      <c r="D51" s="136" t="s">
        <v>1034</v>
      </c>
      <c r="E51" s="98">
        <f>ProfileOrgSize</f>
        <v>0</v>
      </c>
    </row>
    <row r="52" spans="1:24" ht="27.75" customHeight="1" x14ac:dyDescent="0.2">
      <c r="A52" s="48"/>
      <c r="D52" s="137"/>
    </row>
    <row r="53" spans="1:24" ht="27.75" customHeight="1" x14ac:dyDescent="0.2">
      <c r="A53" s="48"/>
      <c r="D53" s="138" t="s">
        <v>1035</v>
      </c>
      <c r="E53" s="135" t="str">
        <f>IFERROR(VLOOKUP(E50&amp;"_"&amp;E51,Data!CJ2:CL34,2,FALSE),"No specific insights based on your industry and organization size.")</f>
        <v>No specific insights based on your industry and organization size.</v>
      </c>
    </row>
    <row r="54" spans="1:24" ht="27.75" customHeight="1" x14ac:dyDescent="0.2">
      <c r="A54" s="48"/>
      <c r="D54" s="138" t="s">
        <v>1037</v>
      </c>
      <c r="E54" s="135" t="str">
        <f>IFERROR(VLOOKUP(E50&amp;"_"&amp;E51,Data!CJ2:CL34,3,FALSE),"-")</f>
        <v>-</v>
      </c>
    </row>
    <row r="55" spans="1:24" ht="27.75" customHeight="1" x14ac:dyDescent="0.2">
      <c r="A55" s="48"/>
      <c r="D55" s="59"/>
    </row>
    <row r="56" spans="1:24" ht="23.25" customHeight="1" x14ac:dyDescent="0.2">
      <c r="A56" s="59"/>
      <c r="B56" s="78"/>
      <c r="C56" s="79" t="s">
        <v>882</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1024</v>
      </c>
      <c r="R57" s="55" t="s">
        <v>1026</v>
      </c>
      <c r="S57" s="55" t="s">
        <v>1025</v>
      </c>
      <c r="T57" s="129" t="s">
        <v>1028</v>
      </c>
      <c r="U57" s="129" t="s">
        <v>1027</v>
      </c>
      <c r="V57" s="129" t="s">
        <v>1029</v>
      </c>
      <c r="W57" s="129" t="s">
        <v>1030</v>
      </c>
      <c r="X57" s="129" t="s">
        <v>1031</v>
      </c>
    </row>
    <row r="58" spans="1:24" ht="27.75" customHeight="1" x14ac:dyDescent="0.2">
      <c r="A58" s="92"/>
      <c r="C58" s="115" t="s">
        <v>1816</v>
      </c>
      <c r="D58" s="115"/>
      <c r="E58" s="114"/>
      <c r="F58" s="139" t="s">
        <v>1817</v>
      </c>
      <c r="G58" s="115"/>
      <c r="J58" s="186"/>
      <c r="K58" s="123"/>
      <c r="M58" s="123"/>
      <c r="N58" s="123"/>
      <c r="O58" s="123"/>
      <c r="P58" s="59" t="s">
        <v>862</v>
      </c>
      <c r="Q58" s="130" t="str" cm="1">
        <f t="array" aca="1" ref="Q58" ca="1">IFERROR(ROUND(INDIRECT(P58 &amp; "_Score"),2),"-")</f>
        <v>-</v>
      </c>
      <c r="R58" s="131">
        <f>VLOOKUP(P58,Data!$V$3:$W$14,2,FALSE)*1</f>
        <v>0.35</v>
      </c>
      <c r="S58" s="55" t="str">
        <f t="shared" ref="S58:S69" ca="1" si="0">IFERROR(_xlfn.RANK.EQ(Q58,PracticeScoreOutcomes),"-")</f>
        <v>-</v>
      </c>
      <c r="T58" s="132" t="str">
        <f t="shared" ref="T58:T69" ca="1" si="1">IFERROR(S58+COUNTIFS(PracticeOutcomesRank,S58,PracticeOutcomesRank,"&lt;&gt;-",$R$58:$R$69,"&lt;"&amp;R58),"-")</f>
        <v>-</v>
      </c>
      <c r="U58" s="133" t="str" cm="1">
        <f t="array" aca="1" ref="U58" ca="1">INDIRECT(LEFT(P58, FIND("_", P58) - 1) &amp; "_Score")</f>
        <v>-</v>
      </c>
      <c r="V58" s="132" t="str">
        <f ca="1">IFERROR(T58+COUNTIFS($T$58:$T$69,T58,$T$58:$T$69,"&lt;&gt;-",$U$58:$U$69,"&lt;"&amp;U58),"-")</f>
        <v>-</v>
      </c>
      <c r="W58" s="132">
        <f>COUNTIF($P$58:$P$69, "&lt;" &amp; P58)</f>
        <v>0</v>
      </c>
      <c r="X58" s="132" t="str">
        <f ca="1">IFERROR(V58+COUNTIFS($V$58:$V$69,V58,$V$58:$V$69,"&lt;&gt;-",$W$58:$W$69,"&lt;"&amp;W58),"-")</f>
        <v>-</v>
      </c>
    </row>
    <row r="59" spans="1:24" ht="21.75" customHeight="1" x14ac:dyDescent="0.2">
      <c r="A59" s="92">
        <f>IF(CVI_1_Score="-",0,CVI_1_Score)</f>
        <v>0</v>
      </c>
      <c r="C59" s="116" t="s">
        <v>886</v>
      </c>
      <c r="D59" s="118" t="str">
        <f>'Dimension 1 - CVI'!B6 &amp; " (score = " &amp; IF(CVI_1_Score="-","N/A",CVI_1_Score) &amp; ")"</f>
        <v>Asset Discovery &amp; Classification (score = N/A)</v>
      </c>
      <c r="E59" s="114"/>
      <c r="F59" s="116" t="s">
        <v>886</v>
      </c>
      <c r="G59" s="118" t="str">
        <f>'Dimension 2 - SGRM'!B6 &amp; " (score = " &amp; IF(SGRM_1_Score="-","N/A",SGRM_1_Score) &amp; ")"</f>
        <v>Governance Structure &amp; Leadership (score = N/A)</v>
      </c>
      <c r="J59" s="59">
        <f>IF(SGRM_1_Score="-",0,SGRM_1_Score)</f>
        <v>0</v>
      </c>
      <c r="K59" s="123"/>
      <c r="M59" s="123"/>
      <c r="N59" s="123"/>
      <c r="O59" s="123"/>
      <c r="P59" s="59" t="s">
        <v>863</v>
      </c>
      <c r="Q59" s="130" t="str" cm="1">
        <f t="array" aca="1" ref="Q59" ca="1">IFERROR(ROUND(INDIRECT(P59 &amp; "_Score"),2),"-")</f>
        <v>-</v>
      </c>
      <c r="R59" s="131">
        <f>VLOOKUP(P59,Data!$V$3:$W$14,2,FALSE)*1</f>
        <v>0.35</v>
      </c>
      <c r="S59" s="55" t="str">
        <f t="shared" ca="1" si="0"/>
        <v>-</v>
      </c>
      <c r="T59" s="132" t="str">
        <f t="shared" ca="1" si="1"/>
        <v>-</v>
      </c>
      <c r="U59" s="133" t="str" cm="1">
        <f t="array" aca="1" ref="U59" ca="1">INDIRECT(LEFT(P59, FIND("_", P59) - 1) &amp; "_Score")</f>
        <v>-</v>
      </c>
      <c r="V59" s="132" t="str">
        <f t="shared" ref="V59:V69" ca="1" si="2">IFERROR(T59+COUNTIFS($T$58:$T$69,T59,$T$58:$T$69,"&lt;&gt;-",$U$58:$U$69,"&lt;"&amp;U59),"-")</f>
        <v>-</v>
      </c>
      <c r="W59" s="132">
        <f t="shared" ref="W59:W69" si="3">COUNTIF($P$58:$P$69, "&lt;" &amp; P59)</f>
        <v>1</v>
      </c>
      <c r="X59" s="132" t="str">
        <f t="shared" ref="X59:X69" ca="1" si="4">IFERROR(V59+COUNTIFS($V$58:$V$69,V59,$V$58:$V$69,"&lt;&gt;-",$W$58:$W$69,"&lt;"&amp;W59),"-")</f>
        <v>-</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N/A</v>
      </c>
      <c r="E60" s="114"/>
      <c r="F60" s="116"/>
      <c r="G60" s="140" t="str" cm="1">
        <f t="array" ref="G60">_xlfn.IFS(J59=0,"Quick Win Actions: N/A", J59&gt;3.5,"Quick Win Actions: None",1=1,_xlfn.CONCAT("Quick Win Actions: ", _xlfn.IFS(J59=0,"",J59&lt;=1.5,Data!BZ6,J59&lt;=2.5,Data!CA6,J59&lt;=3.5,Data!CB6)))</f>
        <v>Quick Win Actions: N/A</v>
      </c>
      <c r="J60" s="59"/>
      <c r="K60" s="123"/>
      <c r="M60" s="123"/>
      <c r="N60" s="123"/>
      <c r="O60" s="123"/>
      <c r="P60" s="59" t="s">
        <v>864</v>
      </c>
      <c r="Q60" s="130" t="str" cm="1">
        <f t="array" aca="1" ref="Q60" ca="1">IFERROR(ROUND(INDIRECT(P60 &amp; "_Score"),2),"-")</f>
        <v>-</v>
      </c>
      <c r="R60" s="131">
        <f>VLOOKUP(P60,Data!$V$3:$W$14,2,FALSE)*1</f>
        <v>0.3</v>
      </c>
      <c r="S60" s="55" t="str">
        <f t="shared" ca="1" si="0"/>
        <v>-</v>
      </c>
      <c r="T60" s="132" t="str">
        <f t="shared" ca="1" si="1"/>
        <v>-</v>
      </c>
      <c r="U60" s="133" t="str" cm="1">
        <f t="array" aca="1" ref="U60" ca="1">INDIRECT(LEFT(P60, FIND("_", P60) - 1) &amp; "_Score")</f>
        <v>-</v>
      </c>
      <c r="V60" s="132" t="str">
        <f t="shared" ca="1" si="2"/>
        <v>-</v>
      </c>
      <c r="W60" s="132">
        <f t="shared" si="3"/>
        <v>2</v>
      </c>
      <c r="X60" s="132" t="str">
        <f t="shared" ca="1" si="4"/>
        <v>-</v>
      </c>
    </row>
    <row r="61" spans="1:24" ht="21.75" customHeight="1" x14ac:dyDescent="0.2">
      <c r="A61" s="92">
        <f>IF(CVI_2_Score="-",0,CVI_2_Score)</f>
        <v>0</v>
      </c>
      <c r="C61" s="116" t="s">
        <v>886</v>
      </c>
      <c r="D61" s="118" t="str">
        <f>'Dimension 1 - CVI'!B63 &amp; " (score = " &amp; IF(CVI_2_Score="-","N/A",CVI_2_Score) &amp; ")"</f>
        <v>Vulnerability Scanning &amp; Analysis (score = N/A)</v>
      </c>
      <c r="E61" s="114"/>
      <c r="F61" s="116" t="s">
        <v>886</v>
      </c>
      <c r="G61" s="118" t="str">
        <f>'Dimension 2 - SGRM'!B63 &amp; " (score = " &amp; IF(SGRM_2_Score="-","N/A",SGRM_2_Score) &amp; ")"</f>
        <v>Risk Management Framework (score = N/A)</v>
      </c>
      <c r="J61" s="59">
        <f>IF(SGRM_2_Score="-",0,SGRM_2_Score)</f>
        <v>0</v>
      </c>
      <c r="K61" s="123"/>
      <c r="M61" s="123"/>
      <c r="N61" s="123"/>
      <c r="O61" s="123"/>
      <c r="P61" s="59" t="s">
        <v>865</v>
      </c>
      <c r="Q61" s="130" t="str" cm="1">
        <f t="array" aca="1" ref="Q61" ca="1">IFERROR(ROUND(INDIRECT(P61 &amp; "_Score"),2),"-")</f>
        <v>-</v>
      </c>
      <c r="R61" s="131">
        <f>VLOOKUP(P61,Data!$V$3:$W$14,2,FALSE)*1</f>
        <v>0.4</v>
      </c>
      <c r="S61" s="55" t="str">
        <f t="shared" ca="1" si="0"/>
        <v>-</v>
      </c>
      <c r="T61" s="132" t="str">
        <f t="shared" ca="1" si="1"/>
        <v>-</v>
      </c>
      <c r="U61" s="133" t="str" cm="1">
        <f t="array" aca="1" ref="U61" ca="1">INDIRECT(LEFT(P61, FIND("_", P61) - 1) &amp; "_Score")</f>
        <v>-</v>
      </c>
      <c r="V61" s="132" t="str">
        <f t="shared" ca="1" si="2"/>
        <v>-</v>
      </c>
      <c r="W61" s="132">
        <f t="shared" si="3"/>
        <v>9</v>
      </c>
      <c r="X61" s="132" t="str">
        <f t="shared" ca="1" si="4"/>
        <v>-</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N/A</v>
      </c>
      <c r="E62" s="114"/>
      <c r="F62" s="116"/>
      <c r="G62" s="140" t="str" cm="1">
        <f t="array" ref="G62">_xlfn.IFS(J61=0,"Quick Win Actions: N/A", J61&gt;3.5,"Quick Win Actions: None",1=1,_xlfn.CONCAT("Quick Win Actions: ", _xlfn.IFS(J61=0,"",J61&lt;=1.5,Data!BZ7,J61&lt;=2.5,Data!CA7,J61&lt;=3.5,Data!CB7)))</f>
        <v>Quick Win Actions: N/A</v>
      </c>
      <c r="J62" s="59"/>
      <c r="K62" s="123"/>
      <c r="M62" s="123"/>
      <c r="N62" s="123"/>
      <c r="O62" s="123"/>
      <c r="P62" s="59" t="s">
        <v>866</v>
      </c>
      <c r="Q62" s="130" t="str" cm="1">
        <f t="array" aca="1" ref="Q62" ca="1">IFERROR(ROUND(INDIRECT(P62 &amp; "_Score"),2),"-")</f>
        <v>-</v>
      </c>
      <c r="R62" s="131">
        <f>VLOOKUP(P62,Data!$V$3:$W$14,2,FALSE)*1</f>
        <v>0.35</v>
      </c>
      <c r="S62" s="55" t="str">
        <f t="shared" ca="1" si="0"/>
        <v>-</v>
      </c>
      <c r="T62" s="132" t="str">
        <f t="shared" ca="1" si="1"/>
        <v>-</v>
      </c>
      <c r="U62" s="133" t="str" cm="1">
        <f t="array" aca="1" ref="U62" ca="1">INDIRECT(LEFT(P62, FIND("_", P62) - 1) &amp; "_Score")</f>
        <v>-</v>
      </c>
      <c r="V62" s="132" t="str">
        <f t="shared" ca="1" si="2"/>
        <v>-</v>
      </c>
      <c r="W62" s="132">
        <f t="shared" si="3"/>
        <v>10</v>
      </c>
      <c r="X62" s="132" t="str">
        <f t="shared" ca="1" si="4"/>
        <v>-</v>
      </c>
    </row>
    <row r="63" spans="1:24" ht="27.75" customHeight="1" x14ac:dyDescent="0.2">
      <c r="A63" s="92">
        <f>IF(CVI_3_Score="-",0,CVI_3_Score)</f>
        <v>0</v>
      </c>
      <c r="C63" s="116" t="s">
        <v>886</v>
      </c>
      <c r="D63" s="118" t="str">
        <f>'Dimension 1 - CVI'!B120 &amp; " (score = " &amp; IF(CVI_3_Score="-","N/A",CVI_3_Score) &amp; ")"</f>
        <v>Risk Prioritization &amp; Tracking (score = N/A)</v>
      </c>
      <c r="E63" s="114"/>
      <c r="F63" s="116" t="s">
        <v>886</v>
      </c>
      <c r="G63" s="118" t="str">
        <f>'Dimension 2 - SGRM'!B120 &amp; " (score = " &amp; IF(SGRM_3_Score="-","N/A",SGRM_3_Score) &amp; ")"</f>
        <v>Compliance &amp; Audit (score = N/A)</v>
      </c>
      <c r="J63" s="59">
        <f>IF(SGRM_3_Score="-",0,SGRM_3_Score)</f>
        <v>0</v>
      </c>
      <c r="K63" s="123"/>
      <c r="M63" s="123"/>
      <c r="N63" s="123"/>
      <c r="O63" s="123"/>
      <c r="P63" s="59" t="s">
        <v>867</v>
      </c>
      <c r="Q63" s="130" t="str" cm="1">
        <f t="array" aca="1" ref="Q63" ca="1">IFERROR(ROUND(INDIRECT(P63 &amp; "_Score"),2),"-")</f>
        <v>-</v>
      </c>
      <c r="R63" s="131">
        <f>VLOOKUP(P63,Data!$V$3:$W$14,2,FALSE)*1</f>
        <v>0.25</v>
      </c>
      <c r="S63" s="55" t="str">
        <f t="shared" ca="1" si="0"/>
        <v>-</v>
      </c>
      <c r="T63" s="132" t="str">
        <f t="shared" ca="1" si="1"/>
        <v>-</v>
      </c>
      <c r="U63" s="133" t="str" cm="1">
        <f t="array" aca="1" ref="U63" ca="1">INDIRECT(LEFT(P63, FIND("_", P63) - 1) &amp; "_Score")</f>
        <v>-</v>
      </c>
      <c r="V63" s="132" t="str">
        <f t="shared" ca="1" si="2"/>
        <v>-</v>
      </c>
      <c r="W63" s="132">
        <f t="shared" si="3"/>
        <v>11</v>
      </c>
      <c r="X63" s="132" t="str">
        <f t="shared" ca="1" si="4"/>
        <v>-</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N/A</v>
      </c>
      <c r="E64" s="114"/>
      <c r="F64" s="116"/>
      <c r="G64" s="140" t="str" cm="1">
        <f t="array" ref="G64">_xlfn.IFS(J63=0,"Quick Win Actions: N/A", J63&gt;3.5,"Quick Win Actions: None",1=1,_xlfn.CONCAT("Quick Win Actions: ", _xlfn.IFS(J63=0,"",J63&lt;=1.5,Data!BZ8,J63&lt;=2.5,Data!CA8,J63&lt;=3.5,Data!CB8)))</f>
        <v>Quick Win Actions: N/A</v>
      </c>
      <c r="J64" s="59"/>
      <c r="K64" s="123"/>
      <c r="M64" s="123"/>
      <c r="N64" s="123"/>
      <c r="O64" s="123"/>
      <c r="P64" s="59" t="s">
        <v>868</v>
      </c>
      <c r="Q64" s="130" t="str" cm="1">
        <f t="array" aca="1" ref="Q64" ca="1">IFERROR(ROUND(INDIRECT(P64 &amp; "_Score"),2),"-")</f>
        <v>-</v>
      </c>
      <c r="R64" s="131">
        <f>VLOOKUP(P64,Data!$V$3:$W$14,2,FALSE)*1</f>
        <v>0.4</v>
      </c>
      <c r="S64" s="55" t="str">
        <f t="shared" ca="1" si="0"/>
        <v>-</v>
      </c>
      <c r="T64" s="132" t="str">
        <f t="shared" ca="1" si="1"/>
        <v>-</v>
      </c>
      <c r="U64" s="133" t="str" cm="1">
        <f t="array" aca="1" ref="U64" ca="1">INDIRECT(LEFT(P64, FIND("_", P64) - 1) &amp; "_Score")</f>
        <v>-</v>
      </c>
      <c r="V64" s="132" t="str">
        <f t="shared" ca="1" si="2"/>
        <v>-</v>
      </c>
      <c r="W64" s="132">
        <f t="shared" si="3"/>
        <v>3</v>
      </c>
      <c r="X64" s="132" t="str">
        <f t="shared" ca="1" si="4"/>
        <v>-</v>
      </c>
    </row>
    <row r="65" spans="1:24" ht="21.75" customHeight="1" x14ac:dyDescent="0.2">
      <c r="A65" s="92"/>
      <c r="C65" s="116"/>
      <c r="D65" s="117"/>
      <c r="E65" s="114"/>
      <c r="F65" s="116"/>
      <c r="G65" s="117"/>
      <c r="J65" s="59"/>
      <c r="K65" s="123"/>
      <c r="M65" s="123"/>
      <c r="N65" s="123"/>
      <c r="O65" s="123"/>
      <c r="P65" s="59" t="s">
        <v>869</v>
      </c>
      <c r="Q65" s="130" t="str" cm="1">
        <f t="array" aca="1" ref="Q65" ca="1">IFERROR(ROUND(INDIRECT(P65 &amp; "_Score"),2),"-")</f>
        <v>-</v>
      </c>
      <c r="R65" s="131">
        <f>VLOOKUP(P65,Data!$V$3:$W$14,2,FALSE)*1</f>
        <v>0.35</v>
      </c>
      <c r="S65" s="55" t="str">
        <f t="shared" ca="1" si="0"/>
        <v>-</v>
      </c>
      <c r="T65" s="132" t="str">
        <f t="shared" ca="1" si="1"/>
        <v>-</v>
      </c>
      <c r="U65" s="133" t="str" cm="1">
        <f t="array" aca="1" ref="U65" ca="1">INDIRECT(LEFT(P65, FIND("_", P65) - 1) &amp; "_Score")</f>
        <v>-</v>
      </c>
      <c r="V65" s="132" t="str">
        <f t="shared" ca="1" si="2"/>
        <v>-</v>
      </c>
      <c r="W65" s="132">
        <f t="shared" si="3"/>
        <v>4</v>
      </c>
      <c r="X65" s="132" t="str">
        <f t="shared" ca="1" si="4"/>
        <v>-</v>
      </c>
    </row>
    <row r="66" spans="1:24" ht="21.75" customHeight="1" x14ac:dyDescent="0.2">
      <c r="A66" s="92"/>
      <c r="C66" s="115" t="s">
        <v>1818</v>
      </c>
      <c r="D66" s="115"/>
      <c r="E66" s="114"/>
      <c r="F66" s="139" t="s">
        <v>1819</v>
      </c>
      <c r="G66" s="115"/>
      <c r="J66" s="59"/>
      <c r="K66" s="123"/>
      <c r="M66" s="123"/>
      <c r="N66" s="123"/>
      <c r="O66" s="123"/>
      <c r="P66" s="59" t="s">
        <v>870</v>
      </c>
      <c r="Q66" s="130" t="str" cm="1">
        <f t="array" aca="1" ref="Q66" ca="1">IFERROR(ROUND(INDIRECT(P66 &amp; "_Score"),2),"-")</f>
        <v>-</v>
      </c>
      <c r="R66" s="131">
        <f>VLOOKUP(P66,Data!$V$3:$W$14,2,FALSE)*1</f>
        <v>0.25</v>
      </c>
      <c r="S66" s="55" t="str">
        <f t="shared" ca="1" si="0"/>
        <v>-</v>
      </c>
      <c r="T66" s="132" t="str">
        <f t="shared" ca="1" si="1"/>
        <v>-</v>
      </c>
      <c r="U66" s="133" t="str" cm="1">
        <f t="array" aca="1" ref="U66" ca="1">INDIRECT(LEFT(P66, FIND("_", P66) - 1) &amp; "_Score")</f>
        <v>-</v>
      </c>
      <c r="V66" s="132" t="str">
        <f t="shared" ca="1" si="2"/>
        <v>-</v>
      </c>
      <c r="W66" s="132">
        <f t="shared" si="3"/>
        <v>5</v>
      </c>
      <c r="X66" s="132" t="str">
        <f t="shared" ca="1" si="4"/>
        <v>-</v>
      </c>
    </row>
    <row r="67" spans="1:24" ht="27.75" customHeight="1" x14ac:dyDescent="0.2">
      <c r="A67" s="92">
        <f>IF(DPE_1_Score="-",0,DPE_1_Score)</f>
        <v>0</v>
      </c>
      <c r="C67" s="116" t="s">
        <v>886</v>
      </c>
      <c r="D67" s="118" t="str">
        <f>'Dimension 3 - DPE'!B6 &amp; " (score = " &amp; IF(DPE_1_Score="-","N/A",DPE_1_Score) &amp; ")"</f>
        <v>Encryption Implementation (score = N/A)</v>
      </c>
      <c r="E67" s="114"/>
      <c r="F67" s="116" t="s">
        <v>886</v>
      </c>
      <c r="G67" s="118" t="str">
        <f>'Dimension 4 - ITR'!B6 &amp; " (score = " &amp; IF(ITR_1_Score="-","N/A",ITR_1_Score) &amp; ")"</f>
        <v>Network Security Architecture (score = N/A)</v>
      </c>
      <c r="J67" s="59">
        <f>IF(ITR_1_Score="-",0,ITR_1_Score)</f>
        <v>0</v>
      </c>
      <c r="K67" s="123"/>
      <c r="M67" s="123"/>
      <c r="N67" s="123"/>
      <c r="O67" s="123"/>
      <c r="P67" s="59" t="s">
        <v>871</v>
      </c>
      <c r="Q67" s="130" t="str" cm="1">
        <f t="array" aca="1" ref="Q67" ca="1">IFERROR(ROUND(INDIRECT(P67 &amp; "_Score"),2),"-")</f>
        <v>-</v>
      </c>
      <c r="R67" s="131">
        <f>VLOOKUP(P67,Data!$V$3:$W$14,2,FALSE)*1</f>
        <v>0.35</v>
      </c>
      <c r="S67" s="55" t="str">
        <f t="shared" ca="1" si="0"/>
        <v>-</v>
      </c>
      <c r="T67" s="132" t="str">
        <f t="shared" ca="1" si="1"/>
        <v>-</v>
      </c>
      <c r="U67" s="133" t="str" cm="1">
        <f t="array" aca="1" ref="U67" ca="1">INDIRECT(LEFT(P67, FIND("_", P67) - 1) &amp; "_Score")</f>
        <v>-</v>
      </c>
      <c r="V67" s="132" t="str">
        <f t="shared" ca="1" si="2"/>
        <v>-</v>
      </c>
      <c r="W67" s="132">
        <f t="shared" si="3"/>
        <v>6</v>
      </c>
      <c r="X67" s="132" t="str">
        <f t="shared" ca="1" si="4"/>
        <v>-</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N/A</v>
      </c>
      <c r="E68" s="114"/>
      <c r="F68" s="116"/>
      <c r="G68" s="140" t="str" cm="1">
        <f t="array" ref="G68">_xlfn.IFS(J67=0,"Quick Win Actions: N/A", J67&gt;3.5,"Quick Win Actions: None",1=1,_xlfn.CONCAT("Quick Win Actions: ", _xlfn.IFS(J67=0,"",J67&lt;=1.5,Data!BZ12,J67&lt;=2.5,Data!CA12,J67&lt;=3.5,Data!CB12)))</f>
        <v>Quick Win Actions: N/A</v>
      </c>
      <c r="J68" s="59"/>
      <c r="K68" s="123"/>
      <c r="M68" s="123"/>
      <c r="N68" s="123"/>
      <c r="O68" s="123"/>
      <c r="P68" s="59" t="s">
        <v>872</v>
      </c>
      <c r="Q68" s="130" t="str" cm="1">
        <f t="array" aca="1" ref="Q68" ca="1">IFERROR(ROUND(INDIRECT(P68 &amp; "_Score"),2),"-")</f>
        <v>-</v>
      </c>
      <c r="R68" s="131">
        <f>VLOOKUP(P68,Data!$V$3:$W$14,2,FALSE)*1</f>
        <v>0.35</v>
      </c>
      <c r="S68" s="55" t="str">
        <f t="shared" ca="1" si="0"/>
        <v>-</v>
      </c>
      <c r="T68" s="132" t="str">
        <f t="shared" ca="1" si="1"/>
        <v>-</v>
      </c>
      <c r="U68" s="133" t="str" cm="1">
        <f t="array" aca="1" ref="U68" ca="1">INDIRECT(LEFT(P68, FIND("_", P68) - 1) &amp; "_Score")</f>
        <v>-</v>
      </c>
      <c r="V68" s="132" t="str">
        <f t="shared" ca="1" si="2"/>
        <v>-</v>
      </c>
      <c r="W68" s="132">
        <f t="shared" si="3"/>
        <v>7</v>
      </c>
      <c r="X68" s="132" t="str">
        <f t="shared" ca="1" si="4"/>
        <v>-</v>
      </c>
    </row>
    <row r="69" spans="1:24" ht="27.75" customHeight="1" x14ac:dyDescent="0.2">
      <c r="A69" s="92">
        <f>IF(DPE_2_Score="-",0,DPE_2_Score)</f>
        <v>0</v>
      </c>
      <c r="C69" s="116" t="s">
        <v>886</v>
      </c>
      <c r="D69" s="118" t="str">
        <f>'Dimension 3 - DPE'!B63 &amp; " (score = " &amp; IF(DPE_2_Score="-","N/A",DPE_2_Score) &amp; ")"</f>
        <v>Key Management Systems (score = N/A)</v>
      </c>
      <c r="E69" s="114"/>
      <c r="F69" s="116" t="s">
        <v>886</v>
      </c>
      <c r="G69" s="118" t="str">
        <f>'Dimension 4 - ITR'!B63 &amp; " (score = " &amp; IF(ITR_2_Score="-","N/A",ITR_2_Score) &amp; ")"</f>
        <v>System Hardening &amp; Updates (score = N/A)</v>
      </c>
      <c r="J69" s="59">
        <f>IF(ITR_2_Score="-",0,ITR_2_Score)</f>
        <v>0</v>
      </c>
      <c r="K69" s="123"/>
      <c r="M69" s="123"/>
      <c r="N69" s="123"/>
      <c r="O69" s="123"/>
      <c r="P69" s="59" t="s">
        <v>873</v>
      </c>
      <c r="Q69" s="130" t="str" cm="1">
        <f t="array" aca="1" ref="Q69" ca="1">IFERROR(ROUND(INDIRECT(P69 &amp; "_Score"),2),"-")</f>
        <v>-</v>
      </c>
      <c r="R69" s="131">
        <f>VLOOKUP(P69,Data!$V$3:$W$14,2,FALSE)*1</f>
        <v>0.3</v>
      </c>
      <c r="S69" s="55" t="str">
        <f t="shared" ca="1" si="0"/>
        <v>-</v>
      </c>
      <c r="T69" s="132" t="str">
        <f t="shared" ca="1" si="1"/>
        <v>-</v>
      </c>
      <c r="U69" s="133" t="str" cm="1">
        <f t="array" aca="1" ref="U69" ca="1">INDIRECT(LEFT(P69, FIND("_", P69) - 1) &amp; "_Score")</f>
        <v>-</v>
      </c>
      <c r="V69" s="132" t="str">
        <f t="shared" ca="1" si="2"/>
        <v>-</v>
      </c>
      <c r="W69" s="132">
        <f t="shared" si="3"/>
        <v>8</v>
      </c>
      <c r="X69" s="132" t="str">
        <f t="shared" ca="1" si="4"/>
        <v>-</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N/A</v>
      </c>
      <c r="E70" s="114"/>
      <c r="F70" s="116"/>
      <c r="G70" s="140" t="str" cm="1">
        <f t="array" ref="G70">_xlfn.IFS(J69=0,"Quick Win Actions: N/A", J69&gt;3.5,"Quick Win Actions: None",1=1,_xlfn.CONCAT("Quick Win Actions: ", _xlfn.IFS(J69=0,"",J69&lt;=1.5,Data!BZ13,J69&lt;=2.5,Data!CA13,J69&lt;=3.5,Data!CB13)))</f>
        <v>Quick Win Actions: N/A</v>
      </c>
      <c r="J70" s="59"/>
      <c r="K70" s="123"/>
      <c r="M70" s="123"/>
      <c r="N70" s="123"/>
      <c r="O70" s="123"/>
      <c r="P70" s="59"/>
      <c r="Q70" s="130"/>
      <c r="R70" s="131"/>
      <c r="S70" s="55"/>
      <c r="T70" s="132"/>
      <c r="U70" s="133"/>
      <c r="V70" s="132"/>
      <c r="W70" s="132"/>
      <c r="X70" s="132"/>
    </row>
    <row r="71" spans="1:24" ht="27.75" customHeight="1" x14ac:dyDescent="0.2">
      <c r="A71" s="92">
        <f>IF(DPE_3_Score="-",0,DPE_3_Score)</f>
        <v>0</v>
      </c>
      <c r="C71" s="116" t="s">
        <v>886</v>
      </c>
      <c r="D71" s="118" t="str">
        <f>'Dimension 3 - DPE'!B120 &amp; " (score = " &amp; IF(DPE_3_Score="-","N/A",DPE_3_Score) &amp; ")"</f>
        <v>Data Classification &amp; Handling (score = N/A)</v>
      </c>
      <c r="E71" s="114"/>
      <c r="F71" s="116" t="s">
        <v>886</v>
      </c>
      <c r="G71" s="118" t="str">
        <f>'Dimension 4 - ITR'!B120 &amp; " (score = " &amp; IF(ITR_3_Score="-","N/A",ITR_3_Score) &amp; ")"</f>
        <v>Incident Response &amp; Recovery (score = N/A)</v>
      </c>
      <c r="J71" s="59">
        <f>IF(ITR_3_Score="-",0,ITR_3_Score)</f>
        <v>0</v>
      </c>
      <c r="K71" s="123"/>
      <c r="M71" s="123"/>
      <c r="P71" s="59"/>
      <c r="Q71" s="59"/>
      <c r="R71" s="59"/>
      <c r="S71" s="59"/>
      <c r="T71" s="59"/>
      <c r="U71" s="59"/>
      <c r="V71" s="59"/>
      <c r="W71" s="59"/>
      <c r="X71" s="59"/>
    </row>
    <row r="72" spans="1:24" ht="21.75" customHeight="1" x14ac:dyDescent="0.2">
      <c r="A72" s="92"/>
      <c r="C72" s="116"/>
      <c r="D72" s="140" t="str" cm="1">
        <f t="array" ref="D72">_xlfn.IFS(A71=0,"Quick Win Actions: N/A", A71&gt;3.5,"Quick Win Actions: None",1=1,_xlfn.CONCAT("Quick Win Actions: ", _xlfn.IFS(A71=0,"",A71&lt;=1.5,Data!BZ11,A71&lt;=2.5,Data!CA11,A71&lt;=3.5,Data!CB11)))</f>
        <v>Quick Win Actions: N/A</v>
      </c>
      <c r="E72" s="114"/>
      <c r="F72" s="116"/>
      <c r="G72" s="140" t="str" cm="1">
        <f t="array" ref="G72">_xlfn.IFS(J71=0,"Quick Win Actions: N/A", J71&gt;3.5,"Quick Win Actions: None",1=1,_xlfn.CONCAT("Quick Win Actions: ", _xlfn.IFS(J71=0,"",J71&lt;=1.5,Data!BZ14,J71&lt;=2.5,Data!CA14,J71&lt;=3.5,Data!CB14)))</f>
        <v>Quick Win Actions: N/A</v>
      </c>
      <c r="J72" s="186"/>
      <c r="K72" s="123"/>
      <c r="M72" s="123"/>
      <c r="N72" s="123"/>
      <c r="O72" s="123"/>
      <c r="P72" s="59"/>
      <c r="Q72" s="130"/>
      <c r="R72" s="131"/>
      <c r="S72" s="55"/>
      <c r="T72" s="132"/>
      <c r="U72" s="133"/>
      <c r="V72" s="132"/>
      <c r="W72" s="132"/>
      <c r="X72" s="132"/>
    </row>
    <row r="73" spans="1:24" s="74" customFormat="1" ht="29.25" customHeight="1" x14ac:dyDescent="0.2">
      <c r="A73" s="48"/>
      <c r="B73" s="14"/>
      <c r="C73" s="114"/>
      <c r="D73" s="114"/>
      <c r="E73" s="114"/>
      <c r="F73" s="114"/>
      <c r="G73" s="114"/>
      <c r="H73" s="14"/>
      <c r="I73" s="14"/>
      <c r="J73" s="59"/>
      <c r="K73" s="123"/>
      <c r="L73" s="14"/>
      <c r="M73" s="123"/>
      <c r="N73" s="14"/>
      <c r="O73" s="14"/>
    </row>
    <row r="74" spans="1:24" ht="27.75" customHeight="1" x14ac:dyDescent="0.2">
      <c r="A74" s="48"/>
      <c r="D74" s="59"/>
      <c r="J74" s="123"/>
      <c r="K74" s="123"/>
      <c r="M74" s="123"/>
    </row>
    <row r="75" spans="1:24" ht="27.75" customHeight="1" x14ac:dyDescent="0.2">
      <c r="A75" s="48"/>
      <c r="C75" s="122" t="s">
        <v>1021</v>
      </c>
      <c r="D75" s="115"/>
      <c r="K75" s="123"/>
      <c r="L75" s="123"/>
      <c r="M75" s="123"/>
    </row>
    <row r="76" spans="1:24" ht="27.75" customHeight="1" x14ac:dyDescent="0.2">
      <c r="A76" s="48"/>
      <c r="D76" s="59"/>
      <c r="K76" s="123"/>
      <c r="M76" s="123"/>
    </row>
    <row r="77" spans="1:24" ht="27.75" customHeight="1" x14ac:dyDescent="0.2">
      <c r="A77" s="48"/>
      <c r="D77" s="59"/>
      <c r="M77" s="123"/>
    </row>
    <row r="78" spans="1:24" ht="27.75"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847</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1038</v>
      </c>
      <c r="D3" s="211"/>
      <c r="E3" s="211"/>
      <c r="F3" s="211"/>
      <c r="J3" s="202"/>
      <c r="K3" s="202"/>
      <c r="L3" s="202"/>
      <c r="M3" s="202"/>
      <c r="N3" s="202"/>
      <c r="O3" s="49"/>
      <c r="P3" s="72"/>
    </row>
    <row r="4" spans="1:16" ht="25.5" customHeight="1" x14ac:dyDescent="0.2">
      <c r="A4" s="142"/>
      <c r="B4" s="142" t="s">
        <v>845</v>
      </c>
      <c r="C4" s="211"/>
      <c r="D4" s="211"/>
      <c r="E4" s="211"/>
      <c r="F4" s="211"/>
      <c r="L4" s="141" t="s">
        <v>1039</v>
      </c>
      <c r="M4" s="219" t="s">
        <v>1042</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1045</v>
      </c>
      <c r="D8" s="217"/>
      <c r="E8" s="106"/>
      <c r="F8" s="182" t="s">
        <v>1046</v>
      </c>
      <c r="G8" s="183"/>
      <c r="H8" s="182" t="s">
        <v>1047</v>
      </c>
      <c r="I8" s="183"/>
      <c r="J8" s="182" t="s">
        <v>1048</v>
      </c>
      <c r="K8" s="183"/>
      <c r="L8" s="182" t="s">
        <v>1049</v>
      </c>
      <c r="N8" s="123"/>
    </row>
    <row r="9" spans="1:16" ht="27.75" customHeight="1" x14ac:dyDescent="0.35">
      <c r="A9" s="48"/>
      <c r="C9" s="216" t="str">
        <f ca="1">IFERROR(ROUND(SUM($I$63:$I$182)/SUMIFS($G$63:$G$182,$I$63:$I$182,"&gt;0")*100/4,0) &amp; "%","-")</f>
        <v>-</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1051</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1189</v>
      </c>
      <c r="D15" s="59"/>
      <c r="N15" s="123"/>
    </row>
    <row r="16" spans="1:16" ht="9.75" customHeight="1" x14ac:dyDescent="0.2">
      <c r="A16" s="48"/>
      <c r="D16" s="59"/>
      <c r="N16" s="123"/>
    </row>
    <row r="17" spans="1:16" ht="27.75" customHeight="1" x14ac:dyDescent="0.2">
      <c r="A17" s="48"/>
      <c r="B17" s="112" t="s">
        <v>1052</v>
      </c>
      <c r="C17" s="112"/>
      <c r="D17" s="104" t="s">
        <v>1054</v>
      </c>
      <c r="F17" s="104" t="s">
        <v>1024</v>
      </c>
      <c r="H17" s="104" t="s">
        <v>1056</v>
      </c>
      <c r="J17" s="104" t="s">
        <v>1134</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v>
      </c>
      <c r="G18" s="97"/>
      <c r="H18" s="177">
        <f t="shared" ref="H18:H29" ca="1" si="2">IFERROR(D18*F18,0)</f>
        <v>0</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v>
      </c>
      <c r="G19" s="97"/>
      <c r="H19" s="177">
        <f t="shared" ca="1" si="2"/>
        <v>0</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v>
      </c>
      <c r="G20" s="97"/>
      <c r="H20" s="177">
        <f t="shared" ca="1" si="2"/>
        <v>0</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v>
      </c>
      <c r="G21" s="97"/>
      <c r="H21" s="177">
        <f t="shared" ca="1" si="2"/>
        <v>0</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v>
      </c>
      <c r="G22" s="97"/>
      <c r="H22" s="177">
        <f t="shared" ca="1" si="2"/>
        <v>0</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v>
      </c>
      <c r="G23" s="97"/>
      <c r="H23" s="177">
        <f t="shared" ca="1" si="2"/>
        <v>0</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v>
      </c>
      <c r="G24" s="97"/>
      <c r="H24" s="177">
        <f t="shared" ca="1" si="2"/>
        <v>0</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v>
      </c>
      <c r="G25" s="97"/>
      <c r="H25" s="177">
        <f t="shared" ca="1" si="2"/>
        <v>0</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v>
      </c>
      <c r="G26" s="97"/>
      <c r="H26" s="177">
        <f t="shared" ca="1" si="2"/>
        <v>0</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v>
      </c>
      <c r="G27" s="97"/>
      <c r="H27" s="177">
        <f t="shared" ca="1" si="2"/>
        <v>0</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v>
      </c>
      <c r="G28" s="97"/>
      <c r="H28" s="177">
        <f t="shared" ca="1" si="2"/>
        <v>0</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v>
      </c>
      <c r="G29" s="97"/>
      <c r="H29" s="177">
        <f t="shared" ca="1" si="2"/>
        <v>0</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1050</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 ca="1">IF(COUNTIF(I63:I182,"&gt;0")=0,"-",_xlfn.UNIQUE(_xlfn._xlws.FILTER(F63:F182,I63:I182&gt;0)))</f>
        <v>-</v>
      </c>
      <c r="D34" s="172" t="str">
        <f t="shared" ref="D34:D39" ca="1" si="4">IFERROR(REPT("█",ROUND(N34/2,0)) &amp; "  " &amp; ROUND(N34,0) &amp; "%","")</f>
        <v/>
      </c>
      <c r="E34" s="172"/>
      <c r="F34" s="144"/>
      <c r="G34" s="144"/>
      <c r="H34" s="144"/>
      <c r="I34" s="144"/>
      <c r="J34" s="144"/>
      <c r="K34" s="144"/>
      <c r="L34" s="59"/>
      <c r="M34" s="59" t="str" cm="1">
        <f t="array" aca="1" ref="M34" ca="1">IF(COUNTIF(I63:I182,"&gt;0")=0,"-",_xlfn.UNIQUE(_xlfn._xlws.FILTER(E63:E182,I63:I182&gt;0)))</f>
        <v>-</v>
      </c>
      <c r="N34" s="59" t="str">
        <f ca="1">IFERROR(SUMIFS($I$63:$I$182,$E$63:$E$182,"="&amp;M34)/SUMIFS($G$63:$G$182,$E$63:$E$182,"="&amp;M34,$I$63:$I$182,"&gt;0")*100/4,"-")</f>
        <v>-</v>
      </c>
      <c r="O34" s="59"/>
    </row>
    <row r="35" spans="1:15" ht="32.25" customHeight="1" x14ac:dyDescent="0.2">
      <c r="A35" s="48"/>
      <c r="C35" s="171"/>
      <c r="D35" s="172" t="str">
        <f t="shared" si="4"/>
        <v/>
      </c>
      <c r="E35" s="172"/>
      <c r="F35" s="144"/>
      <c r="G35" s="144"/>
      <c r="H35" s="144"/>
      <c r="I35" s="144"/>
      <c r="J35" s="144"/>
      <c r="K35" s="144"/>
      <c r="L35" s="59"/>
      <c r="M35" s="59"/>
      <c r="N35" s="59" t="str">
        <f>IFERROR(SUMIFS($I$63:$I$182,$E$63:$E$182,"="&amp;M35)/SUMIFS($G$63:$G$182,$E$63:$E$182,"="&amp;M35,$I$63:$I$182,"&gt;0")*100/4,"-")</f>
        <v>-</v>
      </c>
      <c r="O35" s="59"/>
    </row>
    <row r="36" spans="1:15" ht="32.25" customHeight="1" x14ac:dyDescent="0.2">
      <c r="A36" s="48"/>
      <c r="C36" s="171"/>
      <c r="D36" s="172" t="str">
        <f t="shared" si="4"/>
        <v/>
      </c>
      <c r="E36" s="172"/>
      <c r="F36" s="144"/>
      <c r="G36" s="144"/>
      <c r="H36" s="144"/>
      <c r="I36" s="144"/>
      <c r="J36" s="144"/>
      <c r="K36" s="144"/>
      <c r="L36" s="59"/>
      <c r="M36" s="59"/>
      <c r="N36" s="59" t="str">
        <f>IFERROR(SUMIFS($I$63:$I$182,$E$63:$E$182,"="&amp;M36)/SUMIFS($G$63:$G$182,$E$63:$E$182,"="&amp;M36,$I$63:$I$182,"&gt;0")*100/4,"-")</f>
        <v>-</v>
      </c>
      <c r="O36" s="59"/>
    </row>
    <row r="37" spans="1:15" ht="32.25" customHeight="1" x14ac:dyDescent="0.2">
      <c r="A37" s="48"/>
      <c r="C37" s="171"/>
      <c r="D37" s="172" t="str">
        <f t="shared" si="4"/>
        <v/>
      </c>
      <c r="E37" s="172"/>
      <c r="F37" s="144"/>
      <c r="G37" s="144"/>
      <c r="H37" s="144"/>
      <c r="I37" s="144"/>
      <c r="J37" s="144"/>
      <c r="K37" s="144"/>
      <c r="L37" s="59"/>
      <c r="M37" s="59"/>
      <c r="N37" s="59" t="str">
        <f>IFERROR(SUMIFS($I$63:$I$182,$E$63:$E$182,"="&amp;M37)/SUMIFS($G$63:$G$182,$E$63:$E$182,"="&amp;M37,$I$63:$I$182,"&gt;0")*100/4,"-")</f>
        <v>-</v>
      </c>
      <c r="O37" s="59"/>
    </row>
    <row r="38" spans="1:15" ht="32.25" customHeight="1" x14ac:dyDescent="0.2">
      <c r="A38" s="48"/>
      <c r="C38" s="171"/>
      <c r="D38" s="172" t="str">
        <f t="shared" si="4"/>
        <v/>
      </c>
      <c r="E38" s="172"/>
      <c r="F38" s="144"/>
      <c r="G38" s="144"/>
      <c r="H38" s="144"/>
      <c r="I38" s="144"/>
      <c r="J38" s="144"/>
      <c r="K38" s="144"/>
      <c r="L38" s="59"/>
      <c r="M38" s="59"/>
      <c r="N38" s="59" t="str">
        <f>IFERROR(SUMIFS($I$63:$I$182,$E$63:$E$182,"="&amp;M38)/SUMIFS($G$63:$G$182,$E$63:$E$182,"="&amp;M38,$I$63:$I$182,"&gt;0")*100/4,"-")</f>
        <v>-</v>
      </c>
      <c r="O38" s="59"/>
    </row>
    <row r="39" spans="1:15" ht="32.25" customHeight="1" x14ac:dyDescent="0.2">
      <c r="A39" s="48"/>
      <c r="C39" s="171"/>
      <c r="D39" s="172" t="str">
        <f t="shared" si="4"/>
        <v/>
      </c>
      <c r="E39" s="172"/>
      <c r="F39" s="144"/>
      <c r="G39" s="144"/>
      <c r="H39" s="144"/>
      <c r="I39" s="144"/>
      <c r="J39" s="144"/>
      <c r="K39" s="144"/>
      <c r="L39" s="59"/>
      <c r="M39" s="59"/>
      <c r="N39" s="59" t="str">
        <f t="shared" ref="N39:N52" si="5">IFERROR(SUMIFS($I$63:$I$182,$E$63:$E$182,"="&amp;M39)/SUMIFS($G$63:$G$182,$E$63:$E$182,"="&amp;M39,$I$63:$I$182,"&gt;0")*100/4,"-")</f>
        <v>-</v>
      </c>
      <c r="O39" s="59"/>
    </row>
    <row r="40" spans="1:15" ht="32.25" customHeight="1" x14ac:dyDescent="0.2">
      <c r="A40" s="48"/>
      <c r="C40" s="171"/>
      <c r="D40" s="172" t="str">
        <f t="shared" ref="D40:D52" si="6">IFERROR(REPT("█",ROUND(N40/2,0)) &amp; "  " &amp; ROUND(N40,0) &amp; "%","")</f>
        <v/>
      </c>
      <c r="E40" s="172"/>
      <c r="F40" s="172"/>
      <c r="G40" s="144"/>
      <c r="H40" s="144"/>
      <c r="I40" s="144"/>
      <c r="J40" s="144"/>
      <c r="K40" s="144"/>
      <c r="L40" s="59"/>
      <c r="M40" s="59"/>
      <c r="N40" s="59" t="str">
        <f t="shared" si="5"/>
        <v>-</v>
      </c>
      <c r="O40" s="59"/>
    </row>
    <row r="41" spans="1:15" ht="32.25" customHeight="1" x14ac:dyDescent="0.2">
      <c r="A41" s="48"/>
      <c r="C41" s="171"/>
      <c r="D41" s="172" t="str">
        <f t="shared" si="6"/>
        <v/>
      </c>
      <c r="E41" s="172"/>
      <c r="F41" s="172"/>
      <c r="G41" s="144"/>
      <c r="H41" s="144"/>
      <c r="I41" s="144"/>
      <c r="J41" s="144"/>
      <c r="K41" s="144"/>
      <c r="L41" s="59"/>
      <c r="M41" s="59"/>
      <c r="N41" s="59" t="str">
        <f t="shared" si="5"/>
        <v>-</v>
      </c>
      <c r="O41" s="59"/>
    </row>
    <row r="42" spans="1:15" ht="32.25" customHeight="1" x14ac:dyDescent="0.2">
      <c r="A42" s="48"/>
      <c r="C42" s="171"/>
      <c r="D42" s="172" t="str">
        <f t="shared" si="6"/>
        <v/>
      </c>
      <c r="E42" s="172"/>
      <c r="F42" s="172"/>
      <c r="G42" s="144"/>
      <c r="H42" s="144"/>
      <c r="I42" s="144"/>
      <c r="J42" s="144"/>
      <c r="K42" s="144"/>
      <c r="L42" s="59"/>
      <c r="M42" s="59"/>
      <c r="N42" s="59" t="str">
        <f t="shared" si="5"/>
        <v>-</v>
      </c>
      <c r="O42" s="59"/>
    </row>
    <row r="43" spans="1:15" ht="32.25" customHeight="1" x14ac:dyDescent="0.2">
      <c r="A43" s="48"/>
      <c r="C43" s="171"/>
      <c r="D43" s="172" t="str">
        <f t="shared" si="6"/>
        <v/>
      </c>
      <c r="E43" s="172"/>
      <c r="F43" s="172"/>
      <c r="G43" s="144"/>
      <c r="H43" s="144"/>
      <c r="I43" s="144"/>
      <c r="J43" s="144"/>
      <c r="K43" s="144"/>
      <c r="L43" s="59"/>
      <c r="M43" s="59"/>
      <c r="N43" s="59" t="str">
        <f t="shared" si="5"/>
        <v>-</v>
      </c>
      <c r="O43" s="59"/>
    </row>
    <row r="44" spans="1:15" ht="32.25" customHeight="1" x14ac:dyDescent="0.2">
      <c r="A44" s="48"/>
      <c r="C44" s="171"/>
      <c r="D44" s="172" t="str">
        <f t="shared" si="6"/>
        <v/>
      </c>
      <c r="E44" s="172"/>
      <c r="F44" s="172"/>
      <c r="G44" s="144"/>
      <c r="H44" s="144"/>
      <c r="I44" s="144"/>
      <c r="J44" s="144"/>
      <c r="K44" s="144"/>
      <c r="L44" s="59"/>
      <c r="M44" s="59"/>
      <c r="N44" s="59" t="str">
        <f t="shared" si="5"/>
        <v>-</v>
      </c>
      <c r="O44" s="59"/>
    </row>
    <row r="45" spans="1:15" ht="32.25" customHeight="1" x14ac:dyDescent="0.2">
      <c r="A45" s="48"/>
      <c r="C45" s="171"/>
      <c r="D45" s="172" t="str">
        <f t="shared" si="6"/>
        <v/>
      </c>
      <c r="E45" s="172"/>
      <c r="F45" s="172"/>
      <c r="G45" s="144"/>
      <c r="H45" s="144"/>
      <c r="I45" s="144"/>
      <c r="J45" s="144"/>
      <c r="K45" s="144"/>
      <c r="L45" s="59"/>
      <c r="M45" s="59"/>
      <c r="N45" s="59" t="str">
        <f t="shared" si="5"/>
        <v>-</v>
      </c>
      <c r="O45" s="59"/>
    </row>
    <row r="46" spans="1:15" ht="32.25" customHeight="1" x14ac:dyDescent="0.2">
      <c r="A46" s="48"/>
      <c r="C46" s="171"/>
      <c r="D46" s="172" t="str">
        <f t="shared" si="6"/>
        <v/>
      </c>
      <c r="E46" s="168"/>
      <c r="F46" s="144"/>
      <c r="G46" s="144"/>
      <c r="H46" s="144"/>
      <c r="I46" s="144"/>
      <c r="J46" s="144"/>
      <c r="K46" s="144"/>
      <c r="L46" s="59"/>
      <c r="M46" s="59"/>
      <c r="N46" s="181" t="str">
        <f t="shared" si="5"/>
        <v>-</v>
      </c>
      <c r="O46" s="59"/>
    </row>
    <row r="47" spans="1:15" ht="32.25" customHeight="1" x14ac:dyDescent="0.2">
      <c r="A47" s="48"/>
      <c r="C47" s="171"/>
      <c r="D47" s="172" t="str">
        <f t="shared" si="6"/>
        <v/>
      </c>
      <c r="E47" s="168"/>
      <c r="F47" s="144"/>
      <c r="G47" s="144"/>
      <c r="H47" s="144"/>
      <c r="I47" s="144"/>
      <c r="J47" s="144"/>
      <c r="K47" s="144"/>
      <c r="L47" s="59"/>
      <c r="M47" s="59"/>
      <c r="N47" s="181" t="str">
        <f t="shared"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1133</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1052</v>
      </c>
      <c r="C62" s="154"/>
      <c r="D62" s="154" t="s">
        <v>1053</v>
      </c>
      <c r="E62" s="159" t="e">
        <f>VLOOKUP(D62,Data!$AY$3:$AZ$962,2,FALSE)</f>
        <v>#N/A</v>
      </c>
      <c r="F62" s="154" t="s">
        <v>1136</v>
      </c>
      <c r="G62" s="154" t="s">
        <v>1054</v>
      </c>
      <c r="H62" s="154" t="s">
        <v>1055</v>
      </c>
      <c r="I62" s="154" t="s">
        <v>1132</v>
      </c>
      <c r="J62" s="154" t="s">
        <v>1056</v>
      </c>
      <c r="K62" s="155"/>
      <c r="L62" s="154" t="s">
        <v>1057</v>
      </c>
      <c r="N62" s="123" t="s">
        <v>1135</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t="str" cm="1">
        <f t="array" aca="1" ref="H63" ca="1">INDIRECT("Q" &amp;A63&amp;"_Score")</f>
        <v/>
      </c>
      <c r="I63" s="167">
        <f t="shared" ref="I63:I94" ca="1" si="8">IFERROR(H63*G63,0)</f>
        <v>0</v>
      </c>
      <c r="J63" s="163">
        <f t="shared" ref="J63:J94" si="9">IF(G63&gt;0,1,0)</f>
        <v>1</v>
      </c>
      <c r="K63" s="160"/>
      <c r="L63" s="163" t="str" cm="1">
        <f t="array" ref="L63">_xlfn.IFS(G63&gt;=0.8,"HIGH",G63&gt;=0.6,"MEDIUM",1=1,"LOW")</f>
        <v>HIGH</v>
      </c>
      <c r="N63" s="150" t="str" cm="1">
        <f t="array" aca="1" ref="N63" ca="1">IF(COUNTIF(I63:I182,"&gt;0")=0,"-",_xlfn.UNIQUE(_xlfn._xlws.FILTER(F63:F182,I63:I182&gt;0)))</f>
        <v>-</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t="str" cm="1">
        <f t="array" aca="1" ref="H64" ca="1">INDIRECT("Q" &amp;A64&amp;"_Score")</f>
        <v/>
      </c>
      <c r="I64" s="167">
        <f t="shared" ca="1" si="8"/>
        <v>0</v>
      </c>
      <c r="J64" s="163">
        <f t="shared" si="9"/>
        <v>1</v>
      </c>
      <c r="K64" s="160"/>
      <c r="L64" s="163" t="str" cm="1">
        <f t="array" ref="L64">_xlfn.IFS(G64&gt;=0.8,"HIGH",G64&gt;=0.6,"MEDIUM",1=1,"LOW")</f>
        <v>HIGH</v>
      </c>
      <c r="N64" s="150"/>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t="str" cm="1">
        <f t="array" aca="1" ref="H65" ca="1">INDIRECT("Q" &amp;A65&amp;"_Score")</f>
        <v/>
      </c>
      <c r="I65" s="167">
        <f t="shared" ca="1" si="8"/>
        <v>0</v>
      </c>
      <c r="J65" s="163">
        <f t="shared" si="9"/>
        <v>1</v>
      </c>
      <c r="K65" s="160"/>
      <c r="L65" s="163" t="str" cm="1">
        <f t="array" ref="L65">_xlfn.IFS(G65&gt;=0.8,"HIGH",G65&gt;=0.6,"MEDIUM",1=1,"LOW")</f>
        <v>HIGH</v>
      </c>
      <c r="N65" s="150"/>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t="str" cm="1">
        <f t="array" aca="1" ref="H66" ca="1">INDIRECT("Q" &amp;A66&amp;"_Score")</f>
        <v/>
      </c>
      <c r="I66" s="167">
        <f t="shared" ca="1" si="8"/>
        <v>0</v>
      </c>
      <c r="J66" s="163">
        <f t="shared" si="9"/>
        <v>1</v>
      </c>
      <c r="K66" s="160"/>
      <c r="L66" s="163" t="str" cm="1">
        <f t="array" ref="L66">_xlfn.IFS(G66&gt;=0.8,"HIGH",G66&gt;=0.6,"MEDIUM",1=1,"LOW")</f>
        <v>HIGH</v>
      </c>
      <c r="N66" s="150"/>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t="str" cm="1">
        <f t="array" aca="1" ref="H67" ca="1">INDIRECT("Q" &amp;A67&amp;"_Score")</f>
        <v/>
      </c>
      <c r="I67" s="167">
        <f t="shared" ca="1" si="8"/>
        <v>0</v>
      </c>
      <c r="J67" s="163">
        <f t="shared" si="9"/>
        <v>1</v>
      </c>
      <c r="K67" s="160"/>
      <c r="L67" s="163" t="str" cm="1">
        <f t="array" ref="L67">_xlfn.IFS(G67&gt;=0.8,"HIGH",G67&gt;=0.6,"MEDIUM",1=1,"LOW")</f>
        <v>HIGH</v>
      </c>
      <c r="N67" s="150"/>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t="str" cm="1">
        <f t="array" aca="1" ref="H68" ca="1">INDIRECT("Q" &amp;A68&amp;"_Score")</f>
        <v/>
      </c>
      <c r="I68" s="167">
        <f t="shared" ca="1" si="8"/>
        <v>0</v>
      </c>
      <c r="J68" s="163">
        <f t="shared" si="9"/>
        <v>1</v>
      </c>
      <c r="K68" s="160"/>
      <c r="L68" s="163" t="str" cm="1">
        <f t="array" ref="L68">_xlfn.IFS(G68&gt;=0.8,"HIGH",G68&gt;=0.6,"MEDIUM",1=1,"LOW")</f>
        <v>HIGH</v>
      </c>
      <c r="N68" s="150"/>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t="str" cm="1">
        <f t="array" aca="1" ref="H69" ca="1">INDIRECT("Q" &amp;A69&amp;"_Score")</f>
        <v/>
      </c>
      <c r="I69" s="167">
        <f t="shared" ca="1" si="8"/>
        <v>0</v>
      </c>
      <c r="J69" s="163">
        <f t="shared" si="9"/>
        <v>1</v>
      </c>
      <c r="K69" s="160"/>
      <c r="L69" s="163" t="str" cm="1">
        <f t="array" ref="L69">_xlfn.IFS(G69&gt;=0.8,"HIGH",G69&gt;=0.6,"MEDIUM",1=1,"LOW")</f>
        <v>HIGH</v>
      </c>
      <c r="N69" s="150"/>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t="str" cm="1">
        <f t="array" aca="1" ref="H70" ca="1">INDIRECT("Q" &amp;A70&amp;"_Score")</f>
        <v/>
      </c>
      <c r="I70" s="167">
        <f t="shared" ca="1" si="8"/>
        <v>0</v>
      </c>
      <c r="J70" s="163">
        <f t="shared" si="9"/>
        <v>1</v>
      </c>
      <c r="K70" s="160"/>
      <c r="L70" s="163" t="str" cm="1">
        <f t="array" ref="L70">_xlfn.IFS(G70&gt;=0.8,"HIGH",G70&gt;=0.6,"MEDIUM",1=1,"LOW")</f>
        <v>HIGH</v>
      </c>
      <c r="N70" s="150"/>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t="str" cm="1">
        <f t="array" aca="1" ref="H71" ca="1">INDIRECT("Q" &amp;A71&amp;"_Score")</f>
        <v/>
      </c>
      <c r="I71" s="167">
        <f t="shared" ca="1" si="8"/>
        <v>0</v>
      </c>
      <c r="J71" s="163">
        <f t="shared" si="9"/>
        <v>1</v>
      </c>
      <c r="K71" s="160"/>
      <c r="L71" s="163" t="str" cm="1">
        <f t="array" ref="L71">_xlfn.IFS(G71&gt;=0.8,"HIGH",G71&gt;=0.6,"MEDIUM",1=1,"LOW")</f>
        <v>HIGH</v>
      </c>
      <c r="N71" s="150"/>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t="str" cm="1">
        <f t="array" aca="1" ref="H72" ca="1">INDIRECT("Q" &amp;A72&amp;"_Score")</f>
        <v/>
      </c>
      <c r="I72" s="167">
        <f t="shared" ca="1" si="8"/>
        <v>0</v>
      </c>
      <c r="J72" s="163">
        <f t="shared" si="9"/>
        <v>1</v>
      </c>
      <c r="K72" s="160"/>
      <c r="L72" s="163" t="str" cm="1">
        <f t="array" ref="L72">_xlfn.IFS(G72&gt;=0.8,"HIGH",G72&gt;=0.6,"MEDIUM",1=1,"LOW")</f>
        <v>HIGH</v>
      </c>
      <c r="N72" s="150"/>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t="str" cm="1">
        <f t="array" aca="1" ref="H73" ca="1">INDIRECT("Q" &amp;A73&amp;"_Score")</f>
        <v/>
      </c>
      <c r="I73" s="167">
        <f t="shared" ca="1" si="8"/>
        <v>0</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t="str" cm="1">
        <f t="array" aca="1" ref="H74" ca="1">INDIRECT("Q" &amp;A74&amp;"_Score")</f>
        <v/>
      </c>
      <c r="I74" s="167">
        <f t="shared" ca="1" si="8"/>
        <v>0</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t="str" cm="1">
        <f t="array" aca="1" ref="H75" ca="1">INDIRECT("Q" &amp;A75&amp;"_Score")</f>
        <v/>
      </c>
      <c r="I75" s="167">
        <f t="shared" ca="1" si="8"/>
        <v>0</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t="str" cm="1">
        <f t="array" aca="1" ref="H76" ca="1">INDIRECT("Q" &amp;A76&amp;"_Score")</f>
        <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t="str" cm="1">
        <f t="array" aca="1" ref="H77" ca="1">INDIRECT("Q" &amp;A77&amp;"_Score")</f>
        <v/>
      </c>
      <c r="I77" s="167">
        <f t="shared" ca="1" si="8"/>
        <v>0</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t="str" cm="1">
        <f t="array" aca="1" ref="H78" ca="1">INDIRECT("Q" &amp;A78&amp;"_Score")</f>
        <v/>
      </c>
      <c r="I78" s="167">
        <f t="shared" ca="1" si="8"/>
        <v>0</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t="str" cm="1">
        <f t="array" aca="1" ref="H79" ca="1">INDIRECT("Q" &amp;A79&amp;"_Score")</f>
        <v/>
      </c>
      <c r="I79" s="167">
        <f t="shared" ca="1" si="8"/>
        <v>0</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t="str" cm="1">
        <f t="array" aca="1" ref="H80" ca="1">INDIRECT("Q" &amp;A80&amp;"_Score")</f>
        <v/>
      </c>
      <c r="I80" s="167">
        <f t="shared" ca="1" si="8"/>
        <v>0</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t="str" cm="1">
        <f t="array" aca="1" ref="H81" ca="1">INDIRECT("Q" &amp;A81&amp;"_Score")</f>
        <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t="str" cm="1">
        <f t="array" aca="1" ref="H82" ca="1">INDIRECT("Q" &amp;A82&amp;"_Score")</f>
        <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t="str" cm="1">
        <f t="array" aca="1" ref="H83" ca="1">INDIRECT("Q" &amp;A83&amp;"_Score")</f>
        <v/>
      </c>
      <c r="I83" s="167">
        <f t="shared" ca="1" si="8"/>
        <v>0</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t="str" cm="1">
        <f t="array" aca="1" ref="H84" ca="1">INDIRECT("Q" &amp;A84&amp;"_Score")</f>
        <v/>
      </c>
      <c r="I84" s="167">
        <f t="shared" ca="1" si="8"/>
        <v>0</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t="str" cm="1">
        <f t="array" aca="1" ref="H85" ca="1">INDIRECT("Q" &amp;A85&amp;"_Score")</f>
        <v/>
      </c>
      <c r="I85" s="167">
        <f t="shared" ca="1" si="8"/>
        <v>0</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t="str" cm="1">
        <f t="array" aca="1" ref="H86" ca="1">INDIRECT("Q" &amp;A86&amp;"_Score")</f>
        <v/>
      </c>
      <c r="I86" s="167">
        <f t="shared" ca="1" si="8"/>
        <v>0</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t="str" cm="1">
        <f t="array" aca="1" ref="H87" ca="1">INDIRECT("Q" &amp;A87&amp;"_Score")</f>
        <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t="str" cm="1">
        <f t="array" aca="1" ref="H88" ca="1">INDIRECT("Q" &amp;A88&amp;"_Score")</f>
        <v/>
      </c>
      <c r="I88" s="167">
        <f t="shared" ca="1" si="8"/>
        <v>0</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t="str" cm="1">
        <f t="array" aca="1" ref="H89" ca="1">INDIRECT("Q" &amp;A89&amp;"_Score")</f>
        <v/>
      </c>
      <c r="I89" s="167">
        <f t="shared" ca="1" si="8"/>
        <v>0</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t="str" cm="1">
        <f t="array" aca="1" ref="H90" ca="1">INDIRECT("Q" &amp;A90&amp;"_Score")</f>
        <v/>
      </c>
      <c r="I90" s="167">
        <f t="shared" ca="1" si="8"/>
        <v>0</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t="str" cm="1">
        <f t="array" aca="1" ref="H91" ca="1">INDIRECT("Q" &amp;A91&amp;"_Score")</f>
        <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t="str" cm="1">
        <f t="array" aca="1" ref="H92" ca="1">INDIRECT("Q" &amp;A92&amp;"_Score")</f>
        <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t="str" cm="1">
        <f t="array" aca="1" ref="H93" ca="1">INDIRECT("Q" &amp;A93&amp;"_Score")</f>
        <v/>
      </c>
      <c r="I93" s="167">
        <f t="shared" ca="1" si="8"/>
        <v>0</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t="str" cm="1">
        <f t="array" aca="1" ref="H94" ca="1">INDIRECT("Q" &amp;A94&amp;"_Score")</f>
        <v/>
      </c>
      <c r="I94" s="167">
        <f t="shared" ca="1" si="8"/>
        <v>0</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t="str" cm="1">
        <f t="array" aca="1" ref="H95" ca="1">INDIRECT("Q" &amp;A95&amp;"_Score")</f>
        <v/>
      </c>
      <c r="I95" s="167">
        <f t="shared" ref="I95:I126" ca="1" si="11">IFERROR(H95*G95,0)</f>
        <v>0</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t="str" cm="1">
        <f t="array" aca="1" ref="H96" ca="1">INDIRECT("Q" &amp;A96&amp;"_Score")</f>
        <v/>
      </c>
      <c r="I96" s="167">
        <f t="shared" ca="1" si="11"/>
        <v>0</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t="str" cm="1">
        <f t="array" aca="1" ref="H97" ca="1">INDIRECT("Q" &amp;A97&amp;"_Score")</f>
        <v/>
      </c>
      <c r="I97" s="167">
        <f t="shared" ca="1" si="11"/>
        <v>0</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t="str" cm="1">
        <f t="array" aca="1" ref="H98" ca="1">INDIRECT("Q" &amp;A98&amp;"_Score")</f>
        <v/>
      </c>
      <c r="I98" s="167">
        <f t="shared" ca="1" si="11"/>
        <v>0</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t="str" cm="1">
        <f t="array" aca="1" ref="H99" ca="1">INDIRECT("Q" &amp;A99&amp;"_Score")</f>
        <v/>
      </c>
      <c r="I99" s="167">
        <f t="shared" ca="1" si="11"/>
        <v>0</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t="str" cm="1">
        <f t="array" aca="1" ref="H100" ca="1">INDIRECT("Q" &amp;A100&amp;"_Score")</f>
        <v/>
      </c>
      <c r="I100" s="167">
        <f t="shared" ca="1" si="11"/>
        <v>0</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t="str" cm="1">
        <f t="array" aca="1" ref="H101" ca="1">INDIRECT("Q" &amp;A101&amp;"_Score")</f>
        <v/>
      </c>
      <c r="I101" s="167">
        <f t="shared" ca="1" si="11"/>
        <v>0</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t="str" cm="1">
        <f t="array" aca="1" ref="H102" ca="1">INDIRECT("Q" &amp;A102&amp;"_Score")</f>
        <v/>
      </c>
      <c r="I102" s="167">
        <f t="shared" ca="1" si="11"/>
        <v>0</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t="str" cm="1">
        <f t="array" aca="1" ref="H103" ca="1">INDIRECT("Q" &amp;A103&amp;"_Score")</f>
        <v/>
      </c>
      <c r="I103" s="167">
        <f t="shared" ca="1" si="11"/>
        <v>0</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t="str" cm="1">
        <f t="array" aca="1" ref="H104" ca="1">INDIRECT("Q" &amp;A104&amp;"_Score")</f>
        <v/>
      </c>
      <c r="I104" s="167">
        <f t="shared" ca="1" si="11"/>
        <v>0</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t="str" cm="1">
        <f t="array" aca="1" ref="H105" ca="1">INDIRECT("Q" &amp;A105&amp;"_Score")</f>
        <v/>
      </c>
      <c r="I105" s="167">
        <f t="shared" ca="1" si="11"/>
        <v>0</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t="str" cm="1">
        <f t="array" aca="1" ref="H106" ca="1">INDIRECT("Q" &amp;A106&amp;"_Score")</f>
        <v/>
      </c>
      <c r="I106" s="167">
        <f t="shared" ca="1" si="11"/>
        <v>0</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t="str" cm="1">
        <f t="array" aca="1" ref="H107" ca="1">INDIRECT("Q" &amp;A107&amp;"_Score")</f>
        <v/>
      </c>
      <c r="I107" s="167">
        <f t="shared" ca="1" si="11"/>
        <v>0</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t="str" cm="1">
        <f t="array" aca="1" ref="H108" ca="1">INDIRECT("Q" &amp;A108&amp;"_Score")</f>
        <v/>
      </c>
      <c r="I108" s="167">
        <f t="shared" ca="1" si="11"/>
        <v>0</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t="str" cm="1">
        <f t="array" aca="1" ref="H109" ca="1">INDIRECT("Q" &amp;A109&amp;"_Score")</f>
        <v/>
      </c>
      <c r="I109" s="167">
        <f t="shared" ca="1" si="11"/>
        <v>0</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t="str" cm="1">
        <f t="array" aca="1" ref="H110" ca="1">INDIRECT("Q" &amp;A110&amp;"_Score")</f>
        <v/>
      </c>
      <c r="I110" s="167">
        <f t="shared" ca="1" si="11"/>
        <v>0</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t="str" cm="1">
        <f t="array" aca="1" ref="H111" ca="1">INDIRECT("Q" &amp;A111&amp;"_Score")</f>
        <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t="str" cm="1">
        <f t="array" aca="1" ref="H112" ca="1">INDIRECT("Q" &amp;A112&amp;"_Score")</f>
        <v/>
      </c>
      <c r="I112" s="167">
        <f t="shared" ca="1" si="11"/>
        <v>0</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t="str" cm="1">
        <f t="array" aca="1" ref="H113" ca="1">INDIRECT("Q" &amp;A113&amp;"_Score")</f>
        <v/>
      </c>
      <c r="I113" s="167">
        <f t="shared" ca="1" si="11"/>
        <v>0</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t="str" cm="1">
        <f t="array" aca="1" ref="H114" ca="1">INDIRECT("Q" &amp;A114&amp;"_Score")</f>
        <v/>
      </c>
      <c r="I114" s="167">
        <f t="shared" ca="1" si="11"/>
        <v>0</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t="str" cm="1">
        <f t="array" aca="1" ref="H115" ca="1">INDIRECT("Q" &amp;A115&amp;"_Score")</f>
        <v/>
      </c>
      <c r="I115" s="167">
        <f t="shared" ca="1" si="11"/>
        <v>0</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t="str" cm="1">
        <f t="array" aca="1" ref="H116" ca="1">INDIRECT("Q" &amp;A116&amp;"_Score")</f>
        <v/>
      </c>
      <c r="I116" s="167">
        <f t="shared" ca="1" si="11"/>
        <v>0</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t="str" cm="1">
        <f t="array" aca="1" ref="H117" ca="1">INDIRECT("Q" &amp;A117&amp;"_Score")</f>
        <v/>
      </c>
      <c r="I117" s="167">
        <f t="shared" ca="1" si="11"/>
        <v>0</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t="str" cm="1">
        <f t="array" aca="1" ref="H118" ca="1">INDIRECT("Q" &amp;A118&amp;"_Score")</f>
        <v/>
      </c>
      <c r="I118" s="167">
        <f t="shared" ca="1" si="11"/>
        <v>0</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t="str" cm="1">
        <f t="array" aca="1" ref="H119" ca="1">INDIRECT("Q" &amp;A119&amp;"_Score")</f>
        <v/>
      </c>
      <c r="I119" s="167">
        <f t="shared" ca="1" si="11"/>
        <v>0</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t="str" cm="1">
        <f t="array" aca="1" ref="H120" ca="1">INDIRECT("Q" &amp;A120&amp;"_Score")</f>
        <v/>
      </c>
      <c r="I120" s="167">
        <f t="shared" ca="1" si="11"/>
        <v>0</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t="str" cm="1">
        <f t="array" aca="1" ref="H121" ca="1">INDIRECT("Q" &amp;A121&amp;"_Score")</f>
        <v/>
      </c>
      <c r="I121" s="167">
        <f t="shared" ca="1" si="11"/>
        <v>0</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t="str" cm="1">
        <f t="array" aca="1" ref="H122" ca="1">INDIRECT("Q" &amp;A122&amp;"_Score")</f>
        <v/>
      </c>
      <c r="I122" s="167">
        <f t="shared" ca="1" si="11"/>
        <v>0</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t="str" cm="1">
        <f t="array" aca="1" ref="H123" ca="1">INDIRECT("Q" &amp;A123&amp;"_Score")</f>
        <v/>
      </c>
      <c r="I123" s="167">
        <f t="shared" ca="1" si="11"/>
        <v>0</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t="str" cm="1">
        <f t="array" aca="1" ref="H124" ca="1">INDIRECT("Q" &amp;A124&amp;"_Score")</f>
        <v/>
      </c>
      <c r="I124" s="167">
        <f t="shared" ca="1" si="11"/>
        <v>0</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t="str" cm="1">
        <f t="array" aca="1" ref="H125" ca="1">INDIRECT("Q" &amp;A125&amp;"_Score")</f>
        <v/>
      </c>
      <c r="I125" s="167">
        <f t="shared" ca="1" si="11"/>
        <v>0</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t="str" cm="1">
        <f t="array" aca="1" ref="H126" ca="1">INDIRECT("Q" &amp;A126&amp;"_Score")</f>
        <v/>
      </c>
      <c r="I126" s="167">
        <f t="shared" ca="1" si="11"/>
        <v>0</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t="str" cm="1">
        <f t="array" aca="1" ref="H127" ca="1">INDIRECT("Q" &amp;A127&amp;"_Score")</f>
        <v/>
      </c>
      <c r="I127" s="167">
        <f t="shared" ref="I127:I158" ca="1" si="13">IFERROR(H127*G127,0)</f>
        <v>0</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t="str" cm="1">
        <f t="array" aca="1" ref="H128" ca="1">INDIRECT("Q" &amp;A128&amp;"_Score")</f>
        <v/>
      </c>
      <c r="I128" s="167">
        <f t="shared" ca="1" si="13"/>
        <v>0</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t="str" cm="1">
        <f t="array" aca="1" ref="H129" ca="1">INDIRECT("Q" &amp;A129&amp;"_Score")</f>
        <v/>
      </c>
      <c r="I129" s="167">
        <f t="shared" ca="1" si="13"/>
        <v>0</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t="str" cm="1">
        <f t="array" aca="1" ref="H130" ca="1">INDIRECT("Q" &amp;A130&amp;"_Score")</f>
        <v/>
      </c>
      <c r="I130" s="167">
        <f t="shared" ca="1" si="13"/>
        <v>0</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t="str" cm="1">
        <f t="array" aca="1" ref="H131" ca="1">INDIRECT("Q" &amp;A131&amp;"_Score")</f>
        <v/>
      </c>
      <c r="I131" s="167">
        <f t="shared" ca="1" si="13"/>
        <v>0</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t="str" cm="1">
        <f t="array" aca="1" ref="H132" ca="1">INDIRECT("Q" &amp;A132&amp;"_Score")</f>
        <v/>
      </c>
      <c r="I132" s="167">
        <f t="shared" ca="1" si="13"/>
        <v>0</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t="str" cm="1">
        <f t="array" aca="1" ref="H133" ca="1">INDIRECT("Q" &amp;A133&amp;"_Score")</f>
        <v/>
      </c>
      <c r="I133" s="167">
        <f t="shared" ca="1" si="13"/>
        <v>0</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t="str" cm="1">
        <f t="array" aca="1" ref="H134" ca="1">INDIRECT("Q" &amp;A134&amp;"_Score")</f>
        <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t="str" cm="1">
        <f t="array" aca="1" ref="H135" ca="1">INDIRECT("Q" &amp;A135&amp;"_Score")</f>
        <v/>
      </c>
      <c r="I135" s="167">
        <f t="shared" ca="1" si="13"/>
        <v>0</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t="str" cm="1">
        <f t="array" aca="1" ref="H136" ca="1">INDIRECT("Q" &amp;A136&amp;"_Score")</f>
        <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t="str" cm="1">
        <f t="array" aca="1" ref="H137" ca="1">INDIRECT("Q" &amp;A137&amp;"_Score")</f>
        <v/>
      </c>
      <c r="I137" s="167">
        <f t="shared" ca="1" si="13"/>
        <v>0</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t="str" cm="1">
        <f t="array" aca="1" ref="H138" ca="1">INDIRECT("Q" &amp;A138&amp;"_Score")</f>
        <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t="str" cm="1">
        <f t="array" aca="1" ref="H139" ca="1">INDIRECT("Q" &amp;A139&amp;"_Score")</f>
        <v/>
      </c>
      <c r="I139" s="167">
        <f t="shared" ca="1" si="13"/>
        <v>0</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t="str" cm="1">
        <f t="array" aca="1" ref="H140" ca="1">INDIRECT("Q" &amp;A140&amp;"_Score")</f>
        <v/>
      </c>
      <c r="I140" s="167">
        <f t="shared" ca="1" si="13"/>
        <v>0</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t="str" cm="1">
        <f t="array" aca="1" ref="H141" ca="1">INDIRECT("Q" &amp;A141&amp;"_Score")</f>
        <v/>
      </c>
      <c r="I141" s="167">
        <f t="shared" ca="1" si="13"/>
        <v>0</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t="str" cm="1">
        <f t="array" aca="1" ref="H142" ca="1">INDIRECT("Q" &amp;A142&amp;"_Score")</f>
        <v/>
      </c>
      <c r="I142" s="167">
        <f t="shared" ca="1" si="13"/>
        <v>0</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t="str" cm="1">
        <f t="array" aca="1" ref="H143" ca="1">INDIRECT("Q" &amp;A143&amp;"_Score")</f>
        <v/>
      </c>
      <c r="I143" s="167">
        <f t="shared" ca="1" si="13"/>
        <v>0</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t="str" cm="1">
        <f t="array" aca="1" ref="H144" ca="1">INDIRECT("Q" &amp;A144&amp;"_Score")</f>
        <v/>
      </c>
      <c r="I144" s="167">
        <f t="shared" ca="1" si="13"/>
        <v>0</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t="str" cm="1">
        <f t="array" aca="1" ref="H145" ca="1">INDIRECT("Q" &amp;A145&amp;"_Score")</f>
        <v/>
      </c>
      <c r="I145" s="167">
        <f t="shared" ca="1" si="13"/>
        <v>0</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t="str" cm="1">
        <f t="array" aca="1" ref="H146" ca="1">INDIRECT("Q" &amp;A146&amp;"_Score")</f>
        <v/>
      </c>
      <c r="I146" s="167">
        <f t="shared" ca="1" si="13"/>
        <v>0</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t="str" cm="1">
        <f t="array" aca="1" ref="H147" ca="1">INDIRECT("Q" &amp;A147&amp;"_Score")</f>
        <v/>
      </c>
      <c r="I147" s="167">
        <f t="shared" ca="1" si="13"/>
        <v>0</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t="str" cm="1">
        <f t="array" aca="1" ref="H148" ca="1">INDIRECT("Q" &amp;A148&amp;"_Score")</f>
        <v/>
      </c>
      <c r="I148" s="167">
        <f t="shared" ca="1" si="13"/>
        <v>0</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t="str" cm="1">
        <f t="array" aca="1" ref="H149" ca="1">INDIRECT("Q" &amp;A149&amp;"_Score")</f>
        <v/>
      </c>
      <c r="I149" s="167">
        <f t="shared" ca="1" si="13"/>
        <v>0</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t="str" cm="1">
        <f t="array" aca="1" ref="H150" ca="1">INDIRECT("Q" &amp;A150&amp;"_Score")</f>
        <v/>
      </c>
      <c r="I150" s="167">
        <f t="shared" ca="1" si="13"/>
        <v>0</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t="str" cm="1">
        <f t="array" aca="1" ref="H151" ca="1">INDIRECT("Q" &amp;A151&amp;"_Score")</f>
        <v/>
      </c>
      <c r="I151" s="167">
        <f t="shared" ca="1" si="13"/>
        <v>0</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t="str" cm="1">
        <f t="array" aca="1" ref="H152" ca="1">INDIRECT("Q" &amp;A152&amp;"_Score")</f>
        <v/>
      </c>
      <c r="I152" s="167">
        <f t="shared" ca="1" si="13"/>
        <v>0</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t="str" cm="1">
        <f t="array" aca="1" ref="H153" ca="1">INDIRECT("Q" &amp;A153&amp;"_Score")</f>
        <v/>
      </c>
      <c r="I153" s="167">
        <f t="shared" ca="1" si="13"/>
        <v>0</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t="str" cm="1">
        <f t="array" aca="1" ref="H154" ca="1">INDIRECT("Q" &amp;A154&amp;"_Score")</f>
        <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t="str" cm="1">
        <f t="array" aca="1" ref="H155" ca="1">INDIRECT("Q" &amp;A155&amp;"_Score")</f>
        <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t="str" cm="1">
        <f t="array" aca="1" ref="H156" ca="1">INDIRECT("Q" &amp;A156&amp;"_Score")</f>
        <v/>
      </c>
      <c r="I156" s="167">
        <f t="shared" ca="1" si="13"/>
        <v>0</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t="str" cm="1">
        <f t="array" aca="1" ref="H157" ca="1">INDIRECT("Q" &amp;A157&amp;"_Score")</f>
        <v/>
      </c>
      <c r="I157" s="167">
        <f t="shared" ca="1" si="13"/>
        <v>0</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t="str" cm="1">
        <f t="array" aca="1" ref="H158" ca="1">INDIRECT("Q" &amp;A158&amp;"_Score")</f>
        <v/>
      </c>
      <c r="I158" s="167">
        <f t="shared" ca="1" si="13"/>
        <v>0</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t="str" cm="1">
        <f t="array" aca="1" ref="H159" ca="1">INDIRECT("Q" &amp;A159&amp;"_Score")</f>
        <v/>
      </c>
      <c r="I159" s="167">
        <f t="shared" ref="I159:I182" ca="1" si="16">IFERROR(H159*G159,0)</f>
        <v>0</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t="str" cm="1">
        <f t="array" aca="1" ref="H160" ca="1">INDIRECT("Q" &amp;A160&amp;"_Score")</f>
        <v/>
      </c>
      <c r="I160" s="167">
        <f t="shared" ca="1" si="16"/>
        <v>0</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t="str" cm="1">
        <f t="array" aca="1" ref="H161" ca="1">INDIRECT("Q" &amp;A161&amp;"_Score")</f>
        <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t="str" cm="1">
        <f t="array" aca="1" ref="H162" ca="1">INDIRECT("Q" &amp;A162&amp;"_Score")</f>
        <v/>
      </c>
      <c r="I162" s="167">
        <f t="shared" ca="1" si="16"/>
        <v>0</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t="str" cm="1">
        <f t="array" aca="1" ref="H163" ca="1">INDIRECT("Q" &amp;A163&amp;"_Score")</f>
        <v/>
      </c>
      <c r="I163" s="167">
        <f t="shared" ca="1" si="16"/>
        <v>0</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t="str" cm="1">
        <f t="array" aca="1" ref="H164" ca="1">INDIRECT("Q" &amp;A164&amp;"_Score")</f>
        <v/>
      </c>
      <c r="I164" s="167">
        <f t="shared" ca="1" si="16"/>
        <v>0</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t="str" cm="1">
        <f t="array" aca="1" ref="H165" ca="1">INDIRECT("Q" &amp;A165&amp;"_Score")</f>
        <v/>
      </c>
      <c r="I165" s="167">
        <f t="shared" ca="1" si="16"/>
        <v>0</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t="str" cm="1">
        <f t="array" aca="1" ref="H166" ca="1">INDIRECT("Q" &amp;A166&amp;"_Score")</f>
        <v/>
      </c>
      <c r="I166" s="167">
        <f t="shared" ca="1" si="16"/>
        <v>0</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t="str" cm="1">
        <f t="array" aca="1" ref="H167" ca="1">INDIRECT("Q" &amp;A167&amp;"_Score")</f>
        <v/>
      </c>
      <c r="I167" s="167">
        <f t="shared" ca="1" si="16"/>
        <v>0</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t="str" cm="1">
        <f t="array" aca="1" ref="H168" ca="1">INDIRECT("Q" &amp;A168&amp;"_Score")</f>
        <v/>
      </c>
      <c r="I168" s="167">
        <f t="shared" ca="1" si="16"/>
        <v>0</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t="str" cm="1">
        <f t="array" aca="1" ref="H169" ca="1">INDIRECT("Q" &amp;A169&amp;"_Score")</f>
        <v/>
      </c>
      <c r="I169" s="167">
        <f t="shared" ca="1" si="16"/>
        <v>0</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t="str" cm="1">
        <f t="array" aca="1" ref="H170" ca="1">INDIRECT("Q" &amp;A170&amp;"_Score")</f>
        <v/>
      </c>
      <c r="I170" s="167">
        <f t="shared" ca="1" si="16"/>
        <v>0</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t="str" cm="1">
        <f t="array" aca="1" ref="H171" ca="1">INDIRECT("Q" &amp;A171&amp;"_Score")</f>
        <v/>
      </c>
      <c r="I171" s="167">
        <f t="shared" ca="1" si="16"/>
        <v>0</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t="str" cm="1">
        <f t="array" aca="1" ref="H172" ca="1">INDIRECT("Q" &amp;A172&amp;"_Score")</f>
        <v/>
      </c>
      <c r="I172" s="167">
        <f t="shared" ca="1" si="16"/>
        <v>0</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t="str" cm="1">
        <f t="array" aca="1" ref="H173" ca="1">INDIRECT("Q" &amp;A173&amp;"_Score")</f>
        <v/>
      </c>
      <c r="I173" s="167">
        <f t="shared" ca="1" si="16"/>
        <v>0</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t="str" cm="1">
        <f t="array" aca="1" ref="H174" ca="1">INDIRECT("Q" &amp;A174&amp;"_Score")</f>
        <v/>
      </c>
      <c r="I174" s="167">
        <f t="shared" ca="1" si="16"/>
        <v>0</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t="str" cm="1">
        <f t="array" aca="1" ref="H175" ca="1">INDIRECT("Q" &amp;A175&amp;"_Score")</f>
        <v/>
      </c>
      <c r="I175" s="167">
        <f t="shared" ca="1" si="16"/>
        <v>0</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t="str" cm="1">
        <f t="array" aca="1" ref="H176" ca="1">INDIRECT("Q" &amp;A176&amp;"_Score")</f>
        <v/>
      </c>
      <c r="I176" s="167">
        <f t="shared" ca="1" si="16"/>
        <v>0</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t="str" cm="1">
        <f t="array" aca="1" ref="H177" ca="1">INDIRECT("Q" &amp;A177&amp;"_Score")</f>
        <v/>
      </c>
      <c r="I177" s="167">
        <f t="shared" ca="1" si="16"/>
        <v>0</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t="str" cm="1">
        <f t="array" aca="1" ref="H178" ca="1">INDIRECT("Q" &amp;A178&amp;"_Score")</f>
        <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t="str" cm="1">
        <f t="array" aca="1" ref="H179" ca="1">INDIRECT("Q" &amp;A179&amp;"_Score")</f>
        <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t="str" cm="1">
        <f t="array" aca="1" ref="H180" ca="1">INDIRECT("Q" &amp;A180&amp;"_Score")</f>
        <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t="str" cm="1">
        <f t="array" aca="1" ref="H181" ca="1">INDIRECT("Q" &amp;A181&amp;"_Score")</f>
        <v/>
      </c>
      <c r="I181" s="167">
        <f t="shared" ca="1" si="16"/>
        <v>0</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t="str" cm="1">
        <f t="array" aca="1" ref="H182" ca="1">INDIRECT("Q" &amp;A182&amp;"_Score")</f>
        <v/>
      </c>
      <c r="I182" s="167">
        <f t="shared" ca="1" si="16"/>
        <v>0</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1213</v>
      </c>
      <c r="I2" s="8" t="s">
        <v>1214</v>
      </c>
      <c r="J2" s="8" t="s">
        <v>1215</v>
      </c>
      <c r="K2" s="8" t="s">
        <v>1216</v>
      </c>
      <c r="L2" s="8" t="s">
        <v>1808</v>
      </c>
      <c r="M2" s="8"/>
    </row>
    <row r="3" spans="1:13" ht="160" x14ac:dyDescent="0.2">
      <c r="A3" s="8">
        <v>2</v>
      </c>
      <c r="B3" s="8" t="s">
        <v>183</v>
      </c>
      <c r="C3" s="8" t="s">
        <v>184</v>
      </c>
      <c r="D3" s="8" t="s">
        <v>185</v>
      </c>
      <c r="E3" s="8" t="s">
        <v>189</v>
      </c>
      <c r="F3" s="8" t="s">
        <v>190</v>
      </c>
      <c r="G3" s="8" t="s">
        <v>191</v>
      </c>
      <c r="H3" s="8" t="s">
        <v>1217</v>
      </c>
      <c r="I3" s="8" t="s">
        <v>1218</v>
      </c>
      <c r="J3" s="8" t="s">
        <v>1219</v>
      </c>
      <c r="K3" s="8" t="s">
        <v>1220</v>
      </c>
      <c r="L3" s="8" t="s">
        <v>1692</v>
      </c>
      <c r="M3" s="8"/>
    </row>
    <row r="4" spans="1:13" ht="128" x14ac:dyDescent="0.2">
      <c r="A4" s="8">
        <v>3</v>
      </c>
      <c r="B4" s="8" t="s">
        <v>183</v>
      </c>
      <c r="C4" s="8" t="s">
        <v>184</v>
      </c>
      <c r="D4" s="8" t="s">
        <v>185</v>
      </c>
      <c r="E4" s="8" t="s">
        <v>192</v>
      </c>
      <c r="F4" s="8" t="s">
        <v>193</v>
      </c>
      <c r="G4" s="8" t="s">
        <v>194</v>
      </c>
      <c r="H4" s="8" t="s">
        <v>1221</v>
      </c>
      <c r="I4" s="8" t="s">
        <v>1222</v>
      </c>
      <c r="J4" s="8" t="s">
        <v>1223</v>
      </c>
      <c r="K4" s="8" t="s">
        <v>1224</v>
      </c>
      <c r="L4" s="8" t="s">
        <v>1693</v>
      </c>
      <c r="M4" s="8"/>
    </row>
    <row r="5" spans="1:13" ht="144" x14ac:dyDescent="0.2">
      <c r="A5" s="8">
        <v>4</v>
      </c>
      <c r="B5" s="8" t="s">
        <v>183</v>
      </c>
      <c r="C5" s="8" t="s">
        <v>184</v>
      </c>
      <c r="D5" s="8" t="s">
        <v>185</v>
      </c>
      <c r="E5" s="8" t="s">
        <v>195</v>
      </c>
      <c r="F5" s="8" t="s">
        <v>196</v>
      </c>
      <c r="G5" s="8" t="s">
        <v>197</v>
      </c>
      <c r="H5" s="8" t="s">
        <v>1225</v>
      </c>
      <c r="I5" s="8" t="s">
        <v>1226</v>
      </c>
      <c r="J5" s="8" t="s">
        <v>1227</v>
      </c>
      <c r="K5" s="8" t="s">
        <v>1228</v>
      </c>
      <c r="L5" s="8" t="s">
        <v>1694</v>
      </c>
      <c r="M5" s="8"/>
    </row>
    <row r="6" spans="1:13" ht="144" x14ac:dyDescent="0.2">
      <c r="A6" s="8">
        <v>5</v>
      </c>
      <c r="B6" s="8" t="s">
        <v>183</v>
      </c>
      <c r="C6" s="8" t="s">
        <v>184</v>
      </c>
      <c r="D6" s="8" t="s">
        <v>185</v>
      </c>
      <c r="E6" s="8" t="s">
        <v>198</v>
      </c>
      <c r="F6" s="8" t="s">
        <v>199</v>
      </c>
      <c r="G6" s="8" t="s">
        <v>200</v>
      </c>
      <c r="H6" s="8" t="s">
        <v>1229</v>
      </c>
      <c r="I6" s="8" t="s">
        <v>1230</v>
      </c>
      <c r="J6" s="8" t="s">
        <v>1231</v>
      </c>
      <c r="K6" s="8" t="s">
        <v>1232</v>
      </c>
      <c r="L6" s="8" t="s">
        <v>1695</v>
      </c>
      <c r="M6" s="8"/>
    </row>
    <row r="7" spans="1:13" ht="144" x14ac:dyDescent="0.2">
      <c r="A7" s="8">
        <v>6</v>
      </c>
      <c r="B7" s="8" t="s">
        <v>183</v>
      </c>
      <c r="C7" s="8" t="s">
        <v>184</v>
      </c>
      <c r="D7" s="8" t="s">
        <v>201</v>
      </c>
      <c r="E7" s="8" t="s">
        <v>186</v>
      </c>
      <c r="F7" s="8" t="s">
        <v>202</v>
      </c>
      <c r="G7" s="8" t="s">
        <v>203</v>
      </c>
      <c r="H7" s="8" t="s">
        <v>1233</v>
      </c>
      <c r="I7" s="8" t="s">
        <v>1234</v>
      </c>
      <c r="J7" s="8" t="s">
        <v>1235</v>
      </c>
      <c r="K7" s="8" t="s">
        <v>1236</v>
      </c>
      <c r="L7" s="8" t="s">
        <v>1696</v>
      </c>
      <c r="M7" s="8"/>
    </row>
    <row r="8" spans="1:13" ht="128" x14ac:dyDescent="0.2">
      <c r="A8" s="8">
        <v>7</v>
      </c>
      <c r="B8" s="8" t="s">
        <v>183</v>
      </c>
      <c r="C8" s="8" t="s">
        <v>184</v>
      </c>
      <c r="D8" s="8" t="s">
        <v>201</v>
      </c>
      <c r="E8" s="8" t="s">
        <v>189</v>
      </c>
      <c r="F8" s="8" t="s">
        <v>204</v>
      </c>
      <c r="G8" s="8" t="s">
        <v>205</v>
      </c>
      <c r="H8" s="8" t="s">
        <v>1237</v>
      </c>
      <c r="I8" s="8" t="s">
        <v>1238</v>
      </c>
      <c r="J8" s="8" t="s">
        <v>1239</v>
      </c>
      <c r="K8" s="8" t="s">
        <v>1240</v>
      </c>
      <c r="L8" s="8" t="s">
        <v>1811</v>
      </c>
      <c r="M8" s="8"/>
    </row>
    <row r="9" spans="1:13" ht="128" x14ac:dyDescent="0.2">
      <c r="A9" s="8">
        <v>8</v>
      </c>
      <c r="B9" s="8" t="s">
        <v>183</v>
      </c>
      <c r="C9" s="8" t="s">
        <v>184</v>
      </c>
      <c r="D9" s="8" t="s">
        <v>201</v>
      </c>
      <c r="E9" s="8" t="s">
        <v>189</v>
      </c>
      <c r="F9" s="8" t="s">
        <v>206</v>
      </c>
      <c r="G9" s="8" t="s">
        <v>207</v>
      </c>
      <c r="H9" s="8" t="s">
        <v>1241</v>
      </c>
      <c r="I9" s="8" t="s">
        <v>1242</v>
      </c>
      <c r="J9" s="8" t="s">
        <v>1243</v>
      </c>
      <c r="K9" s="8" t="s">
        <v>1244</v>
      </c>
      <c r="L9" s="8" t="s">
        <v>1812</v>
      </c>
      <c r="M9" s="8"/>
    </row>
    <row r="10" spans="1:13" ht="128" x14ac:dyDescent="0.2">
      <c r="A10" s="8">
        <v>9</v>
      </c>
      <c r="B10" s="8" t="s">
        <v>183</v>
      </c>
      <c r="C10" s="8" t="s">
        <v>184</v>
      </c>
      <c r="D10" s="8" t="s">
        <v>201</v>
      </c>
      <c r="E10" s="8" t="s">
        <v>189</v>
      </c>
      <c r="F10" s="8" t="s">
        <v>208</v>
      </c>
      <c r="G10" s="8" t="s">
        <v>209</v>
      </c>
      <c r="H10" s="8" t="s">
        <v>1245</v>
      </c>
      <c r="I10" s="8" t="s">
        <v>1246</v>
      </c>
      <c r="J10" s="8" t="s">
        <v>1247</v>
      </c>
      <c r="K10" s="8" t="s">
        <v>1248</v>
      </c>
      <c r="L10" s="8" t="s">
        <v>1809</v>
      </c>
      <c r="M10" s="8"/>
    </row>
    <row r="11" spans="1:13" ht="160" x14ac:dyDescent="0.2">
      <c r="A11" s="8">
        <v>10</v>
      </c>
      <c r="B11" s="8" t="s">
        <v>183</v>
      </c>
      <c r="C11" s="8" t="s">
        <v>184</v>
      </c>
      <c r="D11" s="8" t="s">
        <v>201</v>
      </c>
      <c r="E11" s="8" t="s">
        <v>198</v>
      </c>
      <c r="F11" s="8" t="s">
        <v>210</v>
      </c>
      <c r="G11" s="8" t="s">
        <v>211</v>
      </c>
      <c r="H11" s="8" t="s">
        <v>1249</v>
      </c>
      <c r="I11" s="8" t="s">
        <v>1250</v>
      </c>
      <c r="J11" s="8" t="s">
        <v>1251</v>
      </c>
      <c r="K11" s="8" t="s">
        <v>1252</v>
      </c>
      <c r="L11" s="8" t="s">
        <v>1697</v>
      </c>
      <c r="M11" s="8"/>
    </row>
    <row r="12" spans="1:13" ht="144" x14ac:dyDescent="0.2">
      <c r="A12" s="8">
        <v>11</v>
      </c>
      <c r="B12" s="8" t="s">
        <v>183</v>
      </c>
      <c r="C12" s="8" t="s">
        <v>212</v>
      </c>
      <c r="D12" s="8" t="s">
        <v>185</v>
      </c>
      <c r="E12" s="8" t="s">
        <v>186</v>
      </c>
      <c r="F12" s="8" t="s">
        <v>213</v>
      </c>
      <c r="G12" s="8" t="s">
        <v>214</v>
      </c>
      <c r="H12" s="8" t="s">
        <v>1253</v>
      </c>
      <c r="I12" s="8" t="s">
        <v>1254</v>
      </c>
      <c r="J12" s="8" t="s">
        <v>1255</v>
      </c>
      <c r="K12" s="8" t="s">
        <v>1256</v>
      </c>
      <c r="L12" s="8" t="s">
        <v>1698</v>
      </c>
      <c r="M12" s="8"/>
    </row>
    <row r="13" spans="1:13" ht="128" x14ac:dyDescent="0.2">
      <c r="A13" s="8">
        <v>12</v>
      </c>
      <c r="B13" s="8" t="s">
        <v>183</v>
      </c>
      <c r="C13" s="8" t="s">
        <v>212</v>
      </c>
      <c r="D13" s="8" t="s">
        <v>185</v>
      </c>
      <c r="E13" s="8" t="s">
        <v>189</v>
      </c>
      <c r="F13" s="8" t="s">
        <v>215</v>
      </c>
      <c r="G13" s="8" t="s">
        <v>216</v>
      </c>
      <c r="H13" s="8" t="s">
        <v>1257</v>
      </c>
      <c r="I13" s="8" t="s">
        <v>1258</v>
      </c>
      <c r="J13" s="8" t="s">
        <v>1259</v>
      </c>
      <c r="K13" s="8" t="s">
        <v>1260</v>
      </c>
      <c r="L13" s="8" t="s">
        <v>1699</v>
      </c>
      <c r="M13" s="8"/>
    </row>
    <row r="14" spans="1:13" ht="128" x14ac:dyDescent="0.2">
      <c r="A14" s="8">
        <v>13</v>
      </c>
      <c r="B14" s="8" t="s">
        <v>183</v>
      </c>
      <c r="C14" s="8" t="s">
        <v>212</v>
      </c>
      <c r="D14" s="8" t="s">
        <v>185</v>
      </c>
      <c r="E14" s="8" t="s">
        <v>192</v>
      </c>
      <c r="F14" s="8" t="s">
        <v>217</v>
      </c>
      <c r="G14" s="8" t="s">
        <v>218</v>
      </c>
      <c r="H14" s="8" t="s">
        <v>1261</v>
      </c>
      <c r="I14" s="8" t="s">
        <v>1262</v>
      </c>
      <c r="J14" s="8" t="s">
        <v>1263</v>
      </c>
      <c r="K14" s="8" t="s">
        <v>1264</v>
      </c>
      <c r="L14" s="8" t="s">
        <v>1700</v>
      </c>
      <c r="M14" s="8"/>
    </row>
    <row r="15" spans="1:13" ht="128" x14ac:dyDescent="0.2">
      <c r="A15" s="8">
        <v>14</v>
      </c>
      <c r="B15" s="8" t="s">
        <v>183</v>
      </c>
      <c r="C15" s="8" t="s">
        <v>212</v>
      </c>
      <c r="D15" s="8" t="s">
        <v>185</v>
      </c>
      <c r="E15" s="8" t="s">
        <v>192</v>
      </c>
      <c r="F15" s="8" t="s">
        <v>219</v>
      </c>
      <c r="G15" s="8" t="s">
        <v>220</v>
      </c>
      <c r="H15" s="8" t="s">
        <v>1265</v>
      </c>
      <c r="I15" s="8" t="s">
        <v>1266</v>
      </c>
      <c r="J15" s="8" t="s">
        <v>1267</v>
      </c>
      <c r="K15" s="8" t="s">
        <v>1268</v>
      </c>
      <c r="L15" s="8" t="s">
        <v>1701</v>
      </c>
      <c r="M15" s="8"/>
    </row>
    <row r="16" spans="1:13" ht="144" x14ac:dyDescent="0.2">
      <c r="A16" s="8">
        <v>15</v>
      </c>
      <c r="B16" s="8" t="s">
        <v>183</v>
      </c>
      <c r="C16" s="8" t="s">
        <v>212</v>
      </c>
      <c r="D16" s="8" t="s">
        <v>185</v>
      </c>
      <c r="E16" s="8" t="s">
        <v>192</v>
      </c>
      <c r="F16" s="8" t="s">
        <v>221</v>
      </c>
      <c r="G16" s="8" t="s">
        <v>222</v>
      </c>
      <c r="H16" s="8" t="s">
        <v>1269</v>
      </c>
      <c r="I16" s="8" t="s">
        <v>1270</v>
      </c>
      <c r="J16" s="8" t="s">
        <v>1271</v>
      </c>
      <c r="K16" s="8" t="s">
        <v>1272</v>
      </c>
      <c r="L16" s="8" t="s">
        <v>1702</v>
      </c>
      <c r="M16" s="8"/>
    </row>
    <row r="17" spans="1:13" ht="128" x14ac:dyDescent="0.2">
      <c r="A17" s="8">
        <v>16</v>
      </c>
      <c r="B17" s="8" t="s">
        <v>183</v>
      </c>
      <c r="C17" s="8" t="s">
        <v>212</v>
      </c>
      <c r="D17" s="8" t="s">
        <v>201</v>
      </c>
      <c r="E17" s="8" t="s">
        <v>186</v>
      </c>
      <c r="F17" s="8" t="s">
        <v>223</v>
      </c>
      <c r="G17" s="8" t="s">
        <v>224</v>
      </c>
      <c r="H17" s="8" t="s">
        <v>1273</v>
      </c>
      <c r="I17" s="8" t="s">
        <v>1274</v>
      </c>
      <c r="J17" s="8" t="s">
        <v>1275</v>
      </c>
      <c r="K17" s="8" t="s">
        <v>1276</v>
      </c>
      <c r="L17" s="8" t="s">
        <v>1703</v>
      </c>
      <c r="M17" s="8"/>
    </row>
    <row r="18" spans="1:13" ht="160" x14ac:dyDescent="0.2">
      <c r="A18" s="8">
        <v>17</v>
      </c>
      <c r="B18" s="8" t="s">
        <v>183</v>
      </c>
      <c r="C18" s="8" t="s">
        <v>212</v>
      </c>
      <c r="D18" s="8" t="s">
        <v>201</v>
      </c>
      <c r="E18" s="8" t="s">
        <v>189</v>
      </c>
      <c r="F18" s="8" t="s">
        <v>225</v>
      </c>
      <c r="G18" s="8" t="s">
        <v>226</v>
      </c>
      <c r="H18" s="8" t="s">
        <v>1277</v>
      </c>
      <c r="I18" s="8" t="s">
        <v>1278</v>
      </c>
      <c r="J18" s="8" t="s">
        <v>1279</v>
      </c>
      <c r="K18" s="8" t="s">
        <v>1280</v>
      </c>
      <c r="L18" s="8" t="s">
        <v>1704</v>
      </c>
      <c r="M18" s="8"/>
    </row>
    <row r="19" spans="1:13" ht="144" x14ac:dyDescent="0.2">
      <c r="A19" s="8">
        <v>18</v>
      </c>
      <c r="B19" s="8" t="s">
        <v>183</v>
      </c>
      <c r="C19" s="8" t="s">
        <v>212</v>
      </c>
      <c r="D19" s="8" t="s">
        <v>201</v>
      </c>
      <c r="E19" s="8" t="s">
        <v>192</v>
      </c>
      <c r="F19" s="8" t="s">
        <v>227</v>
      </c>
      <c r="G19" s="8" t="s">
        <v>228</v>
      </c>
      <c r="H19" s="8" t="s">
        <v>1281</v>
      </c>
      <c r="I19" s="8" t="s">
        <v>1282</v>
      </c>
      <c r="J19" s="8" t="s">
        <v>1283</v>
      </c>
      <c r="K19" s="8" t="s">
        <v>1284</v>
      </c>
      <c r="L19" s="8" t="s">
        <v>1705</v>
      </c>
      <c r="M19" s="8"/>
    </row>
    <row r="20" spans="1:13" ht="128" x14ac:dyDescent="0.2">
      <c r="A20" s="8">
        <v>19</v>
      </c>
      <c r="B20" s="8" t="s">
        <v>183</v>
      </c>
      <c r="C20" s="8" t="s">
        <v>212</v>
      </c>
      <c r="D20" s="8" t="s">
        <v>201</v>
      </c>
      <c r="E20" s="8" t="s">
        <v>195</v>
      </c>
      <c r="F20" s="8" t="s">
        <v>229</v>
      </c>
      <c r="G20" s="8" t="s">
        <v>230</v>
      </c>
      <c r="H20" s="8" t="s">
        <v>1285</v>
      </c>
      <c r="I20" s="8" t="s">
        <v>1286</v>
      </c>
      <c r="J20" s="8" t="s">
        <v>1287</v>
      </c>
      <c r="K20" s="8" t="s">
        <v>1288</v>
      </c>
      <c r="L20" s="8" t="s">
        <v>1706</v>
      </c>
      <c r="M20" s="8"/>
    </row>
    <row r="21" spans="1:13" ht="128" x14ac:dyDescent="0.2">
      <c r="A21" s="8">
        <v>20</v>
      </c>
      <c r="B21" s="8" t="s">
        <v>183</v>
      </c>
      <c r="C21" s="8" t="s">
        <v>212</v>
      </c>
      <c r="D21" s="8" t="s">
        <v>201</v>
      </c>
      <c r="E21" s="8" t="s">
        <v>195</v>
      </c>
      <c r="F21" s="8" t="s">
        <v>231</v>
      </c>
      <c r="G21" s="8" t="s">
        <v>232</v>
      </c>
      <c r="H21" s="8" t="s">
        <v>1289</v>
      </c>
      <c r="I21" s="8" t="s">
        <v>1290</v>
      </c>
      <c r="J21" s="8" t="s">
        <v>1291</v>
      </c>
      <c r="K21" s="8" t="s">
        <v>1292</v>
      </c>
      <c r="L21" s="8" t="s">
        <v>1707</v>
      </c>
      <c r="M21" s="8"/>
    </row>
    <row r="22" spans="1:13" ht="128" x14ac:dyDescent="0.2">
      <c r="A22" s="8">
        <v>21</v>
      </c>
      <c r="B22" s="8" t="s">
        <v>183</v>
      </c>
      <c r="C22" s="8" t="s">
        <v>233</v>
      </c>
      <c r="D22" s="8" t="s">
        <v>185</v>
      </c>
      <c r="E22" s="8" t="s">
        <v>186</v>
      </c>
      <c r="F22" s="8" t="s">
        <v>234</v>
      </c>
      <c r="G22" s="8" t="s">
        <v>235</v>
      </c>
      <c r="H22" s="8" t="s">
        <v>1293</v>
      </c>
      <c r="I22" s="8" t="s">
        <v>1294</v>
      </c>
      <c r="J22" s="8" t="s">
        <v>1295</v>
      </c>
      <c r="K22" s="8" t="s">
        <v>1296</v>
      </c>
      <c r="L22" s="8" t="s">
        <v>1708</v>
      </c>
      <c r="M22" s="8"/>
    </row>
    <row r="23" spans="1:13" ht="128" x14ac:dyDescent="0.2">
      <c r="A23" s="8">
        <v>22</v>
      </c>
      <c r="B23" s="8" t="s">
        <v>183</v>
      </c>
      <c r="C23" s="8" t="s">
        <v>233</v>
      </c>
      <c r="D23" s="8" t="s">
        <v>185</v>
      </c>
      <c r="E23" s="8" t="s">
        <v>189</v>
      </c>
      <c r="F23" s="8" t="s">
        <v>236</v>
      </c>
      <c r="G23" s="8" t="s">
        <v>237</v>
      </c>
      <c r="H23" s="8" t="s">
        <v>1297</v>
      </c>
      <c r="I23" s="8" t="s">
        <v>1298</v>
      </c>
      <c r="J23" s="8" t="s">
        <v>1299</v>
      </c>
      <c r="K23" s="8" t="s">
        <v>1300</v>
      </c>
      <c r="L23" s="8" t="s">
        <v>1709</v>
      </c>
      <c r="M23" s="8"/>
    </row>
    <row r="24" spans="1:13" ht="160" x14ac:dyDescent="0.2">
      <c r="A24" s="8">
        <v>23</v>
      </c>
      <c r="B24" s="8" t="s">
        <v>183</v>
      </c>
      <c r="C24" s="8" t="s">
        <v>233</v>
      </c>
      <c r="D24" s="8" t="s">
        <v>185</v>
      </c>
      <c r="E24" s="8" t="s">
        <v>192</v>
      </c>
      <c r="F24" s="8" t="s">
        <v>238</v>
      </c>
      <c r="G24" s="8" t="s">
        <v>239</v>
      </c>
      <c r="H24" s="8" t="s">
        <v>1301</v>
      </c>
      <c r="I24" s="8" t="s">
        <v>1302</v>
      </c>
      <c r="J24" s="8" t="s">
        <v>1303</v>
      </c>
      <c r="K24" s="8" t="s">
        <v>1304</v>
      </c>
      <c r="L24" s="8" t="s">
        <v>1710</v>
      </c>
      <c r="M24" s="8"/>
    </row>
    <row r="25" spans="1:13" ht="144" x14ac:dyDescent="0.2">
      <c r="A25" s="8">
        <v>24</v>
      </c>
      <c r="B25" s="8" t="s">
        <v>183</v>
      </c>
      <c r="C25" s="8" t="s">
        <v>233</v>
      </c>
      <c r="D25" s="8" t="s">
        <v>185</v>
      </c>
      <c r="E25" s="8" t="s">
        <v>195</v>
      </c>
      <c r="F25" s="8" t="s">
        <v>240</v>
      </c>
      <c r="G25" s="8" t="s">
        <v>241</v>
      </c>
      <c r="H25" s="8" t="s">
        <v>1305</v>
      </c>
      <c r="I25" s="8" t="s">
        <v>1306</v>
      </c>
      <c r="J25" s="8" t="s">
        <v>1307</v>
      </c>
      <c r="K25" s="8" t="s">
        <v>1308</v>
      </c>
      <c r="L25" s="8" t="s">
        <v>1711</v>
      </c>
      <c r="M25" s="8"/>
    </row>
    <row r="26" spans="1:13" ht="128" x14ac:dyDescent="0.2">
      <c r="A26" s="8">
        <v>25</v>
      </c>
      <c r="B26" s="8" t="s">
        <v>183</v>
      </c>
      <c r="C26" s="8" t="s">
        <v>233</v>
      </c>
      <c r="D26" s="8" t="s">
        <v>185</v>
      </c>
      <c r="E26" s="8" t="s">
        <v>198</v>
      </c>
      <c r="F26" s="8" t="s">
        <v>242</v>
      </c>
      <c r="G26" s="8" t="s">
        <v>243</v>
      </c>
      <c r="H26" s="8" t="s">
        <v>1309</v>
      </c>
      <c r="I26" s="8" t="s">
        <v>1310</v>
      </c>
      <c r="J26" s="8" t="s">
        <v>1311</v>
      </c>
      <c r="K26" s="8" t="s">
        <v>1312</v>
      </c>
      <c r="L26" s="8" t="s">
        <v>1712</v>
      </c>
      <c r="M26" s="8"/>
    </row>
    <row r="27" spans="1:13" ht="128" x14ac:dyDescent="0.2">
      <c r="A27" s="8">
        <v>26</v>
      </c>
      <c r="B27" s="8" t="s">
        <v>183</v>
      </c>
      <c r="C27" s="8" t="s">
        <v>233</v>
      </c>
      <c r="D27" s="8" t="s">
        <v>201</v>
      </c>
      <c r="E27" s="8" t="s">
        <v>186</v>
      </c>
      <c r="F27" s="8" t="s">
        <v>244</v>
      </c>
      <c r="G27" s="8" t="s">
        <v>245</v>
      </c>
      <c r="H27" s="8" t="s">
        <v>1313</v>
      </c>
      <c r="I27" s="8" t="s">
        <v>1314</v>
      </c>
      <c r="J27" s="8" t="s">
        <v>1315</v>
      </c>
      <c r="K27" s="8" t="s">
        <v>1316</v>
      </c>
      <c r="L27" s="8" t="s">
        <v>1713</v>
      </c>
      <c r="M27" s="8"/>
    </row>
    <row r="28" spans="1:13" ht="176" x14ac:dyDescent="0.2">
      <c r="A28" s="8">
        <v>27</v>
      </c>
      <c r="B28" s="8" t="s">
        <v>183</v>
      </c>
      <c r="C28" s="8" t="s">
        <v>233</v>
      </c>
      <c r="D28" s="8" t="s">
        <v>201</v>
      </c>
      <c r="E28" s="8" t="s">
        <v>186</v>
      </c>
      <c r="F28" s="8" t="s">
        <v>246</v>
      </c>
      <c r="G28" s="8" t="s">
        <v>247</v>
      </c>
      <c r="H28" s="8" t="s">
        <v>1317</v>
      </c>
      <c r="I28" s="8" t="s">
        <v>1318</v>
      </c>
      <c r="J28" s="8" t="s">
        <v>1319</v>
      </c>
      <c r="K28" s="8" t="s">
        <v>1320</v>
      </c>
      <c r="L28" s="8" t="s">
        <v>1714</v>
      </c>
      <c r="M28" s="8"/>
    </row>
    <row r="29" spans="1:13" ht="176" x14ac:dyDescent="0.2">
      <c r="A29" s="8">
        <v>28</v>
      </c>
      <c r="B29" s="8" t="s">
        <v>183</v>
      </c>
      <c r="C29" s="8" t="s">
        <v>233</v>
      </c>
      <c r="D29" s="8" t="s">
        <v>201</v>
      </c>
      <c r="E29" s="8" t="s">
        <v>192</v>
      </c>
      <c r="F29" s="8" t="s">
        <v>248</v>
      </c>
      <c r="G29" s="8" t="s">
        <v>249</v>
      </c>
      <c r="H29" s="8" t="s">
        <v>1321</v>
      </c>
      <c r="I29" s="8" t="s">
        <v>1322</v>
      </c>
      <c r="J29" s="8" t="s">
        <v>1323</v>
      </c>
      <c r="K29" s="8" t="s">
        <v>1324</v>
      </c>
      <c r="L29" s="8" t="s">
        <v>1715</v>
      </c>
      <c r="M29" s="8"/>
    </row>
    <row r="30" spans="1:13" ht="160" x14ac:dyDescent="0.2">
      <c r="A30" s="8">
        <v>29</v>
      </c>
      <c r="B30" s="8" t="s">
        <v>183</v>
      </c>
      <c r="C30" s="8" t="s">
        <v>233</v>
      </c>
      <c r="D30" s="8" t="s">
        <v>201</v>
      </c>
      <c r="E30" s="8" t="s">
        <v>195</v>
      </c>
      <c r="F30" s="8" t="s">
        <v>250</v>
      </c>
      <c r="G30" s="8" t="s">
        <v>251</v>
      </c>
      <c r="H30" s="8" t="s">
        <v>1325</v>
      </c>
      <c r="I30" s="8" t="s">
        <v>1326</v>
      </c>
      <c r="J30" s="8" t="s">
        <v>1327</v>
      </c>
      <c r="K30" s="8" t="s">
        <v>1328</v>
      </c>
      <c r="L30" s="8" t="s">
        <v>1716</v>
      </c>
      <c r="M30" s="8"/>
    </row>
    <row r="31" spans="1:13" ht="128" x14ac:dyDescent="0.2">
      <c r="A31" s="8">
        <v>30</v>
      </c>
      <c r="B31" s="8" t="s">
        <v>183</v>
      </c>
      <c r="C31" s="8" t="s">
        <v>233</v>
      </c>
      <c r="D31" s="8" t="s">
        <v>201</v>
      </c>
      <c r="E31" s="8" t="s">
        <v>195</v>
      </c>
      <c r="F31" s="8" t="s">
        <v>252</v>
      </c>
      <c r="G31" s="8" t="s">
        <v>253</v>
      </c>
      <c r="H31" s="8" t="s">
        <v>1329</v>
      </c>
      <c r="I31" s="8" t="s">
        <v>1330</v>
      </c>
      <c r="J31" s="8" t="s">
        <v>1331</v>
      </c>
      <c r="K31" s="8" t="s">
        <v>1332</v>
      </c>
      <c r="L31" s="8" t="s">
        <v>1717</v>
      </c>
      <c r="M31" s="8"/>
    </row>
    <row r="32" spans="1:13" ht="160" x14ac:dyDescent="0.2">
      <c r="A32" s="9">
        <v>31</v>
      </c>
      <c r="B32" s="9" t="s">
        <v>254</v>
      </c>
      <c r="C32" s="9" t="s">
        <v>255</v>
      </c>
      <c r="D32" s="9" t="s">
        <v>185</v>
      </c>
      <c r="E32" s="9" t="s">
        <v>186</v>
      </c>
      <c r="F32" s="9" t="s">
        <v>256</v>
      </c>
      <c r="G32" s="9" t="s">
        <v>257</v>
      </c>
      <c r="H32" s="9" t="s">
        <v>1333</v>
      </c>
      <c r="I32" s="9" t="s">
        <v>1334</v>
      </c>
      <c r="J32" s="9" t="s">
        <v>1335</v>
      </c>
      <c r="K32" s="9" t="s">
        <v>1336</v>
      </c>
      <c r="L32" s="9" t="s">
        <v>1718</v>
      </c>
      <c r="M32" s="9"/>
    </row>
    <row r="33" spans="1:13" ht="160" x14ac:dyDescent="0.2">
      <c r="A33" s="9">
        <v>32</v>
      </c>
      <c r="B33" s="9" t="s">
        <v>254</v>
      </c>
      <c r="C33" s="9" t="s">
        <v>255</v>
      </c>
      <c r="D33" s="9" t="s">
        <v>185</v>
      </c>
      <c r="E33" s="9" t="s">
        <v>186</v>
      </c>
      <c r="F33" s="9" t="s">
        <v>258</v>
      </c>
      <c r="G33" s="9" t="s">
        <v>259</v>
      </c>
      <c r="H33" s="9" t="s">
        <v>1337</v>
      </c>
      <c r="I33" s="9" t="s">
        <v>1338</v>
      </c>
      <c r="J33" s="9" t="s">
        <v>1339</v>
      </c>
      <c r="K33" s="9" t="s">
        <v>1340</v>
      </c>
      <c r="L33" s="9" t="s">
        <v>1719</v>
      </c>
      <c r="M33" s="9"/>
    </row>
    <row r="34" spans="1:13" ht="176" x14ac:dyDescent="0.2">
      <c r="A34" s="9">
        <v>33</v>
      </c>
      <c r="B34" s="9" t="s">
        <v>254</v>
      </c>
      <c r="C34" s="9" t="s">
        <v>255</v>
      </c>
      <c r="D34" s="9" t="s">
        <v>185</v>
      </c>
      <c r="E34" s="9" t="s">
        <v>192</v>
      </c>
      <c r="F34" s="9" t="s">
        <v>260</v>
      </c>
      <c r="G34" s="9" t="s">
        <v>261</v>
      </c>
      <c r="H34" s="9" t="s">
        <v>1341</v>
      </c>
      <c r="I34" s="9" t="s">
        <v>1342</v>
      </c>
      <c r="J34" s="9" t="s">
        <v>1343</v>
      </c>
      <c r="K34" s="9" t="s">
        <v>1344</v>
      </c>
      <c r="L34" s="9" t="s">
        <v>1720</v>
      </c>
      <c r="M34" s="9"/>
    </row>
    <row r="35" spans="1:13" ht="192" x14ac:dyDescent="0.2">
      <c r="A35" s="9">
        <v>34</v>
      </c>
      <c r="B35" s="9" t="s">
        <v>254</v>
      </c>
      <c r="C35" s="9" t="s">
        <v>255</v>
      </c>
      <c r="D35" s="9" t="s">
        <v>185</v>
      </c>
      <c r="E35" s="9" t="s">
        <v>195</v>
      </c>
      <c r="F35" s="9" t="s">
        <v>262</v>
      </c>
      <c r="G35" s="9" t="s">
        <v>263</v>
      </c>
      <c r="H35" s="9" t="s">
        <v>1345</v>
      </c>
      <c r="I35" s="9" t="s">
        <v>1346</v>
      </c>
      <c r="J35" s="9" t="s">
        <v>1347</v>
      </c>
      <c r="K35" s="9" t="s">
        <v>1348</v>
      </c>
      <c r="L35" s="9" t="s">
        <v>1721</v>
      </c>
      <c r="M35" s="9"/>
    </row>
    <row r="36" spans="1:13" ht="192" x14ac:dyDescent="0.2">
      <c r="A36" s="9">
        <v>35</v>
      </c>
      <c r="B36" s="9" t="s">
        <v>254</v>
      </c>
      <c r="C36" s="9" t="s">
        <v>255</v>
      </c>
      <c r="D36" s="9" t="s">
        <v>185</v>
      </c>
      <c r="E36" s="9" t="s">
        <v>198</v>
      </c>
      <c r="F36" s="9" t="s">
        <v>264</v>
      </c>
      <c r="G36" s="9" t="s">
        <v>265</v>
      </c>
      <c r="H36" s="9" t="s">
        <v>1349</v>
      </c>
      <c r="I36" s="9" t="s">
        <v>1350</v>
      </c>
      <c r="J36" s="9" t="s">
        <v>1351</v>
      </c>
      <c r="K36" s="9" t="s">
        <v>1352</v>
      </c>
      <c r="L36" s="9" t="s">
        <v>1722</v>
      </c>
      <c r="M36" s="9"/>
    </row>
    <row r="37" spans="1:13" ht="176" x14ac:dyDescent="0.2">
      <c r="A37" s="9">
        <v>36</v>
      </c>
      <c r="B37" s="9" t="s">
        <v>254</v>
      </c>
      <c r="C37" s="9" t="s">
        <v>255</v>
      </c>
      <c r="D37" s="9" t="s">
        <v>201</v>
      </c>
      <c r="E37" s="9" t="s">
        <v>186</v>
      </c>
      <c r="F37" s="9" t="s">
        <v>266</v>
      </c>
      <c r="G37" s="9"/>
      <c r="H37" s="9" t="s">
        <v>1353</v>
      </c>
      <c r="I37" s="9" t="s">
        <v>1354</v>
      </c>
      <c r="J37" s="9" t="s">
        <v>1355</v>
      </c>
      <c r="K37" s="9" t="s">
        <v>1356</v>
      </c>
      <c r="L37" s="9" t="s">
        <v>1723</v>
      </c>
      <c r="M37" s="9"/>
    </row>
    <row r="38" spans="1:13" ht="160" x14ac:dyDescent="0.2">
      <c r="A38" s="9">
        <v>37</v>
      </c>
      <c r="B38" s="9" t="s">
        <v>254</v>
      </c>
      <c r="C38" s="9" t="s">
        <v>255</v>
      </c>
      <c r="D38" s="9" t="s">
        <v>201</v>
      </c>
      <c r="E38" s="9" t="s">
        <v>189</v>
      </c>
      <c r="F38" s="9" t="s">
        <v>267</v>
      </c>
      <c r="G38" s="9" t="s">
        <v>268</v>
      </c>
      <c r="H38" s="9" t="s">
        <v>1357</v>
      </c>
      <c r="I38" s="9" t="s">
        <v>1358</v>
      </c>
      <c r="J38" s="9" t="s">
        <v>1359</v>
      </c>
      <c r="K38" s="9" t="s">
        <v>1360</v>
      </c>
      <c r="L38" s="9" t="s">
        <v>1724</v>
      </c>
      <c r="M38" s="9"/>
    </row>
    <row r="39" spans="1:13" ht="176" x14ac:dyDescent="0.2">
      <c r="A39" s="9">
        <v>38</v>
      </c>
      <c r="B39" s="9" t="s">
        <v>254</v>
      </c>
      <c r="C39" s="9" t="s">
        <v>255</v>
      </c>
      <c r="D39" s="9" t="s">
        <v>201</v>
      </c>
      <c r="E39" s="9" t="s">
        <v>189</v>
      </c>
      <c r="F39" s="9" t="s">
        <v>269</v>
      </c>
      <c r="G39" s="9" t="s">
        <v>270</v>
      </c>
      <c r="H39" s="9" t="s">
        <v>1361</v>
      </c>
      <c r="I39" s="9" t="s">
        <v>1362</v>
      </c>
      <c r="J39" s="9" t="s">
        <v>1363</v>
      </c>
      <c r="K39" s="9" t="s">
        <v>1364</v>
      </c>
      <c r="L39" s="9" t="s">
        <v>1725</v>
      </c>
      <c r="M39" s="9"/>
    </row>
    <row r="40" spans="1:13" ht="176" x14ac:dyDescent="0.2">
      <c r="A40" s="9">
        <v>39</v>
      </c>
      <c r="B40" s="9" t="s">
        <v>254</v>
      </c>
      <c r="C40" s="9" t="s">
        <v>255</v>
      </c>
      <c r="D40" s="9" t="s">
        <v>201</v>
      </c>
      <c r="E40" s="9" t="s">
        <v>195</v>
      </c>
      <c r="F40" s="9" t="s">
        <v>271</v>
      </c>
      <c r="G40" s="9" t="s">
        <v>272</v>
      </c>
      <c r="H40" s="9" t="s">
        <v>1365</v>
      </c>
      <c r="I40" s="9" t="s">
        <v>1366</v>
      </c>
      <c r="J40" s="9" t="s">
        <v>1367</v>
      </c>
      <c r="K40" s="9" t="s">
        <v>1368</v>
      </c>
      <c r="L40" s="9" t="s">
        <v>1726</v>
      </c>
      <c r="M40" s="9"/>
    </row>
    <row r="41" spans="1:13" ht="128" x14ac:dyDescent="0.2">
      <c r="A41" s="9">
        <v>40</v>
      </c>
      <c r="B41" s="9" t="s">
        <v>254</v>
      </c>
      <c r="C41" s="9" t="s">
        <v>255</v>
      </c>
      <c r="D41" s="9" t="s">
        <v>201</v>
      </c>
      <c r="E41" s="9" t="s">
        <v>198</v>
      </c>
      <c r="F41" s="9" t="s">
        <v>273</v>
      </c>
      <c r="G41" s="9" t="s">
        <v>274</v>
      </c>
      <c r="H41" s="9" t="s">
        <v>1369</v>
      </c>
      <c r="I41" s="9" t="s">
        <v>1370</v>
      </c>
      <c r="J41" s="9" t="s">
        <v>1371</v>
      </c>
      <c r="K41" s="9" t="s">
        <v>1372</v>
      </c>
      <c r="L41" s="9" t="s">
        <v>1727</v>
      </c>
      <c r="M41" s="9"/>
    </row>
    <row r="42" spans="1:13" ht="176" x14ac:dyDescent="0.2">
      <c r="A42" s="9">
        <v>41</v>
      </c>
      <c r="B42" s="9" t="s">
        <v>254</v>
      </c>
      <c r="C42" s="9" t="s">
        <v>275</v>
      </c>
      <c r="D42" s="9" t="s">
        <v>185</v>
      </c>
      <c r="E42" s="9" t="s">
        <v>186</v>
      </c>
      <c r="F42" s="9" t="s">
        <v>276</v>
      </c>
      <c r="G42" s="9" t="s">
        <v>277</v>
      </c>
      <c r="H42" s="9" t="s">
        <v>1373</v>
      </c>
      <c r="I42" s="9" t="s">
        <v>1374</v>
      </c>
      <c r="J42" s="9" t="s">
        <v>1375</v>
      </c>
      <c r="K42" s="9" t="s">
        <v>1376</v>
      </c>
      <c r="L42" s="9" t="s">
        <v>1728</v>
      </c>
      <c r="M42" s="9"/>
    </row>
    <row r="43" spans="1:13" ht="224" x14ac:dyDescent="0.2">
      <c r="A43" s="9">
        <v>42</v>
      </c>
      <c r="B43" s="9" t="s">
        <v>254</v>
      </c>
      <c r="C43" s="9" t="s">
        <v>275</v>
      </c>
      <c r="D43" s="9" t="s">
        <v>185</v>
      </c>
      <c r="E43" s="9" t="s">
        <v>186</v>
      </c>
      <c r="F43" s="9" t="s">
        <v>278</v>
      </c>
      <c r="G43" s="9" t="s">
        <v>279</v>
      </c>
      <c r="H43" s="9" t="s">
        <v>1377</v>
      </c>
      <c r="I43" s="9" t="s">
        <v>1378</v>
      </c>
      <c r="J43" s="9" t="s">
        <v>1379</v>
      </c>
      <c r="K43" s="9" t="s">
        <v>1380</v>
      </c>
      <c r="L43" s="9" t="s">
        <v>1729</v>
      </c>
      <c r="M43" s="9"/>
    </row>
    <row r="44" spans="1:13" ht="192" x14ac:dyDescent="0.2">
      <c r="A44" s="9">
        <v>43</v>
      </c>
      <c r="B44" s="9" t="s">
        <v>254</v>
      </c>
      <c r="C44" s="9" t="s">
        <v>275</v>
      </c>
      <c r="D44" s="9" t="s">
        <v>185</v>
      </c>
      <c r="E44" s="9" t="s">
        <v>192</v>
      </c>
      <c r="F44" s="9" t="s">
        <v>280</v>
      </c>
      <c r="G44" s="9" t="s">
        <v>281</v>
      </c>
      <c r="H44" s="9" t="s">
        <v>1381</v>
      </c>
      <c r="I44" s="9" t="s">
        <v>1382</v>
      </c>
      <c r="J44" s="9" t="s">
        <v>1383</v>
      </c>
      <c r="K44" s="9" t="s">
        <v>1384</v>
      </c>
      <c r="L44" s="9" t="s">
        <v>1730</v>
      </c>
      <c r="M44" s="9"/>
    </row>
    <row r="45" spans="1:13" ht="208" x14ac:dyDescent="0.2">
      <c r="A45" s="9">
        <v>44</v>
      </c>
      <c r="B45" s="9" t="s">
        <v>254</v>
      </c>
      <c r="C45" s="9" t="s">
        <v>275</v>
      </c>
      <c r="D45" s="9" t="s">
        <v>185</v>
      </c>
      <c r="E45" s="9" t="s">
        <v>192</v>
      </c>
      <c r="F45" s="9" t="s">
        <v>282</v>
      </c>
      <c r="G45" s="9" t="s">
        <v>283</v>
      </c>
      <c r="H45" s="9" t="s">
        <v>1385</v>
      </c>
      <c r="I45" s="9" t="s">
        <v>1386</v>
      </c>
      <c r="J45" s="9" t="s">
        <v>1387</v>
      </c>
      <c r="K45" s="9" t="s">
        <v>1388</v>
      </c>
      <c r="L45" s="9" t="s">
        <v>1731</v>
      </c>
      <c r="M45" s="9"/>
    </row>
    <row r="46" spans="1:13" ht="176" x14ac:dyDescent="0.2">
      <c r="A46" s="9">
        <v>45</v>
      </c>
      <c r="B46" s="9" t="s">
        <v>254</v>
      </c>
      <c r="C46" s="9" t="s">
        <v>275</v>
      </c>
      <c r="D46" s="9" t="s">
        <v>185</v>
      </c>
      <c r="E46" s="9" t="s">
        <v>198</v>
      </c>
      <c r="F46" s="9" t="s">
        <v>284</v>
      </c>
      <c r="G46" s="9" t="s">
        <v>285</v>
      </c>
      <c r="H46" s="9" t="s">
        <v>1389</v>
      </c>
      <c r="I46" s="9" t="s">
        <v>1390</v>
      </c>
      <c r="J46" s="9" t="s">
        <v>1391</v>
      </c>
      <c r="K46" s="9" t="s">
        <v>1392</v>
      </c>
      <c r="L46" s="9" t="s">
        <v>1732</v>
      </c>
      <c r="M46" s="9"/>
    </row>
    <row r="47" spans="1:13" ht="144" x14ac:dyDescent="0.2">
      <c r="A47" s="9">
        <v>46</v>
      </c>
      <c r="B47" s="9" t="s">
        <v>254</v>
      </c>
      <c r="C47" s="9" t="s">
        <v>275</v>
      </c>
      <c r="D47" s="9" t="s">
        <v>201</v>
      </c>
      <c r="E47" s="9" t="s">
        <v>186</v>
      </c>
      <c r="F47" s="9" t="s">
        <v>286</v>
      </c>
      <c r="G47" s="9" t="s">
        <v>287</v>
      </c>
      <c r="H47" s="9" t="s">
        <v>1393</v>
      </c>
      <c r="I47" s="9" t="s">
        <v>1394</v>
      </c>
      <c r="J47" s="9" t="s">
        <v>1395</v>
      </c>
      <c r="K47" s="9" t="s">
        <v>1396</v>
      </c>
      <c r="L47" s="9" t="s">
        <v>1733</v>
      </c>
      <c r="M47" s="9"/>
    </row>
    <row r="48" spans="1:13" ht="192" x14ac:dyDescent="0.2">
      <c r="A48" s="9">
        <v>47</v>
      </c>
      <c r="B48" s="9" t="s">
        <v>254</v>
      </c>
      <c r="C48" s="9" t="s">
        <v>275</v>
      </c>
      <c r="D48" s="9" t="s">
        <v>201</v>
      </c>
      <c r="E48" s="9" t="s">
        <v>186</v>
      </c>
      <c r="F48" s="9" t="s">
        <v>288</v>
      </c>
      <c r="G48" s="9" t="s">
        <v>289</v>
      </c>
      <c r="H48" s="9" t="s">
        <v>1397</v>
      </c>
      <c r="I48" s="9" t="s">
        <v>1398</v>
      </c>
      <c r="J48" s="9" t="s">
        <v>1399</v>
      </c>
      <c r="K48" s="9" t="s">
        <v>1400</v>
      </c>
      <c r="L48" s="9" t="s">
        <v>1734</v>
      </c>
      <c r="M48" s="9"/>
    </row>
    <row r="49" spans="1:13" ht="192" x14ac:dyDescent="0.2">
      <c r="A49" s="9">
        <v>48</v>
      </c>
      <c r="B49" s="9" t="s">
        <v>254</v>
      </c>
      <c r="C49" s="9" t="s">
        <v>275</v>
      </c>
      <c r="D49" s="9" t="s">
        <v>201</v>
      </c>
      <c r="E49" s="9" t="s">
        <v>192</v>
      </c>
      <c r="F49" s="9" t="s">
        <v>290</v>
      </c>
      <c r="G49" s="9" t="s">
        <v>291</v>
      </c>
      <c r="H49" s="9" t="s">
        <v>1401</v>
      </c>
      <c r="I49" s="9" t="s">
        <v>1402</v>
      </c>
      <c r="J49" s="9" t="s">
        <v>1403</v>
      </c>
      <c r="K49" s="9" t="s">
        <v>1404</v>
      </c>
      <c r="L49" s="9" t="s">
        <v>1735</v>
      </c>
      <c r="M49" s="9"/>
    </row>
    <row r="50" spans="1:13" ht="160" x14ac:dyDescent="0.2">
      <c r="A50" s="9">
        <v>49</v>
      </c>
      <c r="B50" s="9" t="s">
        <v>254</v>
      </c>
      <c r="C50" s="9" t="s">
        <v>275</v>
      </c>
      <c r="D50" s="9" t="s">
        <v>201</v>
      </c>
      <c r="E50" s="9" t="s">
        <v>195</v>
      </c>
      <c r="F50" s="9" t="s">
        <v>292</v>
      </c>
      <c r="G50" s="9" t="s">
        <v>293</v>
      </c>
      <c r="H50" s="9" t="s">
        <v>1405</v>
      </c>
      <c r="I50" s="9" t="s">
        <v>1406</v>
      </c>
      <c r="J50" s="9" t="s">
        <v>1407</v>
      </c>
      <c r="K50" s="9" t="s">
        <v>1408</v>
      </c>
      <c r="L50" s="9" t="s">
        <v>1736</v>
      </c>
      <c r="M50" s="9"/>
    </row>
    <row r="51" spans="1:13" ht="160" x14ac:dyDescent="0.2">
      <c r="A51" s="9">
        <v>50</v>
      </c>
      <c r="B51" s="9" t="s">
        <v>254</v>
      </c>
      <c r="C51" s="9" t="s">
        <v>275</v>
      </c>
      <c r="D51" s="9" t="s">
        <v>201</v>
      </c>
      <c r="E51" s="9" t="s">
        <v>198</v>
      </c>
      <c r="F51" s="9" t="s">
        <v>294</v>
      </c>
      <c r="G51" s="9" t="s">
        <v>295</v>
      </c>
      <c r="H51" s="9" t="s">
        <v>1409</v>
      </c>
      <c r="I51" s="9" t="s">
        <v>1410</v>
      </c>
      <c r="J51" s="9" t="s">
        <v>1411</v>
      </c>
      <c r="K51" s="9" t="s">
        <v>1412</v>
      </c>
      <c r="L51" s="9" t="s">
        <v>1737</v>
      </c>
      <c r="M51" s="9"/>
    </row>
    <row r="52" spans="1:13" ht="224" x14ac:dyDescent="0.2">
      <c r="A52" s="9">
        <v>51</v>
      </c>
      <c r="B52" s="9" t="s">
        <v>254</v>
      </c>
      <c r="C52" s="9" t="s">
        <v>296</v>
      </c>
      <c r="D52" s="9" t="s">
        <v>185</v>
      </c>
      <c r="E52" s="9" t="s">
        <v>186</v>
      </c>
      <c r="F52" s="9" t="s">
        <v>297</v>
      </c>
      <c r="G52" s="9" t="s">
        <v>298</v>
      </c>
      <c r="H52" s="9" t="s">
        <v>1413</v>
      </c>
      <c r="I52" s="9" t="s">
        <v>1414</v>
      </c>
      <c r="J52" s="9" t="s">
        <v>1415</v>
      </c>
      <c r="K52" s="9" t="s">
        <v>1416</v>
      </c>
      <c r="L52" s="9" t="s">
        <v>1738</v>
      </c>
      <c r="M52" s="9"/>
    </row>
    <row r="53" spans="1:13" ht="192" x14ac:dyDescent="0.2">
      <c r="A53" s="9">
        <v>52</v>
      </c>
      <c r="B53" s="9" t="s">
        <v>254</v>
      </c>
      <c r="C53" s="9" t="s">
        <v>296</v>
      </c>
      <c r="D53" s="9" t="s">
        <v>185</v>
      </c>
      <c r="E53" s="9" t="s">
        <v>189</v>
      </c>
      <c r="F53" s="9" t="s">
        <v>299</v>
      </c>
      <c r="G53" s="9" t="s">
        <v>300</v>
      </c>
      <c r="H53" s="9" t="s">
        <v>1417</v>
      </c>
      <c r="I53" s="9" t="s">
        <v>1418</v>
      </c>
      <c r="J53" s="9" t="s">
        <v>1419</v>
      </c>
      <c r="K53" s="9" t="s">
        <v>1420</v>
      </c>
      <c r="L53" s="9" t="s">
        <v>1739</v>
      </c>
      <c r="M53" s="9"/>
    </row>
    <row r="54" spans="1:13" ht="192" x14ac:dyDescent="0.2">
      <c r="A54" s="9">
        <v>53</v>
      </c>
      <c r="B54" s="9" t="s">
        <v>254</v>
      </c>
      <c r="C54" s="9" t="s">
        <v>296</v>
      </c>
      <c r="D54" s="9" t="s">
        <v>185</v>
      </c>
      <c r="E54" s="9" t="s">
        <v>192</v>
      </c>
      <c r="F54" s="9" t="s">
        <v>301</v>
      </c>
      <c r="G54" s="9" t="s">
        <v>302</v>
      </c>
      <c r="H54" s="9" t="s">
        <v>1421</v>
      </c>
      <c r="I54" s="9" t="s">
        <v>1422</v>
      </c>
      <c r="J54" s="9" t="s">
        <v>1423</v>
      </c>
      <c r="K54" s="9" t="s">
        <v>1424</v>
      </c>
      <c r="L54" s="9" t="s">
        <v>1740</v>
      </c>
      <c r="M54" s="9"/>
    </row>
    <row r="55" spans="1:13" ht="176" x14ac:dyDescent="0.2">
      <c r="A55" s="9">
        <v>54</v>
      </c>
      <c r="B55" s="9" t="s">
        <v>254</v>
      </c>
      <c r="C55" s="9" t="s">
        <v>296</v>
      </c>
      <c r="D55" s="9" t="s">
        <v>185</v>
      </c>
      <c r="E55" s="9" t="s">
        <v>195</v>
      </c>
      <c r="F55" s="9" t="s">
        <v>303</v>
      </c>
      <c r="G55" s="9" t="s">
        <v>1810</v>
      </c>
      <c r="H55" s="9" t="s">
        <v>1425</v>
      </c>
      <c r="I55" s="9" t="s">
        <v>1426</v>
      </c>
      <c r="J55" s="9" t="s">
        <v>1427</v>
      </c>
      <c r="K55" s="9" t="s">
        <v>1428</v>
      </c>
      <c r="L55" s="9" t="s">
        <v>1741</v>
      </c>
      <c r="M55" s="9"/>
    </row>
    <row r="56" spans="1:13" ht="192" x14ac:dyDescent="0.2">
      <c r="A56" s="9">
        <v>55</v>
      </c>
      <c r="B56" s="9" t="s">
        <v>254</v>
      </c>
      <c r="C56" s="9" t="s">
        <v>296</v>
      </c>
      <c r="D56" s="9" t="s">
        <v>185</v>
      </c>
      <c r="E56" s="9" t="s">
        <v>198</v>
      </c>
      <c r="F56" s="9" t="s">
        <v>304</v>
      </c>
      <c r="G56" s="9" t="s">
        <v>305</v>
      </c>
      <c r="H56" s="9" t="s">
        <v>1429</v>
      </c>
      <c r="I56" s="9" t="s">
        <v>1430</v>
      </c>
      <c r="J56" s="9" t="s">
        <v>1431</v>
      </c>
      <c r="K56" s="9" t="s">
        <v>1432</v>
      </c>
      <c r="L56" s="9" t="s">
        <v>1742</v>
      </c>
      <c r="M56" s="9"/>
    </row>
    <row r="57" spans="1:13" ht="160" x14ac:dyDescent="0.2">
      <c r="A57" s="9">
        <v>56</v>
      </c>
      <c r="B57" s="9" t="s">
        <v>254</v>
      </c>
      <c r="C57" s="9" t="s">
        <v>296</v>
      </c>
      <c r="D57" s="9" t="s">
        <v>201</v>
      </c>
      <c r="E57" s="9" t="s">
        <v>186</v>
      </c>
      <c r="F57" s="9" t="s">
        <v>306</v>
      </c>
      <c r="G57" s="9" t="s">
        <v>307</v>
      </c>
      <c r="H57" s="9" t="s">
        <v>1433</v>
      </c>
      <c r="I57" s="9" t="s">
        <v>1434</v>
      </c>
      <c r="J57" s="9" t="s">
        <v>1435</v>
      </c>
      <c r="K57" s="9" t="s">
        <v>1436</v>
      </c>
      <c r="L57" s="9" t="s">
        <v>1743</v>
      </c>
      <c r="M57" s="9"/>
    </row>
    <row r="58" spans="1:13" ht="176" x14ac:dyDescent="0.2">
      <c r="A58" s="9">
        <v>57</v>
      </c>
      <c r="B58" s="9" t="s">
        <v>254</v>
      </c>
      <c r="C58" s="9" t="s">
        <v>296</v>
      </c>
      <c r="D58" s="9" t="s">
        <v>201</v>
      </c>
      <c r="E58" s="9" t="s">
        <v>189</v>
      </c>
      <c r="F58" s="9" t="s">
        <v>308</v>
      </c>
      <c r="G58" s="9" t="s">
        <v>309</v>
      </c>
      <c r="H58" s="9" t="s">
        <v>1437</v>
      </c>
      <c r="I58" s="9" t="s">
        <v>1438</v>
      </c>
      <c r="J58" s="9" t="s">
        <v>1439</v>
      </c>
      <c r="K58" s="9" t="s">
        <v>1440</v>
      </c>
      <c r="L58" s="9" t="s">
        <v>1744</v>
      </c>
      <c r="M58" s="9"/>
    </row>
    <row r="59" spans="1:13" ht="192" x14ac:dyDescent="0.2">
      <c r="A59" s="9">
        <v>58</v>
      </c>
      <c r="B59" s="9" t="s">
        <v>254</v>
      </c>
      <c r="C59" s="9" t="s">
        <v>296</v>
      </c>
      <c r="D59" s="9" t="s">
        <v>201</v>
      </c>
      <c r="E59" s="9" t="s">
        <v>189</v>
      </c>
      <c r="F59" s="9" t="s">
        <v>310</v>
      </c>
      <c r="G59" s="9" t="s">
        <v>311</v>
      </c>
      <c r="H59" s="9" t="s">
        <v>1441</v>
      </c>
      <c r="I59" s="9" t="s">
        <v>1442</v>
      </c>
      <c r="J59" s="9" t="s">
        <v>1443</v>
      </c>
      <c r="K59" s="9" t="s">
        <v>1444</v>
      </c>
      <c r="L59" s="9" t="s">
        <v>1745</v>
      </c>
      <c r="M59" s="9"/>
    </row>
    <row r="60" spans="1:13" ht="192" x14ac:dyDescent="0.2">
      <c r="A60" s="9">
        <v>59</v>
      </c>
      <c r="B60" s="9" t="s">
        <v>254</v>
      </c>
      <c r="C60" s="9" t="s">
        <v>296</v>
      </c>
      <c r="D60" s="9" t="s">
        <v>201</v>
      </c>
      <c r="E60" s="9" t="s">
        <v>195</v>
      </c>
      <c r="F60" s="9" t="s">
        <v>312</v>
      </c>
      <c r="G60" s="9" t="s">
        <v>313</v>
      </c>
      <c r="H60" s="9" t="s">
        <v>1445</v>
      </c>
      <c r="I60" s="9" t="s">
        <v>1446</v>
      </c>
      <c r="J60" s="9" t="s">
        <v>1447</v>
      </c>
      <c r="K60" s="9" t="s">
        <v>1448</v>
      </c>
      <c r="L60" s="9" t="s">
        <v>1746</v>
      </c>
      <c r="M60" s="9"/>
    </row>
    <row r="61" spans="1:13" ht="144" x14ac:dyDescent="0.2">
      <c r="A61" s="9">
        <v>60</v>
      </c>
      <c r="B61" s="9" t="s">
        <v>254</v>
      </c>
      <c r="C61" s="9" t="s">
        <v>296</v>
      </c>
      <c r="D61" s="9" t="s">
        <v>201</v>
      </c>
      <c r="E61" s="9" t="s">
        <v>198</v>
      </c>
      <c r="F61" s="9" t="s">
        <v>314</v>
      </c>
      <c r="G61" s="9" t="s">
        <v>315</v>
      </c>
      <c r="H61" s="9" t="s">
        <v>1449</v>
      </c>
      <c r="I61" s="9" t="s">
        <v>1450</v>
      </c>
      <c r="J61" s="9" t="s">
        <v>1451</v>
      </c>
      <c r="K61" s="9" t="s">
        <v>1452</v>
      </c>
      <c r="L61" s="9" t="s">
        <v>1747</v>
      </c>
      <c r="M61" s="9"/>
    </row>
    <row r="62" spans="1:13" ht="192" x14ac:dyDescent="0.2">
      <c r="A62" s="10">
        <v>61</v>
      </c>
      <c r="B62" s="10" t="s">
        <v>316</v>
      </c>
      <c r="C62" s="10" t="s">
        <v>296</v>
      </c>
      <c r="D62" s="10" t="s">
        <v>201</v>
      </c>
      <c r="E62" s="10" t="s">
        <v>186</v>
      </c>
      <c r="F62" s="10" t="s">
        <v>317</v>
      </c>
      <c r="G62" s="10" t="s">
        <v>318</v>
      </c>
      <c r="H62" s="10" t="s">
        <v>1453</v>
      </c>
      <c r="I62" s="10" t="s">
        <v>1454</v>
      </c>
      <c r="J62" s="10" t="s">
        <v>1455</v>
      </c>
      <c r="K62" s="10" t="s">
        <v>1456</v>
      </c>
      <c r="L62" s="10" t="s">
        <v>1748</v>
      </c>
      <c r="M62" s="10"/>
    </row>
    <row r="63" spans="1:13" ht="192" x14ac:dyDescent="0.2">
      <c r="A63" s="10">
        <v>62</v>
      </c>
      <c r="B63" s="10" t="s">
        <v>316</v>
      </c>
      <c r="C63" s="10" t="s">
        <v>296</v>
      </c>
      <c r="D63" s="10" t="s">
        <v>201</v>
      </c>
      <c r="E63" s="10" t="s">
        <v>189</v>
      </c>
      <c r="F63" s="10" t="s">
        <v>319</v>
      </c>
      <c r="G63" s="10" t="s">
        <v>320</v>
      </c>
      <c r="H63" s="10" t="s">
        <v>1457</v>
      </c>
      <c r="I63" s="10" t="s">
        <v>1458</v>
      </c>
      <c r="J63" s="10" t="s">
        <v>1459</v>
      </c>
      <c r="K63" s="10" t="s">
        <v>1460</v>
      </c>
      <c r="L63" s="10" t="s">
        <v>1749</v>
      </c>
      <c r="M63" s="10"/>
    </row>
    <row r="64" spans="1:13" ht="160" x14ac:dyDescent="0.2">
      <c r="A64" s="10">
        <v>63</v>
      </c>
      <c r="B64" s="10" t="s">
        <v>316</v>
      </c>
      <c r="C64" s="10" t="s">
        <v>296</v>
      </c>
      <c r="D64" s="10" t="s">
        <v>201</v>
      </c>
      <c r="E64" s="10" t="s">
        <v>192</v>
      </c>
      <c r="F64" s="10" t="s">
        <v>321</v>
      </c>
      <c r="G64" s="10" t="s">
        <v>322</v>
      </c>
      <c r="H64" s="10" t="s">
        <v>1461</v>
      </c>
      <c r="I64" s="10" t="s">
        <v>1462</v>
      </c>
      <c r="J64" s="10" t="s">
        <v>1463</v>
      </c>
      <c r="K64" s="10" t="s">
        <v>1464</v>
      </c>
      <c r="L64" s="10" t="s">
        <v>1750</v>
      </c>
      <c r="M64" s="10"/>
    </row>
    <row r="65" spans="1:13" ht="176" x14ac:dyDescent="0.2">
      <c r="A65" s="10">
        <v>64</v>
      </c>
      <c r="B65" s="10" t="s">
        <v>316</v>
      </c>
      <c r="C65" s="10" t="s">
        <v>296</v>
      </c>
      <c r="D65" s="10" t="s">
        <v>201</v>
      </c>
      <c r="E65" s="10" t="s">
        <v>195</v>
      </c>
      <c r="F65" s="10" t="s">
        <v>323</v>
      </c>
      <c r="G65" s="10" t="s">
        <v>324</v>
      </c>
      <c r="H65" s="10" t="s">
        <v>1261</v>
      </c>
      <c r="I65" s="10" t="s">
        <v>1465</v>
      </c>
      <c r="J65" s="10" t="s">
        <v>1466</v>
      </c>
      <c r="K65" s="10" t="s">
        <v>1467</v>
      </c>
      <c r="L65" s="10" t="s">
        <v>1751</v>
      </c>
      <c r="M65" s="10"/>
    </row>
    <row r="66" spans="1:13" ht="160" x14ac:dyDescent="0.2">
      <c r="A66" s="10">
        <v>65</v>
      </c>
      <c r="B66" s="10" t="s">
        <v>316</v>
      </c>
      <c r="C66" s="10" t="s">
        <v>296</v>
      </c>
      <c r="D66" s="10" t="s">
        <v>201</v>
      </c>
      <c r="E66" s="10" t="s">
        <v>198</v>
      </c>
      <c r="F66" s="10" t="s">
        <v>325</v>
      </c>
      <c r="G66" s="10" t="s">
        <v>326</v>
      </c>
      <c r="H66" s="10" t="s">
        <v>1468</v>
      </c>
      <c r="I66" s="10" t="s">
        <v>1469</v>
      </c>
      <c r="J66" s="10" t="s">
        <v>1470</v>
      </c>
      <c r="K66" s="10" t="s">
        <v>1471</v>
      </c>
      <c r="L66" s="10" t="s">
        <v>1752</v>
      </c>
      <c r="M66" s="10"/>
    </row>
    <row r="67" spans="1:13" ht="128" x14ac:dyDescent="0.2">
      <c r="A67" s="10">
        <v>66</v>
      </c>
      <c r="B67" s="10" t="s">
        <v>316</v>
      </c>
      <c r="C67" s="10" t="s">
        <v>296</v>
      </c>
      <c r="D67" s="10" t="s">
        <v>201</v>
      </c>
      <c r="E67" s="10" t="s">
        <v>186</v>
      </c>
      <c r="F67" s="10" t="s">
        <v>327</v>
      </c>
      <c r="G67" s="10" t="s">
        <v>328</v>
      </c>
      <c r="H67" s="10" t="s">
        <v>1472</v>
      </c>
      <c r="I67" s="10" t="s">
        <v>1473</v>
      </c>
      <c r="J67" s="10" t="s">
        <v>1474</v>
      </c>
      <c r="K67" s="10" t="s">
        <v>1475</v>
      </c>
      <c r="L67" s="10" t="s">
        <v>1753</v>
      </c>
      <c r="M67" s="10"/>
    </row>
    <row r="68" spans="1:13" ht="144" x14ac:dyDescent="0.2">
      <c r="A68" s="10">
        <v>67</v>
      </c>
      <c r="B68" s="10" t="s">
        <v>316</v>
      </c>
      <c r="C68" s="10" t="s">
        <v>296</v>
      </c>
      <c r="D68" s="10" t="s">
        <v>201</v>
      </c>
      <c r="E68" s="10" t="s">
        <v>189</v>
      </c>
      <c r="F68" s="10" t="s">
        <v>329</v>
      </c>
      <c r="G68" s="10" t="s">
        <v>330</v>
      </c>
      <c r="H68" s="10" t="s">
        <v>1476</v>
      </c>
      <c r="I68" s="10" t="s">
        <v>1477</v>
      </c>
      <c r="J68" s="10" t="s">
        <v>1478</v>
      </c>
      <c r="K68" s="10" t="s">
        <v>1479</v>
      </c>
      <c r="L68" s="10" t="s">
        <v>1754</v>
      </c>
      <c r="M68" s="10"/>
    </row>
    <row r="69" spans="1:13" ht="176" x14ac:dyDescent="0.2">
      <c r="A69" s="10">
        <v>68</v>
      </c>
      <c r="B69" s="10" t="s">
        <v>316</v>
      </c>
      <c r="C69" s="10" t="s">
        <v>296</v>
      </c>
      <c r="D69" s="10" t="s">
        <v>201</v>
      </c>
      <c r="E69" s="10" t="s">
        <v>192</v>
      </c>
      <c r="F69" s="10" t="s">
        <v>331</v>
      </c>
      <c r="G69" s="10" t="s">
        <v>332</v>
      </c>
      <c r="H69" s="10" t="s">
        <v>1480</v>
      </c>
      <c r="I69" s="10" t="s">
        <v>1481</v>
      </c>
      <c r="J69" s="10" t="s">
        <v>1482</v>
      </c>
      <c r="K69" s="10" t="s">
        <v>1483</v>
      </c>
      <c r="L69" s="10" t="s">
        <v>1755</v>
      </c>
      <c r="M69" s="10"/>
    </row>
    <row r="70" spans="1:13" ht="160" x14ac:dyDescent="0.2">
      <c r="A70" s="10">
        <v>69</v>
      </c>
      <c r="B70" s="10" t="s">
        <v>316</v>
      </c>
      <c r="C70" s="10" t="s">
        <v>296</v>
      </c>
      <c r="D70" s="10" t="s">
        <v>201</v>
      </c>
      <c r="E70" s="10" t="s">
        <v>195</v>
      </c>
      <c r="F70" s="10" t="s">
        <v>333</v>
      </c>
      <c r="G70" s="10" t="s">
        <v>334</v>
      </c>
      <c r="H70" s="10" t="s">
        <v>1484</v>
      </c>
      <c r="I70" s="10" t="s">
        <v>1485</v>
      </c>
      <c r="J70" s="10" t="s">
        <v>1486</v>
      </c>
      <c r="K70" s="10" t="s">
        <v>1487</v>
      </c>
      <c r="L70" s="10" t="s">
        <v>1756</v>
      </c>
      <c r="M70" s="10"/>
    </row>
    <row r="71" spans="1:13" ht="192" x14ac:dyDescent="0.2">
      <c r="A71" s="10">
        <v>70</v>
      </c>
      <c r="B71" s="10" t="s">
        <v>316</v>
      </c>
      <c r="C71" s="10" t="s">
        <v>296</v>
      </c>
      <c r="D71" s="10" t="s">
        <v>201</v>
      </c>
      <c r="E71" s="10" t="s">
        <v>198</v>
      </c>
      <c r="F71" s="10" t="s">
        <v>335</v>
      </c>
      <c r="G71" s="10" t="s">
        <v>336</v>
      </c>
      <c r="H71" s="10" t="s">
        <v>1488</v>
      </c>
      <c r="I71" s="10" t="s">
        <v>1489</v>
      </c>
      <c r="J71" s="10" t="s">
        <v>1490</v>
      </c>
      <c r="K71" s="10" t="s">
        <v>1491</v>
      </c>
      <c r="L71" s="10" t="s">
        <v>1757</v>
      </c>
      <c r="M71" s="10"/>
    </row>
    <row r="72" spans="1:13" ht="160" x14ac:dyDescent="0.2">
      <c r="A72" s="10">
        <v>71</v>
      </c>
      <c r="B72" s="10" t="s">
        <v>316</v>
      </c>
      <c r="C72" s="10" t="s">
        <v>296</v>
      </c>
      <c r="D72" s="10" t="s">
        <v>201</v>
      </c>
      <c r="E72" s="10" t="s">
        <v>186</v>
      </c>
      <c r="F72" s="10" t="s">
        <v>337</v>
      </c>
      <c r="G72" s="10" t="s">
        <v>338</v>
      </c>
      <c r="H72" s="10" t="s">
        <v>1492</v>
      </c>
      <c r="I72" s="10" t="s">
        <v>1493</v>
      </c>
      <c r="J72" s="10" t="s">
        <v>1494</v>
      </c>
      <c r="K72" s="10" t="s">
        <v>1495</v>
      </c>
      <c r="L72" s="10" t="s">
        <v>1758</v>
      </c>
      <c r="M72" s="10"/>
    </row>
    <row r="73" spans="1:13" ht="160" x14ac:dyDescent="0.2">
      <c r="A73" s="10">
        <v>72</v>
      </c>
      <c r="B73" s="10" t="s">
        <v>316</v>
      </c>
      <c r="C73" s="10" t="s">
        <v>296</v>
      </c>
      <c r="D73" s="10" t="s">
        <v>201</v>
      </c>
      <c r="E73" s="10" t="s">
        <v>189</v>
      </c>
      <c r="F73" s="10" t="s">
        <v>339</v>
      </c>
      <c r="G73" s="10" t="s">
        <v>340</v>
      </c>
      <c r="H73" s="10" t="s">
        <v>1496</v>
      </c>
      <c r="I73" s="10" t="s">
        <v>1497</v>
      </c>
      <c r="J73" s="10" t="s">
        <v>1498</v>
      </c>
      <c r="K73" s="10" t="s">
        <v>1499</v>
      </c>
      <c r="L73" s="10" t="s">
        <v>1759</v>
      </c>
      <c r="M73" s="10"/>
    </row>
    <row r="74" spans="1:13" ht="176" x14ac:dyDescent="0.2">
      <c r="A74" s="10">
        <v>73</v>
      </c>
      <c r="B74" s="10" t="s">
        <v>316</v>
      </c>
      <c r="C74" s="10" t="s">
        <v>296</v>
      </c>
      <c r="D74" s="10" t="s">
        <v>201</v>
      </c>
      <c r="E74" s="10" t="s">
        <v>192</v>
      </c>
      <c r="F74" s="10" t="s">
        <v>341</v>
      </c>
      <c r="G74" s="10" t="s">
        <v>342</v>
      </c>
      <c r="H74" s="10" t="s">
        <v>1500</v>
      </c>
      <c r="I74" s="10" t="s">
        <v>1501</v>
      </c>
      <c r="J74" s="10" t="s">
        <v>1502</v>
      </c>
      <c r="K74" s="10" t="s">
        <v>1503</v>
      </c>
      <c r="L74" s="10" t="s">
        <v>1760</v>
      </c>
      <c r="M74" s="10"/>
    </row>
    <row r="75" spans="1:13" ht="128" x14ac:dyDescent="0.2">
      <c r="A75" s="10">
        <v>74</v>
      </c>
      <c r="B75" s="10" t="s">
        <v>316</v>
      </c>
      <c r="C75" s="10" t="s">
        <v>296</v>
      </c>
      <c r="D75" s="10" t="s">
        <v>201</v>
      </c>
      <c r="E75" s="10" t="s">
        <v>195</v>
      </c>
      <c r="F75" s="10" t="s">
        <v>343</v>
      </c>
      <c r="G75" s="10" t="s">
        <v>344</v>
      </c>
      <c r="H75" s="10" t="s">
        <v>1504</v>
      </c>
      <c r="I75" s="10" t="s">
        <v>1505</v>
      </c>
      <c r="J75" s="10" t="s">
        <v>1506</v>
      </c>
      <c r="K75" s="10" t="s">
        <v>1507</v>
      </c>
      <c r="L75" s="10" t="s">
        <v>1761</v>
      </c>
      <c r="M75" s="10"/>
    </row>
    <row r="76" spans="1:13" ht="144" x14ac:dyDescent="0.2">
      <c r="A76" s="10">
        <v>75</v>
      </c>
      <c r="B76" s="10" t="s">
        <v>316</v>
      </c>
      <c r="C76" s="10" t="s">
        <v>296</v>
      </c>
      <c r="D76" s="10" t="s">
        <v>201</v>
      </c>
      <c r="E76" s="10" t="s">
        <v>198</v>
      </c>
      <c r="F76" s="10" t="s">
        <v>345</v>
      </c>
      <c r="G76" s="10" t="s">
        <v>346</v>
      </c>
      <c r="H76" s="10" t="s">
        <v>1508</v>
      </c>
      <c r="I76" s="10" t="s">
        <v>1509</v>
      </c>
      <c r="J76" s="10" t="s">
        <v>1510</v>
      </c>
      <c r="K76" s="10" t="s">
        <v>1511</v>
      </c>
      <c r="L76" s="10" t="s">
        <v>1762</v>
      </c>
      <c r="M76" s="10"/>
    </row>
    <row r="77" spans="1:13" ht="176" x14ac:dyDescent="0.2">
      <c r="A77" s="10">
        <v>76</v>
      </c>
      <c r="B77" s="10" t="s">
        <v>316</v>
      </c>
      <c r="C77" s="10" t="s">
        <v>296</v>
      </c>
      <c r="D77" s="10" t="s">
        <v>201</v>
      </c>
      <c r="E77" s="10" t="s">
        <v>186</v>
      </c>
      <c r="F77" s="10" t="s">
        <v>347</v>
      </c>
      <c r="G77" s="10" t="s">
        <v>348</v>
      </c>
      <c r="H77" s="10" t="s">
        <v>1512</v>
      </c>
      <c r="I77" s="10" t="s">
        <v>1513</v>
      </c>
      <c r="J77" s="10" t="s">
        <v>1514</v>
      </c>
      <c r="K77" s="10" t="s">
        <v>1515</v>
      </c>
      <c r="L77" s="10" t="s">
        <v>1763</v>
      </c>
      <c r="M77" s="10"/>
    </row>
    <row r="78" spans="1:13" ht="160" x14ac:dyDescent="0.2">
      <c r="A78" s="10">
        <v>77</v>
      </c>
      <c r="B78" s="10" t="s">
        <v>316</v>
      </c>
      <c r="C78" s="10" t="s">
        <v>296</v>
      </c>
      <c r="D78" s="10" t="s">
        <v>201</v>
      </c>
      <c r="E78" s="10" t="s">
        <v>189</v>
      </c>
      <c r="F78" s="10" t="s">
        <v>349</v>
      </c>
      <c r="G78" s="10" t="s">
        <v>350</v>
      </c>
      <c r="H78" s="10" t="s">
        <v>1516</v>
      </c>
      <c r="I78" s="10" t="s">
        <v>1517</v>
      </c>
      <c r="J78" s="10" t="s">
        <v>1518</v>
      </c>
      <c r="K78" s="10" t="s">
        <v>1519</v>
      </c>
      <c r="L78" s="10" t="s">
        <v>1764</v>
      </c>
      <c r="M78" s="10"/>
    </row>
    <row r="79" spans="1:13" ht="144" x14ac:dyDescent="0.2">
      <c r="A79" s="10">
        <v>78</v>
      </c>
      <c r="B79" s="10" t="s">
        <v>316</v>
      </c>
      <c r="C79" s="10" t="s">
        <v>296</v>
      </c>
      <c r="D79" s="10" t="s">
        <v>201</v>
      </c>
      <c r="E79" s="10" t="s">
        <v>192</v>
      </c>
      <c r="F79" s="10" t="s">
        <v>351</v>
      </c>
      <c r="G79" s="10" t="s">
        <v>352</v>
      </c>
      <c r="H79" s="10" t="s">
        <v>1520</v>
      </c>
      <c r="I79" s="10" t="s">
        <v>1521</v>
      </c>
      <c r="J79" s="10" t="s">
        <v>1522</v>
      </c>
      <c r="K79" s="10" t="s">
        <v>1523</v>
      </c>
      <c r="L79" s="10" t="s">
        <v>1765</v>
      </c>
      <c r="M79" s="10"/>
    </row>
    <row r="80" spans="1:13" ht="160" x14ac:dyDescent="0.2">
      <c r="A80" s="10">
        <v>79</v>
      </c>
      <c r="B80" s="10" t="s">
        <v>316</v>
      </c>
      <c r="C80" s="10" t="s">
        <v>296</v>
      </c>
      <c r="D80" s="10" t="s">
        <v>201</v>
      </c>
      <c r="E80" s="10" t="s">
        <v>195</v>
      </c>
      <c r="F80" s="10" t="s">
        <v>353</v>
      </c>
      <c r="G80" s="10" t="s">
        <v>354</v>
      </c>
      <c r="H80" s="10" t="s">
        <v>1524</v>
      </c>
      <c r="I80" s="10" t="s">
        <v>1525</v>
      </c>
      <c r="J80" s="10" t="s">
        <v>1526</v>
      </c>
      <c r="K80" s="10" t="s">
        <v>1527</v>
      </c>
      <c r="L80" s="10" t="s">
        <v>1766</v>
      </c>
      <c r="M80" s="10"/>
    </row>
    <row r="81" spans="1:13" ht="160" x14ac:dyDescent="0.2">
      <c r="A81" s="10">
        <v>80</v>
      </c>
      <c r="B81" s="10" t="s">
        <v>316</v>
      </c>
      <c r="C81" s="10" t="s">
        <v>296</v>
      </c>
      <c r="D81" s="10" t="s">
        <v>201</v>
      </c>
      <c r="E81" s="10" t="s">
        <v>198</v>
      </c>
      <c r="F81" s="10" t="s">
        <v>355</v>
      </c>
      <c r="G81" s="10" t="s">
        <v>356</v>
      </c>
      <c r="H81" s="10" t="s">
        <v>1528</v>
      </c>
      <c r="I81" s="10" t="s">
        <v>1529</v>
      </c>
      <c r="J81" s="10" t="s">
        <v>1530</v>
      </c>
      <c r="K81" s="10" t="s">
        <v>1531</v>
      </c>
      <c r="L81" s="10" t="s">
        <v>1767</v>
      </c>
      <c r="M81" s="10"/>
    </row>
    <row r="82" spans="1:13" ht="144" x14ac:dyDescent="0.2">
      <c r="A82" s="10">
        <v>81</v>
      </c>
      <c r="B82" s="10" t="s">
        <v>316</v>
      </c>
      <c r="C82" s="10" t="s">
        <v>296</v>
      </c>
      <c r="D82" s="10" t="s">
        <v>201</v>
      </c>
      <c r="E82" s="10" t="s">
        <v>186</v>
      </c>
      <c r="F82" s="10" t="s">
        <v>357</v>
      </c>
      <c r="G82" s="10" t="s">
        <v>358</v>
      </c>
      <c r="H82" s="10" t="s">
        <v>1532</v>
      </c>
      <c r="I82" s="10" t="s">
        <v>1533</v>
      </c>
      <c r="J82" s="10" t="s">
        <v>1534</v>
      </c>
      <c r="K82" s="10" t="s">
        <v>1535</v>
      </c>
      <c r="L82" s="10" t="s">
        <v>1768</v>
      </c>
      <c r="M82" s="10"/>
    </row>
    <row r="83" spans="1:13" ht="144" x14ac:dyDescent="0.2">
      <c r="A83" s="10">
        <v>82</v>
      </c>
      <c r="B83" s="10" t="s">
        <v>316</v>
      </c>
      <c r="C83" s="10" t="s">
        <v>296</v>
      </c>
      <c r="D83" s="10" t="s">
        <v>201</v>
      </c>
      <c r="E83" s="10" t="s">
        <v>189</v>
      </c>
      <c r="F83" s="10" t="s">
        <v>359</v>
      </c>
      <c r="G83" s="10" t="s">
        <v>360</v>
      </c>
      <c r="H83" s="10" t="s">
        <v>1536</v>
      </c>
      <c r="I83" s="10" t="s">
        <v>1537</v>
      </c>
      <c r="J83" s="10" t="s">
        <v>1538</v>
      </c>
      <c r="K83" s="10" t="s">
        <v>1539</v>
      </c>
      <c r="L83" s="10" t="s">
        <v>1769</v>
      </c>
      <c r="M83" s="10"/>
    </row>
    <row r="84" spans="1:13" ht="144" x14ac:dyDescent="0.2">
      <c r="A84" s="10">
        <v>83</v>
      </c>
      <c r="B84" s="10" t="s">
        <v>316</v>
      </c>
      <c r="C84" s="10" t="s">
        <v>296</v>
      </c>
      <c r="D84" s="10" t="s">
        <v>201</v>
      </c>
      <c r="E84" s="10" t="s">
        <v>192</v>
      </c>
      <c r="F84" s="10" t="s">
        <v>361</v>
      </c>
      <c r="G84" s="10" t="s">
        <v>362</v>
      </c>
      <c r="H84" s="10" t="s">
        <v>1540</v>
      </c>
      <c r="I84" s="10" t="s">
        <v>1541</v>
      </c>
      <c r="J84" s="10" t="s">
        <v>1542</v>
      </c>
      <c r="K84" s="10" t="s">
        <v>1543</v>
      </c>
      <c r="L84" s="10" t="s">
        <v>1770</v>
      </c>
      <c r="M84" s="10"/>
    </row>
    <row r="85" spans="1:13" ht="144" x14ac:dyDescent="0.2">
      <c r="A85" s="10">
        <v>84</v>
      </c>
      <c r="B85" s="10" t="s">
        <v>316</v>
      </c>
      <c r="C85" s="10" t="s">
        <v>296</v>
      </c>
      <c r="D85" s="10" t="s">
        <v>201</v>
      </c>
      <c r="E85" s="10" t="s">
        <v>195</v>
      </c>
      <c r="F85" s="10" t="s">
        <v>363</v>
      </c>
      <c r="G85" s="10" t="s">
        <v>364</v>
      </c>
      <c r="H85" s="10" t="s">
        <v>1544</v>
      </c>
      <c r="I85" s="10" t="s">
        <v>1545</v>
      </c>
      <c r="J85" s="10" t="s">
        <v>1546</v>
      </c>
      <c r="K85" s="10" t="s">
        <v>1547</v>
      </c>
      <c r="L85" s="10" t="s">
        <v>1771</v>
      </c>
      <c r="M85" s="10"/>
    </row>
    <row r="86" spans="1:13" ht="176" x14ac:dyDescent="0.2">
      <c r="A86" s="10">
        <v>85</v>
      </c>
      <c r="B86" s="10" t="s">
        <v>316</v>
      </c>
      <c r="C86" s="10" t="s">
        <v>296</v>
      </c>
      <c r="D86" s="10" t="s">
        <v>201</v>
      </c>
      <c r="E86" s="10" t="s">
        <v>198</v>
      </c>
      <c r="F86" s="10" t="s">
        <v>365</v>
      </c>
      <c r="G86" s="10" t="s">
        <v>366</v>
      </c>
      <c r="H86" s="10" t="s">
        <v>1548</v>
      </c>
      <c r="I86" s="10" t="s">
        <v>1549</v>
      </c>
      <c r="J86" s="10" t="s">
        <v>1550</v>
      </c>
      <c r="K86" s="10" t="s">
        <v>1551</v>
      </c>
      <c r="L86" s="10" t="s">
        <v>1772</v>
      </c>
      <c r="M86" s="10"/>
    </row>
    <row r="87" spans="1:13" ht="128" x14ac:dyDescent="0.2">
      <c r="A87" s="10">
        <v>86</v>
      </c>
      <c r="B87" s="10" t="s">
        <v>316</v>
      </c>
      <c r="C87" s="10" t="s">
        <v>296</v>
      </c>
      <c r="D87" s="10" t="s">
        <v>201</v>
      </c>
      <c r="E87" s="10" t="s">
        <v>186</v>
      </c>
      <c r="F87" s="10" t="s">
        <v>367</v>
      </c>
      <c r="G87" s="10" t="s">
        <v>368</v>
      </c>
      <c r="H87" s="10" t="s">
        <v>1552</v>
      </c>
      <c r="I87" s="10" t="s">
        <v>1553</v>
      </c>
      <c r="J87" s="10" t="s">
        <v>1554</v>
      </c>
      <c r="K87" s="10" t="s">
        <v>1555</v>
      </c>
      <c r="L87" s="10" t="s">
        <v>1773</v>
      </c>
      <c r="M87" s="10"/>
    </row>
    <row r="88" spans="1:13" ht="160" x14ac:dyDescent="0.2">
      <c r="A88" s="10">
        <v>87</v>
      </c>
      <c r="B88" s="10" t="s">
        <v>316</v>
      </c>
      <c r="C88" s="10" t="s">
        <v>296</v>
      </c>
      <c r="D88" s="10" t="s">
        <v>201</v>
      </c>
      <c r="E88" s="10" t="s">
        <v>189</v>
      </c>
      <c r="F88" s="10" t="s">
        <v>369</v>
      </c>
      <c r="G88" s="10" t="s">
        <v>370</v>
      </c>
      <c r="H88" s="10" t="s">
        <v>1556</v>
      </c>
      <c r="I88" s="10" t="s">
        <v>1557</v>
      </c>
      <c r="J88" s="10" t="s">
        <v>1558</v>
      </c>
      <c r="K88" s="10" t="s">
        <v>1559</v>
      </c>
      <c r="L88" s="10" t="s">
        <v>1774</v>
      </c>
      <c r="M88" s="10"/>
    </row>
    <row r="89" spans="1:13" ht="144" x14ac:dyDescent="0.2">
      <c r="A89" s="10">
        <v>88</v>
      </c>
      <c r="B89" s="10" t="s">
        <v>316</v>
      </c>
      <c r="C89" s="10" t="s">
        <v>296</v>
      </c>
      <c r="D89" s="10" t="s">
        <v>201</v>
      </c>
      <c r="E89" s="10" t="s">
        <v>192</v>
      </c>
      <c r="F89" s="10" t="s">
        <v>371</v>
      </c>
      <c r="G89" s="10" t="s">
        <v>372</v>
      </c>
      <c r="H89" s="10" t="s">
        <v>1560</v>
      </c>
      <c r="I89" s="10" t="s">
        <v>1561</v>
      </c>
      <c r="J89" s="10" t="s">
        <v>1562</v>
      </c>
      <c r="K89" s="10" t="s">
        <v>1563</v>
      </c>
      <c r="L89" s="10" t="s">
        <v>1775</v>
      </c>
      <c r="M89" s="10"/>
    </row>
    <row r="90" spans="1:13" ht="160" x14ac:dyDescent="0.2">
      <c r="A90" s="10">
        <v>89</v>
      </c>
      <c r="B90" s="10" t="s">
        <v>316</v>
      </c>
      <c r="C90" s="10" t="s">
        <v>296</v>
      </c>
      <c r="D90" s="10" t="s">
        <v>201</v>
      </c>
      <c r="E90" s="10" t="s">
        <v>195</v>
      </c>
      <c r="F90" s="10" t="s">
        <v>373</v>
      </c>
      <c r="G90" s="10" t="s">
        <v>374</v>
      </c>
      <c r="H90" s="10" t="s">
        <v>1564</v>
      </c>
      <c r="I90" s="10" t="s">
        <v>1565</v>
      </c>
      <c r="J90" s="10" t="s">
        <v>1566</v>
      </c>
      <c r="K90" s="10" t="s">
        <v>1567</v>
      </c>
      <c r="L90" s="10" t="s">
        <v>1776</v>
      </c>
      <c r="M90" s="10"/>
    </row>
    <row r="91" spans="1:13" ht="144" x14ac:dyDescent="0.2">
      <c r="A91" s="10">
        <v>90</v>
      </c>
      <c r="B91" s="10" t="s">
        <v>316</v>
      </c>
      <c r="C91" s="10" t="s">
        <v>296</v>
      </c>
      <c r="D91" s="10" t="s">
        <v>201</v>
      </c>
      <c r="E91" s="10" t="s">
        <v>198</v>
      </c>
      <c r="F91" s="10" t="s">
        <v>375</v>
      </c>
      <c r="G91" s="10" t="s">
        <v>376</v>
      </c>
      <c r="H91" s="10" t="s">
        <v>1568</v>
      </c>
      <c r="I91" s="10" t="s">
        <v>1569</v>
      </c>
      <c r="J91" s="10" t="s">
        <v>1570</v>
      </c>
      <c r="K91" s="10" t="s">
        <v>1571</v>
      </c>
      <c r="L91" s="10" t="s">
        <v>1777</v>
      </c>
      <c r="M91" s="10"/>
    </row>
    <row r="92" spans="1:13" ht="176" x14ac:dyDescent="0.2">
      <c r="A92" s="11">
        <v>91</v>
      </c>
      <c r="B92" s="11" t="s">
        <v>377</v>
      </c>
      <c r="C92" s="11" t="s">
        <v>296</v>
      </c>
      <c r="D92" s="11" t="s">
        <v>201</v>
      </c>
      <c r="E92" s="11" t="s">
        <v>186</v>
      </c>
      <c r="F92" s="11" t="s">
        <v>378</v>
      </c>
      <c r="G92" s="11" t="s">
        <v>379</v>
      </c>
      <c r="H92" s="11" t="s">
        <v>1572</v>
      </c>
      <c r="I92" s="11" t="s">
        <v>1573</v>
      </c>
      <c r="J92" s="11" t="s">
        <v>1574</v>
      </c>
      <c r="K92" s="11" t="s">
        <v>1575</v>
      </c>
      <c r="L92" s="11" t="s">
        <v>1778</v>
      </c>
      <c r="M92" s="11"/>
    </row>
    <row r="93" spans="1:13" ht="144" x14ac:dyDescent="0.2">
      <c r="A93" s="11">
        <v>92</v>
      </c>
      <c r="B93" s="11" t="s">
        <v>377</v>
      </c>
      <c r="C93" s="11" t="s">
        <v>296</v>
      </c>
      <c r="D93" s="11" t="s">
        <v>201</v>
      </c>
      <c r="E93" s="11" t="s">
        <v>189</v>
      </c>
      <c r="F93" s="11" t="s">
        <v>380</v>
      </c>
      <c r="G93" s="11" t="s">
        <v>381</v>
      </c>
      <c r="H93" s="11" t="s">
        <v>1576</v>
      </c>
      <c r="I93" s="11" t="s">
        <v>1577</v>
      </c>
      <c r="J93" s="11" t="s">
        <v>1578</v>
      </c>
      <c r="K93" s="11" t="s">
        <v>1579</v>
      </c>
      <c r="L93" s="11" t="s">
        <v>1779</v>
      </c>
      <c r="M93" s="11"/>
    </row>
    <row r="94" spans="1:13" ht="160" x14ac:dyDescent="0.2">
      <c r="A94" s="11">
        <v>93</v>
      </c>
      <c r="B94" s="11" t="s">
        <v>377</v>
      </c>
      <c r="C94" s="11" t="s">
        <v>296</v>
      </c>
      <c r="D94" s="11" t="s">
        <v>201</v>
      </c>
      <c r="E94" s="11" t="s">
        <v>192</v>
      </c>
      <c r="F94" s="11" t="s">
        <v>382</v>
      </c>
      <c r="G94" s="11" t="s">
        <v>383</v>
      </c>
      <c r="H94" s="11" t="s">
        <v>1580</v>
      </c>
      <c r="I94" s="11" t="s">
        <v>1581</v>
      </c>
      <c r="J94" s="11" t="s">
        <v>1582</v>
      </c>
      <c r="K94" s="11" t="s">
        <v>1583</v>
      </c>
      <c r="L94" s="11" t="s">
        <v>1780</v>
      </c>
      <c r="M94" s="11"/>
    </row>
    <row r="95" spans="1:13" ht="160" x14ac:dyDescent="0.2">
      <c r="A95" s="11">
        <v>94</v>
      </c>
      <c r="B95" s="11" t="s">
        <v>377</v>
      </c>
      <c r="C95" s="11" t="s">
        <v>296</v>
      </c>
      <c r="D95" s="11" t="s">
        <v>201</v>
      </c>
      <c r="E95" s="11" t="s">
        <v>195</v>
      </c>
      <c r="F95" s="11" t="s">
        <v>384</v>
      </c>
      <c r="G95" s="11" t="s">
        <v>385</v>
      </c>
      <c r="H95" s="11" t="s">
        <v>1584</v>
      </c>
      <c r="I95" s="11" t="s">
        <v>1585</v>
      </c>
      <c r="J95" s="11" t="s">
        <v>1586</v>
      </c>
      <c r="K95" s="11" t="s">
        <v>1587</v>
      </c>
      <c r="L95" s="11" t="s">
        <v>1781</v>
      </c>
      <c r="M95" s="11"/>
    </row>
    <row r="96" spans="1:13" ht="144" x14ac:dyDescent="0.2">
      <c r="A96" s="11">
        <v>95</v>
      </c>
      <c r="B96" s="11" t="s">
        <v>377</v>
      </c>
      <c r="C96" s="11" t="s">
        <v>296</v>
      </c>
      <c r="D96" s="11" t="s">
        <v>201</v>
      </c>
      <c r="E96" s="11" t="s">
        <v>198</v>
      </c>
      <c r="F96" s="11" t="s">
        <v>386</v>
      </c>
      <c r="G96" s="11" t="s">
        <v>387</v>
      </c>
      <c r="H96" s="11" t="s">
        <v>1588</v>
      </c>
      <c r="I96" s="11" t="s">
        <v>1589</v>
      </c>
      <c r="J96" s="11" t="s">
        <v>1590</v>
      </c>
      <c r="K96" s="11" t="s">
        <v>1591</v>
      </c>
      <c r="L96" s="11" t="s">
        <v>1782</v>
      </c>
      <c r="M96" s="11"/>
    </row>
    <row r="97" spans="1:13" ht="160" x14ac:dyDescent="0.2">
      <c r="A97" s="11">
        <v>96</v>
      </c>
      <c r="B97" s="11" t="s">
        <v>377</v>
      </c>
      <c r="C97" s="11" t="s">
        <v>296</v>
      </c>
      <c r="D97" s="11" t="s">
        <v>201</v>
      </c>
      <c r="E97" s="11" t="s">
        <v>186</v>
      </c>
      <c r="F97" s="11" t="s">
        <v>388</v>
      </c>
      <c r="G97" s="11" t="s">
        <v>389</v>
      </c>
      <c r="H97" s="11" t="s">
        <v>1592</v>
      </c>
      <c r="I97" s="11" t="s">
        <v>1593</v>
      </c>
      <c r="J97" s="11" t="s">
        <v>1594</v>
      </c>
      <c r="K97" s="11" t="s">
        <v>1595</v>
      </c>
      <c r="L97" s="11" t="s">
        <v>1783</v>
      </c>
      <c r="M97" s="11"/>
    </row>
    <row r="98" spans="1:13" ht="160" x14ac:dyDescent="0.2">
      <c r="A98" s="11">
        <v>97</v>
      </c>
      <c r="B98" s="11" t="s">
        <v>377</v>
      </c>
      <c r="C98" s="11" t="s">
        <v>296</v>
      </c>
      <c r="D98" s="11" t="s">
        <v>201</v>
      </c>
      <c r="E98" s="11" t="s">
        <v>189</v>
      </c>
      <c r="F98" s="11" t="s">
        <v>390</v>
      </c>
      <c r="G98" s="11" t="s">
        <v>391</v>
      </c>
      <c r="H98" s="11" t="s">
        <v>1596</v>
      </c>
      <c r="I98" s="11" t="s">
        <v>1597</v>
      </c>
      <c r="J98" s="11" t="s">
        <v>1598</v>
      </c>
      <c r="K98" s="11" t="s">
        <v>1599</v>
      </c>
      <c r="L98" s="11" t="s">
        <v>1784</v>
      </c>
      <c r="M98" s="11"/>
    </row>
    <row r="99" spans="1:13" ht="144" x14ac:dyDescent="0.2">
      <c r="A99" s="11">
        <v>98</v>
      </c>
      <c r="B99" s="11" t="s">
        <v>377</v>
      </c>
      <c r="C99" s="11" t="s">
        <v>296</v>
      </c>
      <c r="D99" s="11" t="s">
        <v>201</v>
      </c>
      <c r="E99" s="11" t="s">
        <v>192</v>
      </c>
      <c r="F99" s="11" t="s">
        <v>392</v>
      </c>
      <c r="G99" s="11" t="s">
        <v>393</v>
      </c>
      <c r="H99" s="11" t="s">
        <v>1600</v>
      </c>
      <c r="I99" s="11" t="s">
        <v>1601</v>
      </c>
      <c r="J99" s="11" t="s">
        <v>1602</v>
      </c>
      <c r="K99" s="11" t="s">
        <v>1603</v>
      </c>
      <c r="L99" s="11" t="s">
        <v>1785</v>
      </c>
      <c r="M99" s="11"/>
    </row>
    <row r="100" spans="1:13" ht="160" x14ac:dyDescent="0.2">
      <c r="A100" s="11">
        <v>99</v>
      </c>
      <c r="B100" s="11" t="s">
        <v>377</v>
      </c>
      <c r="C100" s="11" t="s">
        <v>296</v>
      </c>
      <c r="D100" s="11" t="s">
        <v>201</v>
      </c>
      <c r="E100" s="11" t="s">
        <v>195</v>
      </c>
      <c r="F100" s="11" t="s">
        <v>394</v>
      </c>
      <c r="G100" s="11" t="s">
        <v>395</v>
      </c>
      <c r="H100" s="11" t="s">
        <v>1604</v>
      </c>
      <c r="I100" s="11" t="s">
        <v>1605</v>
      </c>
      <c r="J100" s="11" t="s">
        <v>1606</v>
      </c>
      <c r="K100" s="11" t="s">
        <v>1607</v>
      </c>
      <c r="L100" s="11" t="s">
        <v>1786</v>
      </c>
      <c r="M100" s="11"/>
    </row>
    <row r="101" spans="1:13" ht="192" x14ac:dyDescent="0.2">
      <c r="A101" s="11">
        <v>100</v>
      </c>
      <c r="B101" s="11" t="s">
        <v>377</v>
      </c>
      <c r="C101" s="11" t="s">
        <v>296</v>
      </c>
      <c r="D101" s="11" t="s">
        <v>201</v>
      </c>
      <c r="E101" s="11" t="s">
        <v>198</v>
      </c>
      <c r="F101" s="11" t="s">
        <v>396</v>
      </c>
      <c r="G101" s="11" t="s">
        <v>397</v>
      </c>
      <c r="H101" s="11" t="s">
        <v>1608</v>
      </c>
      <c r="I101" s="11" t="s">
        <v>1609</v>
      </c>
      <c r="J101" s="11" t="s">
        <v>1610</v>
      </c>
      <c r="K101" s="11" t="s">
        <v>1611</v>
      </c>
      <c r="L101" s="11" t="s">
        <v>1787</v>
      </c>
      <c r="M101" s="11"/>
    </row>
    <row r="102" spans="1:13" ht="176" x14ac:dyDescent="0.2">
      <c r="A102" s="11">
        <v>101</v>
      </c>
      <c r="B102" s="11" t="s">
        <v>377</v>
      </c>
      <c r="C102" s="11" t="s">
        <v>296</v>
      </c>
      <c r="D102" s="11" t="s">
        <v>201</v>
      </c>
      <c r="E102" s="11" t="s">
        <v>186</v>
      </c>
      <c r="F102" s="11" t="s">
        <v>398</v>
      </c>
      <c r="G102" s="11" t="s">
        <v>399</v>
      </c>
      <c r="H102" s="11" t="s">
        <v>1612</v>
      </c>
      <c r="I102" s="11" t="s">
        <v>1613</v>
      </c>
      <c r="J102" s="11" t="s">
        <v>1614</v>
      </c>
      <c r="K102" s="11" t="s">
        <v>1615</v>
      </c>
      <c r="L102" s="11" t="s">
        <v>1788</v>
      </c>
      <c r="M102" s="11"/>
    </row>
    <row r="103" spans="1:13" ht="160" x14ac:dyDescent="0.2">
      <c r="A103" s="11">
        <v>102</v>
      </c>
      <c r="B103" s="11" t="s">
        <v>377</v>
      </c>
      <c r="C103" s="11" t="s">
        <v>296</v>
      </c>
      <c r="D103" s="11" t="s">
        <v>201</v>
      </c>
      <c r="E103" s="11" t="s">
        <v>189</v>
      </c>
      <c r="F103" s="11" t="s">
        <v>400</v>
      </c>
      <c r="G103" s="11" t="s">
        <v>401</v>
      </c>
      <c r="H103" s="11" t="s">
        <v>1616</v>
      </c>
      <c r="I103" s="11" t="s">
        <v>1617</v>
      </c>
      <c r="J103" s="11" t="s">
        <v>1618</v>
      </c>
      <c r="K103" s="11" t="s">
        <v>1619</v>
      </c>
      <c r="L103" s="11" t="s">
        <v>1789</v>
      </c>
      <c r="M103" s="11"/>
    </row>
    <row r="104" spans="1:13" ht="160" x14ac:dyDescent="0.2">
      <c r="A104" s="11">
        <v>103</v>
      </c>
      <c r="B104" s="11" t="s">
        <v>377</v>
      </c>
      <c r="C104" s="11" t="s">
        <v>296</v>
      </c>
      <c r="D104" s="11" t="s">
        <v>201</v>
      </c>
      <c r="E104" s="11" t="s">
        <v>192</v>
      </c>
      <c r="F104" s="11" t="s">
        <v>402</v>
      </c>
      <c r="G104" s="11" t="s">
        <v>403</v>
      </c>
      <c r="H104" s="11" t="s">
        <v>1620</v>
      </c>
      <c r="I104" s="11" t="s">
        <v>1621</v>
      </c>
      <c r="J104" s="11" t="s">
        <v>1622</v>
      </c>
      <c r="K104" s="11" t="s">
        <v>1623</v>
      </c>
      <c r="L104" s="11" t="s">
        <v>1790</v>
      </c>
      <c r="M104" s="11"/>
    </row>
    <row r="105" spans="1:13" ht="160" x14ac:dyDescent="0.2">
      <c r="A105" s="11">
        <v>104</v>
      </c>
      <c r="B105" s="11" t="s">
        <v>377</v>
      </c>
      <c r="C105" s="11" t="s">
        <v>296</v>
      </c>
      <c r="D105" s="11" t="s">
        <v>201</v>
      </c>
      <c r="E105" s="11" t="s">
        <v>195</v>
      </c>
      <c r="F105" s="11" t="s">
        <v>404</v>
      </c>
      <c r="G105" s="11" t="s">
        <v>405</v>
      </c>
      <c r="H105" s="11" t="s">
        <v>1624</v>
      </c>
      <c r="I105" s="11" t="s">
        <v>1625</v>
      </c>
      <c r="J105" s="11" t="s">
        <v>1626</v>
      </c>
      <c r="K105" s="11" t="s">
        <v>1627</v>
      </c>
      <c r="L105" s="11" t="s">
        <v>1791</v>
      </c>
      <c r="M105" s="11"/>
    </row>
    <row r="106" spans="1:13" ht="176" x14ac:dyDescent="0.2">
      <c r="A106" s="11">
        <v>105</v>
      </c>
      <c r="B106" s="11" t="s">
        <v>377</v>
      </c>
      <c r="C106" s="11" t="s">
        <v>296</v>
      </c>
      <c r="D106" s="11" t="s">
        <v>201</v>
      </c>
      <c r="E106" s="11" t="s">
        <v>198</v>
      </c>
      <c r="F106" s="11" t="s">
        <v>406</v>
      </c>
      <c r="G106" s="11" t="s">
        <v>407</v>
      </c>
      <c r="H106" s="11" t="s">
        <v>1628</v>
      </c>
      <c r="I106" s="11" t="s">
        <v>1629</v>
      </c>
      <c r="J106" s="11" t="s">
        <v>1630</v>
      </c>
      <c r="K106" s="11" t="s">
        <v>1631</v>
      </c>
      <c r="L106" s="11" t="s">
        <v>1792</v>
      </c>
      <c r="M106" s="11"/>
    </row>
    <row r="107" spans="1:13" ht="160" x14ac:dyDescent="0.2">
      <c r="A107" s="11">
        <v>106</v>
      </c>
      <c r="B107" s="11" t="s">
        <v>377</v>
      </c>
      <c r="C107" s="11" t="s">
        <v>296</v>
      </c>
      <c r="D107" s="11" t="s">
        <v>201</v>
      </c>
      <c r="E107" s="11" t="s">
        <v>186</v>
      </c>
      <c r="F107" s="11" t="s">
        <v>408</v>
      </c>
      <c r="G107" s="11" t="s">
        <v>409</v>
      </c>
      <c r="H107" s="11" t="s">
        <v>1632</v>
      </c>
      <c r="I107" s="11" t="s">
        <v>1633</v>
      </c>
      <c r="J107" s="11" t="s">
        <v>1634</v>
      </c>
      <c r="K107" s="11" t="s">
        <v>1635</v>
      </c>
      <c r="L107" s="11" t="s">
        <v>1793</v>
      </c>
      <c r="M107" s="11"/>
    </row>
    <row r="108" spans="1:13" ht="128" x14ac:dyDescent="0.2">
      <c r="A108" s="11">
        <v>107</v>
      </c>
      <c r="B108" s="11" t="s">
        <v>377</v>
      </c>
      <c r="C108" s="11" t="s">
        <v>296</v>
      </c>
      <c r="D108" s="11" t="s">
        <v>201</v>
      </c>
      <c r="E108" s="11" t="s">
        <v>189</v>
      </c>
      <c r="F108" s="11" t="s">
        <v>410</v>
      </c>
      <c r="G108" s="11" t="s">
        <v>411</v>
      </c>
      <c r="H108" s="11" t="s">
        <v>1636</v>
      </c>
      <c r="I108" s="11" t="s">
        <v>1637</v>
      </c>
      <c r="J108" s="11" t="s">
        <v>1638</v>
      </c>
      <c r="K108" s="11" t="s">
        <v>1639</v>
      </c>
      <c r="L108" s="11" t="s">
        <v>1794</v>
      </c>
      <c r="M108" s="11"/>
    </row>
    <row r="109" spans="1:13" ht="176" x14ac:dyDescent="0.2">
      <c r="A109" s="11">
        <v>108</v>
      </c>
      <c r="B109" s="11" t="s">
        <v>377</v>
      </c>
      <c r="C109" s="11" t="s">
        <v>296</v>
      </c>
      <c r="D109" s="11" t="s">
        <v>201</v>
      </c>
      <c r="E109" s="11" t="s">
        <v>192</v>
      </c>
      <c r="F109" s="11" t="s">
        <v>412</v>
      </c>
      <c r="G109" s="11" t="s">
        <v>413</v>
      </c>
      <c r="H109" s="11" t="s">
        <v>1640</v>
      </c>
      <c r="I109" s="11" t="s">
        <v>1641</v>
      </c>
      <c r="J109" s="11" t="s">
        <v>1642</v>
      </c>
      <c r="K109" s="11" t="s">
        <v>1643</v>
      </c>
      <c r="L109" s="11" t="s">
        <v>1795</v>
      </c>
      <c r="M109" s="11"/>
    </row>
    <row r="110" spans="1:13" ht="176" x14ac:dyDescent="0.2">
      <c r="A110" s="11">
        <v>109</v>
      </c>
      <c r="B110" s="11" t="s">
        <v>377</v>
      </c>
      <c r="C110" s="11" t="s">
        <v>296</v>
      </c>
      <c r="D110" s="11" t="s">
        <v>201</v>
      </c>
      <c r="E110" s="11" t="s">
        <v>195</v>
      </c>
      <c r="F110" s="11" t="s">
        <v>414</v>
      </c>
      <c r="G110" s="11" t="s">
        <v>415</v>
      </c>
      <c r="H110" s="11" t="s">
        <v>1644</v>
      </c>
      <c r="I110" s="11" t="s">
        <v>1645</v>
      </c>
      <c r="J110" s="11" t="s">
        <v>1646</v>
      </c>
      <c r="K110" s="11" t="s">
        <v>1647</v>
      </c>
      <c r="L110" s="11" t="s">
        <v>1796</v>
      </c>
      <c r="M110" s="11"/>
    </row>
    <row r="111" spans="1:13" ht="128" x14ac:dyDescent="0.2">
      <c r="A111" s="11">
        <v>110</v>
      </c>
      <c r="B111" s="11" t="s">
        <v>377</v>
      </c>
      <c r="C111" s="11" t="s">
        <v>296</v>
      </c>
      <c r="D111" s="11" t="s">
        <v>201</v>
      </c>
      <c r="E111" s="11" t="s">
        <v>198</v>
      </c>
      <c r="F111" s="11" t="s">
        <v>416</v>
      </c>
      <c r="G111" s="11" t="s">
        <v>417</v>
      </c>
      <c r="H111" s="11" t="s">
        <v>1648</v>
      </c>
      <c r="I111" s="11" t="s">
        <v>1649</v>
      </c>
      <c r="J111" s="11" t="s">
        <v>1650</v>
      </c>
      <c r="K111" s="11" t="s">
        <v>1651</v>
      </c>
      <c r="L111" s="11" t="s">
        <v>1797</v>
      </c>
      <c r="M111" s="11"/>
    </row>
    <row r="112" spans="1:13" ht="192" x14ac:dyDescent="0.2">
      <c r="A112" s="11">
        <v>111</v>
      </c>
      <c r="B112" s="11" t="s">
        <v>377</v>
      </c>
      <c r="C112" s="11" t="s">
        <v>296</v>
      </c>
      <c r="D112" s="11" t="s">
        <v>201</v>
      </c>
      <c r="E112" s="11" t="s">
        <v>186</v>
      </c>
      <c r="F112" s="11" t="s">
        <v>418</v>
      </c>
      <c r="G112" s="11" t="s">
        <v>419</v>
      </c>
      <c r="H112" s="11" t="s">
        <v>1652</v>
      </c>
      <c r="I112" s="11" t="s">
        <v>1653</v>
      </c>
      <c r="J112" s="11" t="s">
        <v>1654</v>
      </c>
      <c r="K112" s="11" t="s">
        <v>1655</v>
      </c>
      <c r="L112" s="11" t="s">
        <v>1798</v>
      </c>
      <c r="M112" s="11"/>
    </row>
    <row r="113" spans="1:13" ht="160" x14ac:dyDescent="0.2">
      <c r="A113" s="11">
        <v>112</v>
      </c>
      <c r="B113" s="11" t="s">
        <v>377</v>
      </c>
      <c r="C113" s="11" t="s">
        <v>296</v>
      </c>
      <c r="D113" s="11" t="s">
        <v>201</v>
      </c>
      <c r="E113" s="11" t="s">
        <v>189</v>
      </c>
      <c r="F113" s="11" t="s">
        <v>420</v>
      </c>
      <c r="G113" s="11" t="s">
        <v>421</v>
      </c>
      <c r="H113" s="11" t="s">
        <v>1656</v>
      </c>
      <c r="I113" s="11" t="s">
        <v>1657</v>
      </c>
      <c r="J113" s="11" t="s">
        <v>1658</v>
      </c>
      <c r="K113" s="11" t="s">
        <v>1659</v>
      </c>
      <c r="L113" s="11" t="s">
        <v>1799</v>
      </c>
      <c r="M113" s="11"/>
    </row>
    <row r="114" spans="1:13" ht="160" x14ac:dyDescent="0.2">
      <c r="A114" s="11">
        <v>113</v>
      </c>
      <c r="B114" s="11" t="s">
        <v>377</v>
      </c>
      <c r="C114" s="11" t="s">
        <v>296</v>
      </c>
      <c r="D114" s="11" t="s">
        <v>201</v>
      </c>
      <c r="E114" s="11" t="s">
        <v>192</v>
      </c>
      <c r="F114" s="11" t="s">
        <v>422</v>
      </c>
      <c r="G114" s="11" t="s">
        <v>423</v>
      </c>
      <c r="H114" s="11" t="s">
        <v>1660</v>
      </c>
      <c r="I114" s="11" t="s">
        <v>1661</v>
      </c>
      <c r="J114" s="11" t="s">
        <v>1662</v>
      </c>
      <c r="K114" s="11" t="s">
        <v>1663</v>
      </c>
      <c r="L114" s="11" t="s">
        <v>1800</v>
      </c>
      <c r="M114" s="11"/>
    </row>
    <row r="115" spans="1:13" ht="160" x14ac:dyDescent="0.2">
      <c r="A115" s="11">
        <v>114</v>
      </c>
      <c r="B115" s="11" t="s">
        <v>377</v>
      </c>
      <c r="C115" s="11" t="s">
        <v>296</v>
      </c>
      <c r="D115" s="11" t="s">
        <v>201</v>
      </c>
      <c r="E115" s="11" t="s">
        <v>195</v>
      </c>
      <c r="F115" s="11" t="s">
        <v>424</v>
      </c>
      <c r="G115" s="11" t="s">
        <v>425</v>
      </c>
      <c r="H115" s="11" t="s">
        <v>1664</v>
      </c>
      <c r="I115" s="11" t="s">
        <v>1665</v>
      </c>
      <c r="J115" s="11" t="s">
        <v>1666</v>
      </c>
      <c r="K115" s="11" t="s">
        <v>1667</v>
      </c>
      <c r="L115" s="11" t="s">
        <v>1801</v>
      </c>
      <c r="M115" s="11"/>
    </row>
    <row r="116" spans="1:13" ht="160" x14ac:dyDescent="0.2">
      <c r="A116" s="11">
        <v>115</v>
      </c>
      <c r="B116" s="11" t="s">
        <v>377</v>
      </c>
      <c r="C116" s="11" t="s">
        <v>296</v>
      </c>
      <c r="D116" s="11" t="s">
        <v>201</v>
      </c>
      <c r="E116" s="11" t="s">
        <v>198</v>
      </c>
      <c r="F116" s="11" t="s">
        <v>426</v>
      </c>
      <c r="G116" s="11" t="s">
        <v>427</v>
      </c>
      <c r="H116" s="11" t="s">
        <v>1668</v>
      </c>
      <c r="I116" s="11" t="s">
        <v>1669</v>
      </c>
      <c r="J116" s="11" t="s">
        <v>1670</v>
      </c>
      <c r="K116" s="11" t="s">
        <v>1671</v>
      </c>
      <c r="L116" s="11" t="s">
        <v>1802</v>
      </c>
      <c r="M116" s="11"/>
    </row>
    <row r="117" spans="1:13" ht="160" x14ac:dyDescent="0.2">
      <c r="A117" s="11">
        <v>116</v>
      </c>
      <c r="B117" s="11" t="s">
        <v>377</v>
      </c>
      <c r="C117" s="11" t="s">
        <v>296</v>
      </c>
      <c r="D117" s="11" t="s">
        <v>201</v>
      </c>
      <c r="E117" s="11" t="s">
        <v>186</v>
      </c>
      <c r="F117" s="11" t="s">
        <v>428</v>
      </c>
      <c r="G117" s="11" t="s">
        <v>429</v>
      </c>
      <c r="H117" s="11" t="s">
        <v>1672</v>
      </c>
      <c r="I117" s="11" t="s">
        <v>1673</v>
      </c>
      <c r="J117" s="11" t="s">
        <v>1674</v>
      </c>
      <c r="K117" s="11" t="s">
        <v>1675</v>
      </c>
      <c r="L117" s="11" t="s">
        <v>1803</v>
      </c>
      <c r="M117" s="11"/>
    </row>
    <row r="118" spans="1:13" ht="128" x14ac:dyDescent="0.2">
      <c r="A118" s="11">
        <v>117</v>
      </c>
      <c r="B118" s="11" t="s">
        <v>377</v>
      </c>
      <c r="C118" s="11" t="s">
        <v>296</v>
      </c>
      <c r="D118" s="11" t="s">
        <v>201</v>
      </c>
      <c r="E118" s="11" t="s">
        <v>189</v>
      </c>
      <c r="F118" s="11" t="s">
        <v>430</v>
      </c>
      <c r="G118" s="11" t="s">
        <v>431</v>
      </c>
      <c r="H118" s="11" t="s">
        <v>1676</v>
      </c>
      <c r="I118" s="11" t="s">
        <v>1677</v>
      </c>
      <c r="J118" s="11" t="s">
        <v>1678</v>
      </c>
      <c r="K118" s="11" t="s">
        <v>1679</v>
      </c>
      <c r="L118" s="11" t="s">
        <v>1804</v>
      </c>
      <c r="M118" s="11"/>
    </row>
    <row r="119" spans="1:13" ht="144" x14ac:dyDescent="0.2">
      <c r="A119" s="11">
        <v>118</v>
      </c>
      <c r="B119" s="11" t="s">
        <v>377</v>
      </c>
      <c r="C119" s="11" t="s">
        <v>296</v>
      </c>
      <c r="D119" s="11" t="s">
        <v>201</v>
      </c>
      <c r="E119" s="11" t="s">
        <v>192</v>
      </c>
      <c r="F119" s="11" t="s">
        <v>432</v>
      </c>
      <c r="G119" s="11" t="s">
        <v>433</v>
      </c>
      <c r="H119" s="11" t="s">
        <v>1680</v>
      </c>
      <c r="I119" s="11" t="s">
        <v>1681</v>
      </c>
      <c r="J119" s="11" t="s">
        <v>1682</v>
      </c>
      <c r="K119" s="11" t="s">
        <v>1683</v>
      </c>
      <c r="L119" s="11" t="s">
        <v>1805</v>
      </c>
      <c r="M119" s="11"/>
    </row>
    <row r="120" spans="1:13" ht="128" x14ac:dyDescent="0.2">
      <c r="A120" s="11">
        <v>119</v>
      </c>
      <c r="B120" s="11" t="s">
        <v>377</v>
      </c>
      <c r="C120" s="11" t="s">
        <v>296</v>
      </c>
      <c r="D120" s="11" t="s">
        <v>201</v>
      </c>
      <c r="E120" s="11" t="s">
        <v>195</v>
      </c>
      <c r="F120" s="11" t="s">
        <v>434</v>
      </c>
      <c r="G120" s="11" t="s">
        <v>435</v>
      </c>
      <c r="H120" s="11" t="s">
        <v>1684</v>
      </c>
      <c r="I120" s="11" t="s">
        <v>1685</v>
      </c>
      <c r="J120" s="11" t="s">
        <v>1686</v>
      </c>
      <c r="K120" s="11" t="s">
        <v>1687</v>
      </c>
      <c r="L120" s="11" t="s">
        <v>1806</v>
      </c>
      <c r="M120" s="11"/>
    </row>
    <row r="121" spans="1:13" ht="144" x14ac:dyDescent="0.2">
      <c r="A121" s="11">
        <v>120</v>
      </c>
      <c r="B121" s="11" t="s">
        <v>377</v>
      </c>
      <c r="C121" s="11" t="s">
        <v>296</v>
      </c>
      <c r="D121" s="11" t="s">
        <v>201</v>
      </c>
      <c r="E121" s="11" t="s">
        <v>198</v>
      </c>
      <c r="F121" s="11" t="s">
        <v>436</v>
      </c>
      <c r="G121" s="11" t="s">
        <v>437</v>
      </c>
      <c r="H121" s="11" t="s">
        <v>1688</v>
      </c>
      <c r="I121" s="11" t="s">
        <v>1689</v>
      </c>
      <c r="J121" s="11" t="s">
        <v>1690</v>
      </c>
      <c r="K121" s="11" t="s">
        <v>1691</v>
      </c>
      <c r="L121" s="11" t="s">
        <v>1807</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1059</v>
      </c>
      <c r="AV1" s="1" t="s">
        <v>12</v>
      </c>
      <c r="BE1" s="1" t="s">
        <v>1063</v>
      </c>
      <c r="BJ1" s="1" t="s">
        <v>13</v>
      </c>
      <c r="BM1" s="1" t="s">
        <v>14</v>
      </c>
      <c r="BP1" s="1" t="s">
        <v>944</v>
      </c>
      <c r="BT1" s="1" t="s">
        <v>945</v>
      </c>
      <c r="BY1" s="1" t="s">
        <v>983</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1060</v>
      </c>
      <c r="AS2" s="3" t="s">
        <v>1061</v>
      </c>
      <c r="AT2" s="3" t="s">
        <v>1062</v>
      </c>
      <c r="AV2" s="3" t="s">
        <v>42</v>
      </c>
      <c r="AW2" s="3" t="s">
        <v>43</v>
      </c>
      <c r="AX2" s="3" t="s">
        <v>1058</v>
      </c>
      <c r="AY2" s="12" t="s">
        <v>44</v>
      </c>
      <c r="AZ2" s="12" t="s">
        <v>1190</v>
      </c>
      <c r="BA2" s="3" t="s">
        <v>29</v>
      </c>
      <c r="BC2" s="3" t="s">
        <v>1040</v>
      </c>
      <c r="BE2" s="3" t="s">
        <v>1063</v>
      </c>
      <c r="BF2" s="3" t="s">
        <v>1106</v>
      </c>
      <c r="BG2" s="3" t="s">
        <v>1058</v>
      </c>
      <c r="BH2" s="3" t="s">
        <v>1107</v>
      </c>
      <c r="BJ2" s="3" t="s">
        <v>45</v>
      </c>
      <c r="BK2" s="3" t="s">
        <v>46</v>
      </c>
      <c r="BM2" s="3" t="s">
        <v>47</v>
      </c>
      <c r="BN2" s="3" t="s">
        <v>48</v>
      </c>
      <c r="BP2" s="3" t="s">
        <v>900</v>
      </c>
      <c r="BQ2" s="3" t="s">
        <v>901</v>
      </c>
      <c r="BR2" s="3" t="s">
        <v>902</v>
      </c>
      <c r="BT2" s="3" t="s">
        <v>900</v>
      </c>
      <c r="BU2" s="3" t="s">
        <v>901</v>
      </c>
      <c r="BV2" s="3" t="s">
        <v>927</v>
      </c>
      <c r="BW2" s="3" t="s">
        <v>928</v>
      </c>
      <c r="BY2" s="3" t="s">
        <v>946</v>
      </c>
      <c r="BZ2" s="3">
        <v>1.5</v>
      </c>
      <c r="CA2" s="3">
        <v>2.5</v>
      </c>
      <c r="CB2" s="3">
        <v>3.5</v>
      </c>
      <c r="CD2" s="3" t="s">
        <v>984</v>
      </c>
      <c r="CE2" s="3" t="s">
        <v>985</v>
      </c>
      <c r="CF2" s="3" t="s">
        <v>986</v>
      </c>
      <c r="CH2" s="3" t="s">
        <v>995</v>
      </c>
      <c r="CI2" s="3" t="s">
        <v>996</v>
      </c>
      <c r="CJ2" s="3" t="s">
        <v>1036</v>
      </c>
      <c r="CK2" s="3" t="s">
        <v>997</v>
      </c>
      <c r="CL2" s="3" t="s">
        <v>998</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862</v>
      </c>
      <c r="W3" s="4" t="s">
        <v>59</v>
      </c>
      <c r="Y3" s="2" t="s">
        <v>60</v>
      </c>
      <c r="Z3" s="2" t="s">
        <v>61</v>
      </c>
      <c r="AA3" s="2" t="s">
        <v>183</v>
      </c>
      <c r="AB3" s="2" t="s">
        <v>63</v>
      </c>
      <c r="AD3" s="2" t="s">
        <v>895</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1041</v>
      </c>
      <c r="AX3" s="2" t="str">
        <f>_xlfn.CONCAT(AV3,"|",AW3)</f>
        <v>Q1|NIST CSF 2.0</v>
      </c>
      <c r="AY3" s="13" t="s">
        <v>438</v>
      </c>
      <c r="AZ3" s="13" t="s">
        <v>1064</v>
      </c>
      <c r="BA3" s="2">
        <v>1</v>
      </c>
      <c r="BB3" s="5"/>
      <c r="BC3" s="2" t="s">
        <v>1041</v>
      </c>
      <c r="BD3" s="5" t="s">
        <v>71</v>
      </c>
      <c r="BE3" s="2" t="s">
        <v>1041</v>
      </c>
      <c r="BF3" s="2" t="s">
        <v>1064</v>
      </c>
      <c r="BG3" s="2" t="str">
        <f>_xlfn.CONCAT(BE3,BF3)</f>
        <v>NIST CSF 2.0ID</v>
      </c>
      <c r="BH3" s="2" t="s">
        <v>1101</v>
      </c>
      <c r="BJ3" s="2" t="s">
        <v>72</v>
      </c>
      <c r="BK3" s="2" t="s">
        <v>73</v>
      </c>
      <c r="BM3" s="2" t="s">
        <v>74</v>
      </c>
      <c r="BN3" s="2" t="s">
        <v>75</v>
      </c>
      <c r="BP3" s="2" t="s">
        <v>862</v>
      </c>
      <c r="BQ3" s="2" t="s">
        <v>903</v>
      </c>
      <c r="BR3" s="2" t="s">
        <v>904</v>
      </c>
      <c r="BS3" s="120" t="s">
        <v>71</v>
      </c>
      <c r="BT3" s="2" t="s">
        <v>862</v>
      </c>
      <c r="BU3" s="2" t="s">
        <v>903</v>
      </c>
      <c r="BV3" s="2" t="s">
        <v>929</v>
      </c>
      <c r="BW3" s="2" t="s">
        <v>930</v>
      </c>
      <c r="BY3" s="2" t="s">
        <v>862</v>
      </c>
      <c r="BZ3" s="2" t="s">
        <v>947</v>
      </c>
      <c r="CA3" s="2" t="s">
        <v>948</v>
      </c>
      <c r="CB3" s="2" t="s">
        <v>949</v>
      </c>
      <c r="CD3" s="2" t="s">
        <v>183</v>
      </c>
      <c r="CE3" s="2" t="s">
        <v>987</v>
      </c>
      <c r="CF3" s="2" t="s">
        <v>988</v>
      </c>
      <c r="CG3" s="120" t="s">
        <v>71</v>
      </c>
      <c r="CH3" s="2" t="s">
        <v>16</v>
      </c>
      <c r="CI3" s="2" t="s">
        <v>17</v>
      </c>
      <c r="CJ3" s="2" t="str">
        <f>_xlfn.CONCAT(CH3,"_",CI3)</f>
        <v>Financial Services_Fortune 500/Global Enterprise</v>
      </c>
      <c r="CK3" s="2" t="s">
        <v>999</v>
      </c>
      <c r="CL3" s="2" t="s">
        <v>1000</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848</v>
      </c>
      <c r="V4" s="4" t="s">
        <v>863</v>
      </c>
      <c r="W4" s="4" t="s">
        <v>59</v>
      </c>
      <c r="Y4" s="2" t="s">
        <v>85</v>
      </c>
      <c r="Z4" s="2" t="s">
        <v>86</v>
      </c>
      <c r="AA4" s="2" t="s">
        <v>254</v>
      </c>
      <c r="AB4" s="2" t="s">
        <v>88</v>
      </c>
      <c r="AD4" s="2" t="s">
        <v>896</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1041</v>
      </c>
      <c r="BF4" s="2" t="s">
        <v>1065</v>
      </c>
      <c r="BG4" s="2" t="str">
        <f t="shared" ref="BG4:BG90" si="4">_xlfn.CONCAT(BE4,BF4)</f>
        <v>NIST CSF 2.0DE</v>
      </c>
      <c r="BH4" s="2" t="s">
        <v>1103</v>
      </c>
      <c r="BJ4" s="2" t="s">
        <v>82</v>
      </c>
      <c r="BK4" s="2" t="s">
        <v>92</v>
      </c>
      <c r="BM4" s="2" t="s">
        <v>93</v>
      </c>
      <c r="BN4" s="2" t="s">
        <v>94</v>
      </c>
      <c r="BP4" s="2" t="s">
        <v>863</v>
      </c>
      <c r="BQ4" s="2" t="s">
        <v>905</v>
      </c>
      <c r="BR4" s="2" t="s">
        <v>906</v>
      </c>
      <c r="BS4" s="120" t="s">
        <v>71</v>
      </c>
      <c r="BT4" s="2" t="s">
        <v>863</v>
      </c>
      <c r="BU4" s="2" t="s">
        <v>905</v>
      </c>
      <c r="BV4" s="2" t="s">
        <v>931</v>
      </c>
      <c r="BW4" s="2" t="s">
        <v>932</v>
      </c>
      <c r="BY4" s="2" t="s">
        <v>863</v>
      </c>
      <c r="BZ4" s="2" t="s">
        <v>950</v>
      </c>
      <c r="CA4" s="2" t="s">
        <v>951</v>
      </c>
      <c r="CB4" s="2" t="s">
        <v>952</v>
      </c>
      <c r="CD4" s="2" t="s">
        <v>254</v>
      </c>
      <c r="CE4" s="2" t="s">
        <v>989</v>
      </c>
      <c r="CF4" s="2" t="s">
        <v>990</v>
      </c>
      <c r="CG4" s="120" t="s">
        <v>71</v>
      </c>
      <c r="CH4" s="2" t="s">
        <v>16</v>
      </c>
      <c r="CI4" s="2" t="s">
        <v>51</v>
      </c>
      <c r="CJ4" s="2" t="str">
        <f t="shared" ref="CJ4:CJ18" si="5">_xlfn.CONCAT(CH4,"_",CI4)</f>
        <v>Financial Services_Large Enterprise (1000+ employees)</v>
      </c>
      <c r="CK4" s="2" t="s">
        <v>1001</v>
      </c>
      <c r="CL4" s="2" t="s">
        <v>1002</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864</v>
      </c>
      <c r="W5" s="4" t="s">
        <v>55</v>
      </c>
      <c r="Y5" s="2" t="s">
        <v>103</v>
      </c>
      <c r="Z5" s="2" t="s">
        <v>104</v>
      </c>
      <c r="AA5" s="2" t="s">
        <v>316</v>
      </c>
      <c r="AB5" s="2" t="s">
        <v>106</v>
      </c>
      <c r="AD5" s="2" t="s">
        <v>897</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1042</v>
      </c>
      <c r="AX5" s="2" t="str">
        <f t="shared" si="3"/>
        <v>Q1|CMMC 2.0</v>
      </c>
      <c r="AY5" s="13" t="s">
        <v>1824</v>
      </c>
      <c r="AZ5" s="13" t="s">
        <v>1070</v>
      </c>
      <c r="BA5" s="2">
        <v>0.8</v>
      </c>
      <c r="BB5" s="5"/>
      <c r="BC5" s="2" t="s">
        <v>1042</v>
      </c>
      <c r="BD5" s="5" t="s">
        <v>71</v>
      </c>
      <c r="BE5" s="2" t="s">
        <v>1041</v>
      </c>
      <c r="BF5" s="2" t="s">
        <v>1066</v>
      </c>
      <c r="BG5" s="2" t="str">
        <f t="shared" si="4"/>
        <v>NIST CSF 2.0RS</v>
      </c>
      <c r="BH5" s="2" t="s">
        <v>1104</v>
      </c>
      <c r="BJ5" s="2" t="s">
        <v>101</v>
      </c>
      <c r="BK5" s="2" t="s">
        <v>113</v>
      </c>
      <c r="BM5" s="2" t="s">
        <v>114</v>
      </c>
      <c r="BN5" s="2" t="s">
        <v>115</v>
      </c>
      <c r="BP5" s="2" t="s">
        <v>864</v>
      </c>
      <c r="BQ5" s="2" t="s">
        <v>907</v>
      </c>
      <c r="BR5" s="2" t="s">
        <v>908</v>
      </c>
      <c r="BS5" s="120" t="s">
        <v>71</v>
      </c>
      <c r="BT5" s="2" t="s">
        <v>864</v>
      </c>
      <c r="BU5" s="2" t="s">
        <v>907</v>
      </c>
      <c r="BV5" s="2" t="s">
        <v>933</v>
      </c>
      <c r="BW5" s="2" t="s">
        <v>930</v>
      </c>
      <c r="BY5" s="2" t="s">
        <v>864</v>
      </c>
      <c r="BZ5" s="2" t="s">
        <v>953</v>
      </c>
      <c r="CA5" s="2" t="s">
        <v>954</v>
      </c>
      <c r="CB5" s="2" t="s">
        <v>955</v>
      </c>
      <c r="CD5" s="2" t="s">
        <v>316</v>
      </c>
      <c r="CE5" s="2" t="s">
        <v>991</v>
      </c>
      <c r="CF5" s="2" t="s">
        <v>992</v>
      </c>
      <c r="CG5" s="120" t="s">
        <v>71</v>
      </c>
      <c r="CH5" s="2" t="s">
        <v>16</v>
      </c>
      <c r="CI5" s="2" t="s">
        <v>78</v>
      </c>
      <c r="CJ5" s="2" t="str">
        <f t="shared" si="5"/>
        <v>Financial Services_Mid-Market (100-999 employees)</v>
      </c>
      <c r="CK5" s="2" t="s">
        <v>1001</v>
      </c>
      <c r="CL5" s="2" t="s">
        <v>1002</v>
      </c>
    </row>
    <row r="6" spans="1:90" x14ac:dyDescent="0.2">
      <c r="A6" s="6"/>
      <c r="C6" s="2" t="s">
        <v>116</v>
      </c>
      <c r="G6" s="6"/>
      <c r="M6" s="4" t="s">
        <v>96</v>
      </c>
      <c r="N6" s="4" t="s">
        <v>55</v>
      </c>
      <c r="O6" s="4" t="s">
        <v>117</v>
      </c>
      <c r="Q6" s="4" t="s">
        <v>118</v>
      </c>
      <c r="R6" s="4" t="s">
        <v>119</v>
      </c>
      <c r="S6" s="4" t="s">
        <v>120</v>
      </c>
      <c r="U6" s="2" t="s">
        <v>849</v>
      </c>
      <c r="V6" s="2" t="s">
        <v>865</v>
      </c>
      <c r="W6" s="2" t="s">
        <v>121</v>
      </c>
      <c r="Y6" s="2" t="s">
        <v>122</v>
      </c>
      <c r="Z6" s="2" t="s">
        <v>123</v>
      </c>
      <c r="AA6" s="2" t="s">
        <v>377</v>
      </c>
      <c r="AB6" s="2" t="s">
        <v>125</v>
      </c>
      <c r="AD6" s="2" t="s">
        <v>898</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1075</v>
      </c>
      <c r="BA6" s="2">
        <v>0.8</v>
      </c>
      <c r="BB6" s="5"/>
      <c r="BC6" s="2" t="s">
        <v>711</v>
      </c>
      <c r="BD6" s="5" t="s">
        <v>71</v>
      </c>
      <c r="BE6" s="2" t="s">
        <v>1041</v>
      </c>
      <c r="BF6" s="2" t="s">
        <v>1067</v>
      </c>
      <c r="BG6" s="2" t="str">
        <f t="shared" si="4"/>
        <v>NIST CSF 2.0GV</v>
      </c>
      <c r="BH6" s="2" t="s">
        <v>1108</v>
      </c>
      <c r="BJ6" s="2" t="s">
        <v>118</v>
      </c>
      <c r="BK6" s="2" t="s">
        <v>129</v>
      </c>
      <c r="BM6" s="2" t="s">
        <v>130</v>
      </c>
      <c r="BN6" s="2" t="s">
        <v>131</v>
      </c>
      <c r="BP6" s="2" t="s">
        <v>865</v>
      </c>
      <c r="BQ6" s="2" t="s">
        <v>909</v>
      </c>
      <c r="BR6" s="2" t="s">
        <v>910</v>
      </c>
      <c r="BS6" s="120" t="s">
        <v>71</v>
      </c>
      <c r="BT6" s="2" t="s">
        <v>865</v>
      </c>
      <c r="BU6" s="2" t="s">
        <v>909</v>
      </c>
      <c r="BV6" s="2" t="s">
        <v>934</v>
      </c>
      <c r="BW6" s="2" t="s">
        <v>930</v>
      </c>
      <c r="BY6" s="2" t="s">
        <v>865</v>
      </c>
      <c r="BZ6" s="2" t="s">
        <v>956</v>
      </c>
      <c r="CA6" s="2" t="s">
        <v>957</v>
      </c>
      <c r="CB6" s="2" t="s">
        <v>958</v>
      </c>
      <c r="CD6" s="2" t="s">
        <v>377</v>
      </c>
      <c r="CE6" s="2" t="s">
        <v>993</v>
      </c>
      <c r="CF6" s="2" t="s">
        <v>994</v>
      </c>
      <c r="CG6" s="120" t="s">
        <v>71</v>
      </c>
      <c r="CH6" s="2" t="s">
        <v>16</v>
      </c>
      <c r="CI6" s="2" t="s">
        <v>97</v>
      </c>
      <c r="CJ6" s="2" t="str">
        <f t="shared" si="5"/>
        <v>Financial Services_Small Business (&lt;100 employees)</v>
      </c>
      <c r="CK6" s="2" t="s">
        <v>1003</v>
      </c>
      <c r="CL6" s="2" t="s">
        <v>1004</v>
      </c>
    </row>
    <row r="7" spans="1:90" x14ac:dyDescent="0.2">
      <c r="C7" s="2" t="s">
        <v>132</v>
      </c>
      <c r="M7" s="4" t="s">
        <v>116</v>
      </c>
      <c r="N7" s="4" t="s">
        <v>55</v>
      </c>
      <c r="O7" s="4" t="s">
        <v>117</v>
      </c>
      <c r="Q7" s="4" t="s">
        <v>133</v>
      </c>
      <c r="R7" s="4" t="s">
        <v>133</v>
      </c>
      <c r="S7" s="4" t="s">
        <v>134</v>
      </c>
      <c r="U7" s="2" t="s">
        <v>850</v>
      </c>
      <c r="V7" s="2" t="s">
        <v>866</v>
      </c>
      <c r="W7" s="2" t="s">
        <v>59</v>
      </c>
      <c r="AD7" s="2" t="s">
        <v>887</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1072</v>
      </c>
      <c r="BA7" s="2">
        <v>1</v>
      </c>
      <c r="BB7" s="5"/>
      <c r="BC7" s="2" t="s">
        <v>712</v>
      </c>
      <c r="BD7" s="5" t="s">
        <v>71</v>
      </c>
      <c r="BE7" s="2" t="s">
        <v>1041</v>
      </c>
      <c r="BF7" s="2" t="s">
        <v>1068</v>
      </c>
      <c r="BG7" s="2" t="str">
        <f t="shared" si="4"/>
        <v>NIST CSF 2.0PR</v>
      </c>
      <c r="BH7" s="2" t="s">
        <v>1102</v>
      </c>
      <c r="BJ7" s="2" t="s">
        <v>133</v>
      </c>
      <c r="BK7" s="2" t="s">
        <v>136</v>
      </c>
      <c r="BP7" s="2" t="s">
        <v>866</v>
      </c>
      <c r="BQ7" s="2" t="s">
        <v>911</v>
      </c>
      <c r="BR7" s="2" t="s">
        <v>912</v>
      </c>
      <c r="BS7" s="120" t="s">
        <v>71</v>
      </c>
      <c r="BT7" s="2" t="s">
        <v>866</v>
      </c>
      <c r="BU7" s="2" t="s">
        <v>911</v>
      </c>
      <c r="BV7" s="2" t="s">
        <v>935</v>
      </c>
      <c r="BW7" s="2" t="s">
        <v>936</v>
      </c>
      <c r="BY7" s="2" t="s">
        <v>866</v>
      </c>
      <c r="BZ7" s="2" t="s">
        <v>959</v>
      </c>
      <c r="CA7" s="2" t="s">
        <v>960</v>
      </c>
      <c r="CB7" s="2" t="s">
        <v>961</v>
      </c>
      <c r="CH7" s="2" t="s">
        <v>50</v>
      </c>
      <c r="CI7" s="2" t="s">
        <v>17</v>
      </c>
      <c r="CJ7" s="2" t="str">
        <f t="shared" si="5"/>
        <v>Healthcare_Fortune 500/Global Enterprise</v>
      </c>
      <c r="CK7" s="2" t="s">
        <v>999</v>
      </c>
      <c r="CL7" s="2" t="s">
        <v>1005</v>
      </c>
    </row>
    <row r="8" spans="1:90" x14ac:dyDescent="0.2">
      <c r="C8" s="2" t="s">
        <v>137</v>
      </c>
      <c r="M8" s="4" t="s">
        <v>132</v>
      </c>
      <c r="N8" s="4" t="s">
        <v>55</v>
      </c>
      <c r="O8" s="4" t="s">
        <v>72</v>
      </c>
      <c r="U8" s="2" t="s">
        <v>851</v>
      </c>
      <c r="V8" s="2" t="s">
        <v>867</v>
      </c>
      <c r="W8" s="2" t="s">
        <v>138</v>
      </c>
      <c r="AD8" s="2" t="s">
        <v>888</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1043</v>
      </c>
      <c r="AX8" s="2" t="str">
        <f t="shared" si="3"/>
        <v>Q1|ISO 27001</v>
      </c>
      <c r="AY8" s="13" t="s">
        <v>443</v>
      </c>
      <c r="AZ8" s="13" t="s">
        <v>1140</v>
      </c>
      <c r="BA8" s="2">
        <v>1</v>
      </c>
      <c r="BB8" s="5"/>
      <c r="BC8" s="2" t="s">
        <v>1043</v>
      </c>
      <c r="BD8" s="5" t="s">
        <v>71</v>
      </c>
      <c r="BE8" s="2" t="s">
        <v>1041</v>
      </c>
      <c r="BF8" s="2" t="s">
        <v>1069</v>
      </c>
      <c r="BG8" s="2" t="str">
        <f t="shared" si="4"/>
        <v>NIST CSF 2.0RC</v>
      </c>
      <c r="BH8" s="2" t="s">
        <v>1105</v>
      </c>
      <c r="BK8" s="6"/>
      <c r="BP8" s="2" t="s">
        <v>867</v>
      </c>
      <c r="BQ8" s="2" t="s">
        <v>913</v>
      </c>
      <c r="BR8" s="2" t="s">
        <v>914</v>
      </c>
      <c r="BS8" s="120" t="s">
        <v>71</v>
      </c>
      <c r="BT8" s="2" t="s">
        <v>867</v>
      </c>
      <c r="BU8" s="2" t="s">
        <v>913</v>
      </c>
      <c r="BV8" s="2" t="s">
        <v>937</v>
      </c>
      <c r="BW8" s="2" t="s">
        <v>932</v>
      </c>
      <c r="BY8" s="2" t="s">
        <v>867</v>
      </c>
      <c r="BZ8" s="2" t="s">
        <v>962</v>
      </c>
      <c r="CA8" s="2" t="s">
        <v>963</v>
      </c>
      <c r="CB8" s="2" t="s">
        <v>964</v>
      </c>
      <c r="CH8" s="2" t="s">
        <v>50</v>
      </c>
      <c r="CI8" s="2" t="s">
        <v>51</v>
      </c>
      <c r="CJ8" s="2" t="str">
        <f t="shared" si="5"/>
        <v>Healthcare_Large Enterprise (1000+ employees)</v>
      </c>
      <c r="CK8" s="2" t="s">
        <v>999</v>
      </c>
      <c r="CL8" s="2" t="s">
        <v>1005</v>
      </c>
    </row>
    <row r="9" spans="1:90" x14ac:dyDescent="0.2">
      <c r="C9" s="2" t="s">
        <v>142</v>
      </c>
      <c r="M9" s="4" t="s">
        <v>137</v>
      </c>
      <c r="N9" s="4" t="s">
        <v>55</v>
      </c>
      <c r="O9" s="4" t="s">
        <v>72</v>
      </c>
      <c r="U9" s="4" t="s">
        <v>852</v>
      </c>
      <c r="V9" s="4" t="s">
        <v>868</v>
      </c>
      <c r="W9" s="4" t="s">
        <v>121</v>
      </c>
      <c r="AD9" s="2" t="s">
        <v>889</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1191</v>
      </c>
      <c r="BA9" s="2">
        <v>0.8</v>
      </c>
      <c r="BB9" s="5"/>
      <c r="BC9" s="2" t="s">
        <v>713</v>
      </c>
      <c r="BD9" s="5" t="s">
        <v>71</v>
      </c>
      <c r="BE9" s="2" t="s">
        <v>710</v>
      </c>
      <c r="BF9" s="2" t="s">
        <v>1092</v>
      </c>
      <c r="BG9" s="2" t="str">
        <f t="shared" si="4"/>
        <v>NIST PQC1</v>
      </c>
      <c r="BH9" s="2" t="s">
        <v>1101</v>
      </c>
      <c r="BP9" s="2" t="s">
        <v>868</v>
      </c>
      <c r="BQ9" s="2" t="s">
        <v>915</v>
      </c>
      <c r="BR9" s="2" t="s">
        <v>916</v>
      </c>
      <c r="BS9" s="120" t="s">
        <v>71</v>
      </c>
      <c r="BT9" s="2" t="s">
        <v>868</v>
      </c>
      <c r="BU9" s="2" t="s">
        <v>915</v>
      </c>
      <c r="BV9" s="2" t="s">
        <v>938</v>
      </c>
      <c r="BW9" s="2" t="s">
        <v>930</v>
      </c>
      <c r="BY9" s="2" t="s">
        <v>868</v>
      </c>
      <c r="BZ9" s="2" t="s">
        <v>965</v>
      </c>
      <c r="CA9" s="2" t="s">
        <v>966</v>
      </c>
      <c r="CB9" s="2" t="s">
        <v>967</v>
      </c>
      <c r="CH9" s="2" t="s">
        <v>50</v>
      </c>
      <c r="CI9" s="2" t="s">
        <v>78</v>
      </c>
      <c r="CJ9" s="2" t="str">
        <f t="shared" si="5"/>
        <v>Healthcare_Mid-Market (100-999 employees)</v>
      </c>
      <c r="CK9" s="2" t="s">
        <v>999</v>
      </c>
      <c r="CL9" s="2" t="s">
        <v>1005</v>
      </c>
    </row>
    <row r="10" spans="1:90" x14ac:dyDescent="0.2">
      <c r="C10" s="2" t="s">
        <v>145</v>
      </c>
      <c r="M10" s="4" t="s">
        <v>142</v>
      </c>
      <c r="N10" s="4" t="s">
        <v>55</v>
      </c>
      <c r="O10" s="4" t="s">
        <v>72</v>
      </c>
      <c r="U10" s="4" t="s">
        <v>853</v>
      </c>
      <c r="V10" s="4" t="s">
        <v>869</v>
      </c>
      <c r="W10" s="4" t="s">
        <v>59</v>
      </c>
      <c r="AD10" s="2" t="s">
        <v>890</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1044</v>
      </c>
      <c r="AX10" s="2" t="str">
        <f t="shared" si="3"/>
        <v>Q1|CIS v8</v>
      </c>
      <c r="AY10" s="13" t="s">
        <v>1830</v>
      </c>
      <c r="AZ10" s="13" t="s">
        <v>1092</v>
      </c>
      <c r="BA10" s="2">
        <v>1</v>
      </c>
      <c r="BB10" s="5"/>
      <c r="BC10" s="2" t="s">
        <v>1044</v>
      </c>
      <c r="BD10" s="5" t="s">
        <v>71</v>
      </c>
      <c r="BE10" s="2" t="s">
        <v>710</v>
      </c>
      <c r="BF10" s="2" t="s">
        <v>1093</v>
      </c>
      <c r="BG10" s="2" t="str">
        <f t="shared" si="4"/>
        <v>NIST PQC2</v>
      </c>
      <c r="BH10" s="2" t="s">
        <v>1103</v>
      </c>
      <c r="BP10" s="2" t="s">
        <v>869</v>
      </c>
      <c r="BQ10" s="2" t="s">
        <v>917</v>
      </c>
      <c r="BR10" s="2" t="s">
        <v>918</v>
      </c>
      <c r="BS10" s="120" t="s">
        <v>71</v>
      </c>
      <c r="BT10" s="2" t="s">
        <v>869</v>
      </c>
      <c r="BU10" s="2" t="s">
        <v>917</v>
      </c>
      <c r="BV10" s="2" t="s">
        <v>939</v>
      </c>
      <c r="BW10" s="2" t="s">
        <v>932</v>
      </c>
      <c r="BY10" s="2" t="s">
        <v>869</v>
      </c>
      <c r="BZ10" s="2" t="s">
        <v>968</v>
      </c>
      <c r="CA10" s="2" t="s">
        <v>969</v>
      </c>
      <c r="CB10" s="2" t="s">
        <v>970</v>
      </c>
      <c r="CH10" s="2" t="s">
        <v>50</v>
      </c>
      <c r="CI10" s="2" t="s">
        <v>97</v>
      </c>
      <c r="CJ10" s="2" t="str">
        <f t="shared" si="5"/>
        <v>Healthcare_Small Business (&lt;100 employees)</v>
      </c>
      <c r="CK10" s="2" t="s">
        <v>999</v>
      </c>
      <c r="CL10" s="2" t="s">
        <v>1005</v>
      </c>
    </row>
    <row r="11" spans="1:90" x14ac:dyDescent="0.2">
      <c r="C11" s="2" t="s">
        <v>147</v>
      </c>
      <c r="M11" s="4" t="s">
        <v>145</v>
      </c>
      <c r="N11" s="4" t="s">
        <v>55</v>
      </c>
      <c r="O11" s="4" t="s">
        <v>72</v>
      </c>
      <c r="U11" s="4" t="s">
        <v>854</v>
      </c>
      <c r="V11" s="4" t="s">
        <v>870</v>
      </c>
      <c r="W11" s="4" t="s">
        <v>138</v>
      </c>
      <c r="AD11" s="2" t="s">
        <v>891</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1041</v>
      </c>
      <c r="AX11" s="2" t="str">
        <f t="shared" si="3"/>
        <v>Q2|NIST CSF 2.0</v>
      </c>
      <c r="AY11" s="13" t="s">
        <v>445</v>
      </c>
      <c r="AZ11" s="13" t="s">
        <v>1064</v>
      </c>
      <c r="BA11" s="2">
        <v>1</v>
      </c>
      <c r="BE11" s="2" t="s">
        <v>710</v>
      </c>
      <c r="BF11" s="2" t="s">
        <v>1094</v>
      </c>
      <c r="BG11" s="2" t="str">
        <f t="shared" si="4"/>
        <v>NIST PQC3</v>
      </c>
      <c r="BH11" s="2" t="s">
        <v>1104</v>
      </c>
      <c r="BP11" s="2" t="s">
        <v>870</v>
      </c>
      <c r="BQ11" s="2" t="s">
        <v>919</v>
      </c>
      <c r="BR11" s="2" t="s">
        <v>920</v>
      </c>
      <c r="BS11" s="120" t="s">
        <v>71</v>
      </c>
      <c r="BT11" s="2" t="s">
        <v>870</v>
      </c>
      <c r="BU11" s="2" t="s">
        <v>919</v>
      </c>
      <c r="BV11" s="2" t="s">
        <v>940</v>
      </c>
      <c r="BW11" s="2" t="s">
        <v>930</v>
      </c>
      <c r="BY11" s="2" t="s">
        <v>870</v>
      </c>
      <c r="BZ11" s="2" t="s">
        <v>971</v>
      </c>
      <c r="CA11" s="2" t="s">
        <v>972</v>
      </c>
      <c r="CB11" s="2" t="s">
        <v>973</v>
      </c>
      <c r="CH11" s="2" t="s">
        <v>142</v>
      </c>
      <c r="CI11" s="2" t="s">
        <v>17</v>
      </c>
      <c r="CJ11" s="2" t="str">
        <f t="shared" si="5"/>
        <v>Government_Fortune 500/Global Enterprise</v>
      </c>
      <c r="CK11" s="2" t="s">
        <v>1006</v>
      </c>
      <c r="CL11" s="2" t="s">
        <v>1007</v>
      </c>
    </row>
    <row r="12" spans="1:90" x14ac:dyDescent="0.2">
      <c r="C12" s="2" t="s">
        <v>148</v>
      </c>
      <c r="M12" s="4" t="s">
        <v>147</v>
      </c>
      <c r="N12" s="4" t="s">
        <v>55</v>
      </c>
      <c r="O12" s="4" t="s">
        <v>72</v>
      </c>
      <c r="U12" s="2" t="s">
        <v>855</v>
      </c>
      <c r="V12" s="2" t="s">
        <v>871</v>
      </c>
      <c r="W12" s="2" t="s">
        <v>59</v>
      </c>
      <c r="AD12" s="2" t="s">
        <v>892</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1095</v>
      </c>
      <c r="BG12" s="2" t="str">
        <f t="shared" si="4"/>
        <v>NIST PQC4</v>
      </c>
      <c r="BH12" s="2" t="s">
        <v>1108</v>
      </c>
      <c r="BP12" s="2" t="s">
        <v>871</v>
      </c>
      <c r="BQ12" s="2" t="s">
        <v>921</v>
      </c>
      <c r="BR12" s="2" t="s">
        <v>922</v>
      </c>
      <c r="BS12" s="120" t="s">
        <v>71</v>
      </c>
      <c r="BT12" s="2" t="s">
        <v>871</v>
      </c>
      <c r="BU12" s="2" t="s">
        <v>921</v>
      </c>
      <c r="BV12" s="2" t="s">
        <v>941</v>
      </c>
      <c r="BW12" s="2" t="s">
        <v>936</v>
      </c>
      <c r="BY12" s="2" t="s">
        <v>871</v>
      </c>
      <c r="BZ12" s="2" t="s">
        <v>974</v>
      </c>
      <c r="CA12" s="2" t="s">
        <v>975</v>
      </c>
      <c r="CB12" s="2" t="s">
        <v>976</v>
      </c>
      <c r="CH12" s="2" t="s">
        <v>142</v>
      </c>
      <c r="CI12" s="2" t="s">
        <v>51</v>
      </c>
      <c r="CJ12" s="2" t="str">
        <f t="shared" si="5"/>
        <v>Government_Large Enterprise (1000+ employees)</v>
      </c>
      <c r="CK12" s="2" t="s">
        <v>1006</v>
      </c>
      <c r="CL12" s="2" t="s">
        <v>1007</v>
      </c>
    </row>
    <row r="13" spans="1:90" x14ac:dyDescent="0.2">
      <c r="C13" s="2" t="s">
        <v>150</v>
      </c>
      <c r="M13" s="4" t="s">
        <v>148</v>
      </c>
      <c r="N13" s="4" t="s">
        <v>55</v>
      </c>
      <c r="O13" s="4" t="s">
        <v>72</v>
      </c>
      <c r="U13" s="2" t="s">
        <v>856</v>
      </c>
      <c r="V13" s="2" t="s">
        <v>872</v>
      </c>
      <c r="W13" s="2" t="s">
        <v>59</v>
      </c>
      <c r="AD13" s="2" t="s">
        <v>893</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1042</v>
      </c>
      <c r="AX13" s="2" t="str">
        <f t="shared" si="3"/>
        <v>Q2|CMMC 2.0</v>
      </c>
      <c r="AY13" s="13" t="s">
        <v>446</v>
      </c>
      <c r="AZ13" s="13" t="s">
        <v>1070</v>
      </c>
      <c r="BA13" s="2">
        <v>0.8</v>
      </c>
      <c r="BE13" s="2" t="s">
        <v>710</v>
      </c>
      <c r="BF13" s="2" t="s">
        <v>1096</v>
      </c>
      <c r="BG13" s="2" t="str">
        <f t="shared" si="4"/>
        <v>NIST PQC5</v>
      </c>
      <c r="BH13" s="2" t="s">
        <v>1102</v>
      </c>
      <c r="BP13" s="2" t="s">
        <v>872</v>
      </c>
      <c r="BQ13" s="2" t="s">
        <v>923</v>
      </c>
      <c r="BR13" s="2" t="s">
        <v>924</v>
      </c>
      <c r="BS13" s="120" t="s">
        <v>71</v>
      </c>
      <c r="BT13" s="2" t="s">
        <v>872</v>
      </c>
      <c r="BU13" s="2" t="s">
        <v>923</v>
      </c>
      <c r="BV13" s="2" t="s">
        <v>942</v>
      </c>
      <c r="BW13" s="2" t="s">
        <v>930</v>
      </c>
      <c r="BY13" s="2" t="s">
        <v>872</v>
      </c>
      <c r="BZ13" s="2" t="s">
        <v>977</v>
      </c>
      <c r="CA13" s="2" t="s">
        <v>978</v>
      </c>
      <c r="CB13" s="2" t="s">
        <v>979</v>
      </c>
      <c r="CH13" s="2" t="s">
        <v>142</v>
      </c>
      <c r="CI13" s="2" t="s">
        <v>78</v>
      </c>
      <c r="CJ13" s="2" t="str">
        <f t="shared" si="5"/>
        <v>Government_Mid-Market (100-999 employees)</v>
      </c>
      <c r="CK13" s="2" t="s">
        <v>1006</v>
      </c>
      <c r="CL13" s="2" t="s">
        <v>1007</v>
      </c>
    </row>
    <row r="14" spans="1:90" x14ac:dyDescent="0.2">
      <c r="C14" s="6"/>
      <c r="M14" s="4" t="s">
        <v>150</v>
      </c>
      <c r="N14" s="4" t="s">
        <v>55</v>
      </c>
      <c r="O14" s="4" t="s">
        <v>72</v>
      </c>
      <c r="U14" s="2" t="s">
        <v>857</v>
      </c>
      <c r="V14" s="2" t="s">
        <v>873</v>
      </c>
      <c r="W14" s="2" t="s">
        <v>55</v>
      </c>
      <c r="AD14" s="2" t="s">
        <v>894</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1073</v>
      </c>
      <c r="BA14" s="2">
        <v>1</v>
      </c>
      <c r="BE14" s="2" t="s">
        <v>710</v>
      </c>
      <c r="BF14" s="2" t="s">
        <v>1097</v>
      </c>
      <c r="BG14" s="2" t="str">
        <f t="shared" si="4"/>
        <v>NIST PQC6</v>
      </c>
      <c r="BH14" s="2" t="s">
        <v>1105</v>
      </c>
      <c r="BP14" s="2" t="s">
        <v>873</v>
      </c>
      <c r="BQ14" s="2" t="s">
        <v>925</v>
      </c>
      <c r="BR14" s="2" t="s">
        <v>926</v>
      </c>
      <c r="BS14" s="120" t="s">
        <v>71</v>
      </c>
      <c r="BT14" s="2" t="s">
        <v>873</v>
      </c>
      <c r="BU14" s="2" t="s">
        <v>925</v>
      </c>
      <c r="BV14" s="2" t="s">
        <v>943</v>
      </c>
      <c r="BW14" s="2" t="s">
        <v>930</v>
      </c>
      <c r="BY14" s="2" t="s">
        <v>873</v>
      </c>
      <c r="BZ14" s="2" t="s">
        <v>980</v>
      </c>
      <c r="CA14" s="2" t="s">
        <v>981</v>
      </c>
      <c r="CB14" s="2" t="s">
        <v>982</v>
      </c>
      <c r="CH14" s="2" t="s">
        <v>142</v>
      </c>
      <c r="CI14" s="2" t="s">
        <v>97</v>
      </c>
      <c r="CJ14" s="2" t="str">
        <f t="shared" si="5"/>
        <v>Government_Small Business (&lt;100 employees)</v>
      </c>
      <c r="CK14" s="2" t="s">
        <v>1006</v>
      </c>
      <c r="CL14" s="2" t="s">
        <v>1007</v>
      </c>
    </row>
    <row r="15" spans="1:90" x14ac:dyDescent="0.2">
      <c r="M15" s="2" t="s">
        <v>19</v>
      </c>
      <c r="N15" s="2" t="s">
        <v>138</v>
      </c>
      <c r="O15" s="2" t="s">
        <v>56</v>
      </c>
      <c r="V15" s="6"/>
      <c r="AD15" s="2" t="s">
        <v>899</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1073</v>
      </c>
      <c r="BA15" s="2">
        <v>1</v>
      </c>
      <c r="BE15" s="2" t="s">
        <v>1042</v>
      </c>
      <c r="BF15" s="2" t="s">
        <v>1070</v>
      </c>
      <c r="BG15" s="2" t="str">
        <f t="shared" si="4"/>
        <v>CMMC 2.0AC</v>
      </c>
      <c r="BH15" s="2" t="s">
        <v>1154</v>
      </c>
      <c r="CH15" s="2" t="s">
        <v>77</v>
      </c>
      <c r="CI15" s="2" t="s">
        <v>17</v>
      </c>
      <c r="CJ15" s="2" t="str">
        <f t="shared" si="5"/>
        <v>Defense/Military_Fortune 500/Global Enterprise</v>
      </c>
      <c r="CK15" s="2" t="s">
        <v>1008</v>
      </c>
      <c r="CL15" s="2" t="s">
        <v>1009</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1043</v>
      </c>
      <c r="AX16" s="2" t="str">
        <f t="shared" si="3"/>
        <v>Q2|ISO 27001</v>
      </c>
      <c r="AY16" s="13" t="s">
        <v>448</v>
      </c>
      <c r="AZ16" s="13" t="s">
        <v>1140</v>
      </c>
      <c r="BA16" s="2">
        <v>1</v>
      </c>
      <c r="BE16" s="2" t="s">
        <v>1042</v>
      </c>
      <c r="BF16" s="2" t="s">
        <v>1110</v>
      </c>
      <c r="BG16" s="2" t="str">
        <f t="shared" si="4"/>
        <v>CMMC 2.0AT</v>
      </c>
      <c r="BH16" s="2" t="s">
        <v>1114</v>
      </c>
      <c r="CH16" s="2" t="s">
        <v>77</v>
      </c>
      <c r="CI16" s="2" t="s">
        <v>51</v>
      </c>
      <c r="CJ16" s="2" t="str">
        <f t="shared" si="5"/>
        <v>Defense/Military_Large Enterprise (1000+ employees)</v>
      </c>
      <c r="CK16" s="2" t="s">
        <v>1008</v>
      </c>
      <c r="CL16" s="2" t="s">
        <v>1009</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1191</v>
      </c>
      <c r="BA17" s="2">
        <v>0.8</v>
      </c>
      <c r="BE17" s="2" t="s">
        <v>1042</v>
      </c>
      <c r="BF17" s="2" t="s">
        <v>1081</v>
      </c>
      <c r="BG17" s="2" t="str">
        <f t="shared" si="4"/>
        <v>CMMC 2.0AU</v>
      </c>
      <c r="BH17" s="2" t="s">
        <v>1115</v>
      </c>
      <c r="CH17" s="2" t="s">
        <v>77</v>
      </c>
      <c r="CI17" s="2" t="s">
        <v>78</v>
      </c>
      <c r="CJ17" s="2" t="str">
        <f t="shared" si="5"/>
        <v>Defense/Military_Mid-Market (100-999 employees)</v>
      </c>
      <c r="CK17" s="2" t="s">
        <v>1008</v>
      </c>
      <c r="CL17" s="2" t="s">
        <v>1009</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1044</v>
      </c>
      <c r="AX18" s="2" t="str">
        <f t="shared" si="3"/>
        <v>Q2|CIS v8</v>
      </c>
      <c r="AY18" s="13" t="s">
        <v>1831</v>
      </c>
      <c r="AZ18" s="13" t="s">
        <v>1093</v>
      </c>
      <c r="BA18" s="2">
        <v>0.8</v>
      </c>
      <c r="BE18" s="2" t="s">
        <v>1042</v>
      </c>
      <c r="BF18" s="2" t="s">
        <v>1076</v>
      </c>
      <c r="BG18" s="2" t="str">
        <f t="shared" si="4"/>
        <v>CMMC 2.0CA</v>
      </c>
      <c r="BH18" s="2" t="s">
        <v>1116</v>
      </c>
      <c r="CH18" s="2" t="s">
        <v>77</v>
      </c>
      <c r="CI18" s="2" t="s">
        <v>97</v>
      </c>
      <c r="CJ18" s="2" t="str">
        <f t="shared" si="5"/>
        <v>Defense/Military_Small Business (&lt;100 employees)</v>
      </c>
      <c r="CK18" s="2" t="s">
        <v>1008</v>
      </c>
      <c r="CL18" s="2" t="s">
        <v>1009</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1041</v>
      </c>
      <c r="AX19" s="2" t="str">
        <f t="shared" si="3"/>
        <v>Q3|NIST CSF 2.0</v>
      </c>
      <c r="AY19" s="13" t="s">
        <v>450</v>
      </c>
      <c r="AZ19" s="13" t="s">
        <v>1064</v>
      </c>
      <c r="BA19" s="2">
        <v>1</v>
      </c>
      <c r="BE19" s="2" t="s">
        <v>1042</v>
      </c>
      <c r="BF19" s="2" t="s">
        <v>1072</v>
      </c>
      <c r="BG19" s="2" t="str">
        <f t="shared" si="4"/>
        <v>CMMC 2.0CM</v>
      </c>
      <c r="BH19" s="2" t="s">
        <v>1117</v>
      </c>
      <c r="CH19" s="2" t="s">
        <v>116</v>
      </c>
      <c r="CI19" s="2" t="s">
        <v>17</v>
      </c>
      <c r="CJ19" s="2" t="str">
        <f>_xlfn.CONCAT(CH19,"_",CI19)</f>
        <v>Energy/Utilities_Fortune 500/Global Enterprise</v>
      </c>
      <c r="CK19" s="2" t="s">
        <v>1010</v>
      </c>
      <c r="CL19" s="2" t="s">
        <v>1011</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1092</v>
      </c>
      <c r="BA20" s="2">
        <v>1</v>
      </c>
      <c r="BE20" s="2" t="s">
        <v>1042</v>
      </c>
      <c r="BF20" s="2" t="s">
        <v>1079</v>
      </c>
      <c r="BG20" s="2" t="str">
        <f t="shared" si="4"/>
        <v>CMMC 2.0CP</v>
      </c>
      <c r="BH20" s="2" t="s">
        <v>1118</v>
      </c>
      <c r="CH20" s="2" t="s">
        <v>116</v>
      </c>
      <c r="CI20" s="2" t="s">
        <v>51</v>
      </c>
      <c r="CJ20" s="2" t="str">
        <f>_xlfn.CONCAT(CH20,"_",CI20)</f>
        <v>Energy/Utilities_Large Enterprise (1000+ employees)</v>
      </c>
      <c r="CK20" s="2" t="s">
        <v>1010</v>
      </c>
      <c r="CL20" s="2" t="s">
        <v>1011</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1042</v>
      </c>
      <c r="AX21" s="2" t="str">
        <f t="shared" si="3"/>
        <v>Q3|CMMC 2.0</v>
      </c>
      <c r="AY21" s="13" t="s">
        <v>452</v>
      </c>
      <c r="AZ21" s="13" t="s">
        <v>1071</v>
      </c>
      <c r="BA21" s="2">
        <v>1</v>
      </c>
      <c r="BE21" s="2" t="s">
        <v>1042</v>
      </c>
      <c r="BF21" s="2" t="s">
        <v>1080</v>
      </c>
      <c r="BG21" s="2" t="str">
        <f t="shared" si="4"/>
        <v>CMMC 2.0IA</v>
      </c>
      <c r="BH21" s="2" t="s">
        <v>1119</v>
      </c>
      <c r="CH21" s="2" t="s">
        <v>147</v>
      </c>
      <c r="CI21" s="2" t="s">
        <v>17</v>
      </c>
      <c r="CJ21" s="2" t="str">
        <f>_xlfn.CONCAT(CH21,"_",CI21)</f>
        <v>Telecommunications_Fortune 500/Global Enterprise</v>
      </c>
      <c r="CK21" s="2" t="s">
        <v>1010</v>
      </c>
      <c r="CL21" s="2" t="s">
        <v>1011</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1071</v>
      </c>
      <c r="BA22" s="2">
        <v>1</v>
      </c>
      <c r="BE22" s="2" t="s">
        <v>1042</v>
      </c>
      <c r="BF22" s="2" t="s">
        <v>1078</v>
      </c>
      <c r="BG22" s="2" t="str">
        <f t="shared" si="4"/>
        <v>CMMC 2.0IR</v>
      </c>
      <c r="BH22" s="2" t="s">
        <v>1120</v>
      </c>
      <c r="CH22" s="2" t="s">
        <v>147</v>
      </c>
      <c r="CI22" s="2" t="s">
        <v>51</v>
      </c>
      <c r="CJ22" s="2" t="str">
        <f>_xlfn.CONCAT(CH22,"_",CI22)</f>
        <v>Telecommunications_Large Enterprise (1000+ employees)</v>
      </c>
      <c r="CK22" s="2" t="s">
        <v>1010</v>
      </c>
      <c r="CL22" s="2" t="s">
        <v>1011</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1071</v>
      </c>
      <c r="BA23" s="2">
        <v>1</v>
      </c>
      <c r="BE23" s="2" t="s">
        <v>1042</v>
      </c>
      <c r="BF23" s="2" t="s">
        <v>1111</v>
      </c>
      <c r="BG23" s="2" t="str">
        <f t="shared" si="4"/>
        <v>CMMC 2.0MA</v>
      </c>
      <c r="BH23" s="2" t="s">
        <v>1121</v>
      </c>
      <c r="CH23" s="2" t="s">
        <v>96</v>
      </c>
      <c r="CI23" s="2" t="s">
        <v>17</v>
      </c>
      <c r="CJ23" s="2" t="str">
        <f>_xlfn.CONCAT(CH23,"_",CI23)</f>
        <v>Technology_Fortune 500/Global Enterprise</v>
      </c>
      <c r="CK23" s="2" t="s">
        <v>1012</v>
      </c>
      <c r="CL23" s="2" t="s">
        <v>1013</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1043</v>
      </c>
      <c r="AX24" s="2" t="str">
        <f t="shared" si="3"/>
        <v>Q3|ISO 27001</v>
      </c>
      <c r="AY24" s="13" t="s">
        <v>454</v>
      </c>
      <c r="AZ24" s="13" t="s">
        <v>1140</v>
      </c>
      <c r="BA24" s="2">
        <v>0.8</v>
      </c>
      <c r="BE24" s="2" t="s">
        <v>1042</v>
      </c>
      <c r="BF24" s="2" t="s">
        <v>1082</v>
      </c>
      <c r="BG24" s="2" t="str">
        <f t="shared" si="4"/>
        <v>CMMC 2.0MP</v>
      </c>
      <c r="BH24" s="2" t="s">
        <v>1122</v>
      </c>
      <c r="CH24" s="2" t="s">
        <v>96</v>
      </c>
      <c r="CI24" s="2" t="s">
        <v>51</v>
      </c>
      <c r="CJ24" s="2" t="str">
        <f t="shared" ref="CJ24:CJ26" si="8">_xlfn.CONCAT(CH24,"_",CI24)</f>
        <v>Technology_Large Enterprise (1000+ employees)</v>
      </c>
      <c r="CK24" s="2" t="s">
        <v>1012</v>
      </c>
      <c r="CL24" s="2" t="s">
        <v>1013</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1191</v>
      </c>
      <c r="BA25" s="2">
        <v>0.6</v>
      </c>
      <c r="BE25" s="2" t="s">
        <v>1042</v>
      </c>
      <c r="BF25" s="2" t="s">
        <v>1112</v>
      </c>
      <c r="BG25" s="2" t="str">
        <f t="shared" si="4"/>
        <v>CMMC 2.0PE</v>
      </c>
      <c r="BH25" s="2" t="s">
        <v>1123</v>
      </c>
      <c r="CH25" s="2" t="s">
        <v>96</v>
      </c>
      <c r="CI25" s="2" t="s">
        <v>78</v>
      </c>
      <c r="CJ25" s="2" t="str">
        <f t="shared" si="8"/>
        <v>Technology_Mid-Market (100-999 employees)</v>
      </c>
      <c r="CK25" s="2" t="s">
        <v>1012</v>
      </c>
      <c r="CL25" s="2" t="s">
        <v>1013</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1044</v>
      </c>
      <c r="AX26" s="2" t="str">
        <f t="shared" si="3"/>
        <v>Q3|CIS v8</v>
      </c>
      <c r="AY26" s="13" t="s">
        <v>1832</v>
      </c>
      <c r="AZ26" s="13" t="s">
        <v>1094</v>
      </c>
      <c r="BA26" s="2">
        <v>1</v>
      </c>
      <c r="BE26" s="2" t="s">
        <v>1042</v>
      </c>
      <c r="BF26" s="2" t="s">
        <v>1084</v>
      </c>
      <c r="BG26" s="2" t="str">
        <f t="shared" si="4"/>
        <v>CMMC 2.0PL</v>
      </c>
      <c r="BH26" s="2" t="s">
        <v>1124</v>
      </c>
      <c r="CH26" s="2" t="s">
        <v>96</v>
      </c>
      <c r="CI26" s="2" t="s">
        <v>97</v>
      </c>
      <c r="CJ26" s="2" t="str">
        <f t="shared" si="8"/>
        <v>Technology_Small Business (&lt;100 employees)</v>
      </c>
      <c r="CK26" s="2" t="s">
        <v>1012</v>
      </c>
      <c r="CL26" s="2" t="s">
        <v>1013</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1041</v>
      </c>
      <c r="AX27" s="2" t="str">
        <f t="shared" si="3"/>
        <v>Q4|NIST CSF 2.0</v>
      </c>
      <c r="AY27" s="13" t="s">
        <v>438</v>
      </c>
      <c r="AZ27" s="13" t="s">
        <v>1064</v>
      </c>
      <c r="BA27" s="2">
        <v>1</v>
      </c>
      <c r="BE27" s="2" t="s">
        <v>1042</v>
      </c>
      <c r="BF27" s="2" t="s">
        <v>1077</v>
      </c>
      <c r="BG27" s="2" t="str">
        <f t="shared" si="4"/>
        <v>CMMC 2.0PM</v>
      </c>
      <c r="BH27" s="2" t="s">
        <v>1125</v>
      </c>
      <c r="CH27" s="2" t="s">
        <v>137</v>
      </c>
      <c r="CI27" s="2" t="s">
        <v>17</v>
      </c>
      <c r="CJ27" s="2" t="str">
        <f>_xlfn.CONCAT(CH27,"_",CI27)</f>
        <v>Retail_Fortune 500/Global Enterprise</v>
      </c>
      <c r="CK27" s="2" t="s">
        <v>1008</v>
      </c>
      <c r="CL27" s="2" t="s">
        <v>1014</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1042</v>
      </c>
      <c r="BF28" s="2" t="s">
        <v>1113</v>
      </c>
      <c r="BG28" s="2" t="str">
        <f t="shared" si="4"/>
        <v>CMMC 2.0PS</v>
      </c>
      <c r="BH28" s="2" t="s">
        <v>1126</v>
      </c>
      <c r="BP28" t="str">
        <f t="shared" ref="BP28" si="9">SUBSTITUTE(BP15,"-","_")</f>
        <v/>
      </c>
      <c r="CH28" s="2" t="s">
        <v>137</v>
      </c>
      <c r="CI28" s="2" t="s">
        <v>51</v>
      </c>
      <c r="CJ28" s="2" t="str">
        <f t="shared" ref="CJ28:CJ34" si="10">_xlfn.CONCAT(CH28,"_",CI28)</f>
        <v>Retail_Large Enterprise (1000+ employees)</v>
      </c>
      <c r="CK28" s="2" t="s">
        <v>1008</v>
      </c>
      <c r="CL28" s="2" t="s">
        <v>1014</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1042</v>
      </c>
      <c r="AX29" s="2" t="str">
        <f t="shared" si="3"/>
        <v>Q4|CMMC 2.0</v>
      </c>
      <c r="AY29" s="13" t="s">
        <v>455</v>
      </c>
      <c r="AZ29" s="13" t="s">
        <v>1072</v>
      </c>
      <c r="BA29" s="2">
        <v>1</v>
      </c>
      <c r="BE29" s="2" t="s">
        <v>1042</v>
      </c>
      <c r="BF29" s="2" t="s">
        <v>1073</v>
      </c>
      <c r="BG29" s="2" t="str">
        <f t="shared" si="4"/>
        <v>CMMC 2.0RA</v>
      </c>
      <c r="BH29" s="2" t="s">
        <v>1127</v>
      </c>
      <c r="CH29" s="2" t="s">
        <v>137</v>
      </c>
      <c r="CI29" s="2" t="s">
        <v>78</v>
      </c>
      <c r="CJ29" s="2" t="str">
        <f t="shared" si="10"/>
        <v>Retail_Mid-Market (100-999 employees)</v>
      </c>
      <c r="CK29" s="2" t="s">
        <v>1008</v>
      </c>
      <c r="CL29" s="2" t="s">
        <v>1014</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1072</v>
      </c>
      <c r="BA30" s="2">
        <v>1</v>
      </c>
      <c r="BE30" s="2" t="s">
        <v>1042</v>
      </c>
      <c r="BF30" s="2" t="s">
        <v>1083</v>
      </c>
      <c r="BG30" s="2" t="str">
        <f t="shared" si="4"/>
        <v>CMMC 2.0SA</v>
      </c>
      <c r="BH30" s="2" t="s">
        <v>1128</v>
      </c>
      <c r="CH30" s="2" t="s">
        <v>137</v>
      </c>
      <c r="CI30" s="2" t="s">
        <v>97</v>
      </c>
      <c r="CJ30" s="2" t="str">
        <f t="shared" si="10"/>
        <v>Retail_Small Business (&lt;100 employees)</v>
      </c>
      <c r="CK30" s="2" t="s">
        <v>1008</v>
      </c>
      <c r="CL30" s="2" t="s">
        <v>1014</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1072</v>
      </c>
      <c r="BA31" s="2">
        <v>1</v>
      </c>
      <c r="BE31" s="2" t="s">
        <v>1042</v>
      </c>
      <c r="BF31" s="2" t="s">
        <v>1071</v>
      </c>
      <c r="BG31" s="2" t="str">
        <f t="shared" si="4"/>
        <v>CMMC 2.0SC</v>
      </c>
      <c r="BH31" s="2" t="s">
        <v>1129</v>
      </c>
      <c r="CH31" s="2" t="s">
        <v>132</v>
      </c>
      <c r="CI31" s="2" t="s">
        <v>17</v>
      </c>
      <c r="CJ31" s="2" t="str">
        <f t="shared" si="10"/>
        <v>Manufacturing_Fortune 500/Global Enterprise</v>
      </c>
      <c r="CK31" s="2" t="s">
        <v>1008</v>
      </c>
      <c r="CL31" s="2" t="s">
        <v>1014</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1043</v>
      </c>
      <c r="AX32" s="2" t="str">
        <f t="shared" si="3"/>
        <v>Q4|ISO 27001</v>
      </c>
      <c r="AY32" s="13" t="s">
        <v>443</v>
      </c>
      <c r="AZ32" s="13" t="s">
        <v>1140</v>
      </c>
      <c r="BA32" s="2">
        <v>1</v>
      </c>
      <c r="BE32" s="2" t="s">
        <v>1042</v>
      </c>
      <c r="BF32" s="2" t="s">
        <v>1075</v>
      </c>
      <c r="BG32" s="2" t="str">
        <f t="shared" si="4"/>
        <v>CMMC 2.0SI</v>
      </c>
      <c r="BH32" s="2" t="s">
        <v>1130</v>
      </c>
      <c r="CH32" s="2" t="s">
        <v>132</v>
      </c>
      <c r="CI32" s="2" t="s">
        <v>51</v>
      </c>
      <c r="CJ32" s="2" t="str">
        <f t="shared" si="10"/>
        <v>Manufacturing_Large Enterprise (1000+ employees)</v>
      </c>
      <c r="CK32" s="2" t="s">
        <v>1008</v>
      </c>
      <c r="CL32" s="2" t="s">
        <v>1014</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1191</v>
      </c>
      <c r="BA33" s="2">
        <v>1</v>
      </c>
      <c r="BE33" s="2" t="s">
        <v>1042</v>
      </c>
      <c r="BF33" s="2" t="s">
        <v>1074</v>
      </c>
      <c r="BG33" s="2" t="str">
        <f t="shared" si="4"/>
        <v>CMMC 2.0SR</v>
      </c>
      <c r="BH33" s="2" t="s">
        <v>1131</v>
      </c>
      <c r="CH33" s="2" t="s">
        <v>132</v>
      </c>
      <c r="CI33" s="2" t="s">
        <v>78</v>
      </c>
      <c r="CJ33" s="2" t="str">
        <f t="shared" si="10"/>
        <v>Manufacturing_Mid-Market (100-999 employees)</v>
      </c>
      <c r="CK33" s="2" t="s">
        <v>1008</v>
      </c>
      <c r="CL33" s="2" t="s">
        <v>1014</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1044</v>
      </c>
      <c r="AX34" s="2" t="str">
        <f t="shared" si="3"/>
        <v>Q4|CIS v8</v>
      </c>
      <c r="AY34" s="13" t="s">
        <v>1830</v>
      </c>
      <c r="AZ34" s="13" t="s">
        <v>1092</v>
      </c>
      <c r="BA34" s="2">
        <v>1</v>
      </c>
      <c r="BE34" s="2" t="s">
        <v>711</v>
      </c>
      <c r="BF34" s="2" t="s">
        <v>1075</v>
      </c>
      <c r="BG34" s="2" t="str">
        <f t="shared" si="4"/>
        <v>FISMASI</v>
      </c>
      <c r="BH34" s="2" t="s">
        <v>1130</v>
      </c>
      <c r="CH34" s="2" t="s">
        <v>132</v>
      </c>
      <c r="CI34" s="2" t="s">
        <v>97</v>
      </c>
      <c r="CJ34" s="2" t="str">
        <f t="shared" si="10"/>
        <v>Manufacturing_Small Business (&lt;100 employees)</v>
      </c>
      <c r="CK34" s="2" t="s">
        <v>1008</v>
      </c>
      <c r="CL34" s="2" t="s">
        <v>1014</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1041</v>
      </c>
      <c r="AX35" s="2" t="str">
        <f t="shared" si="3"/>
        <v>Q5|NIST CSF 2.0</v>
      </c>
      <c r="AY35" s="13" t="s">
        <v>450</v>
      </c>
      <c r="AZ35" s="13" t="s">
        <v>1064</v>
      </c>
      <c r="BA35" s="2">
        <v>1</v>
      </c>
      <c r="BE35" s="2" t="s">
        <v>711</v>
      </c>
      <c r="BF35" s="2" t="s">
        <v>1073</v>
      </c>
      <c r="BG35" s="2" t="str">
        <f t="shared" si="4"/>
        <v>FISMARA</v>
      </c>
      <c r="BH35" s="2" t="s">
        <v>1127</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1071</v>
      </c>
      <c r="BG36" s="2" t="str">
        <f t="shared" si="4"/>
        <v>FISMASC</v>
      </c>
      <c r="BH36" s="2" t="s">
        <v>1129</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1042</v>
      </c>
      <c r="AX37" s="2" t="str">
        <f t="shared" si="3"/>
        <v>Q5|CMMC 2.0</v>
      </c>
      <c r="AY37" s="13" t="s">
        <v>457</v>
      </c>
      <c r="AZ37" s="13" t="s">
        <v>1072</v>
      </c>
      <c r="BA37" s="2">
        <v>1</v>
      </c>
      <c r="BE37" s="2" t="s">
        <v>711</v>
      </c>
      <c r="BF37" s="2" t="s">
        <v>1072</v>
      </c>
      <c r="BG37" s="2" t="str">
        <f t="shared" si="4"/>
        <v>FISMACM</v>
      </c>
      <c r="BH37" s="2" t="s">
        <v>1117</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1072</v>
      </c>
      <c r="BA38" s="2">
        <v>1</v>
      </c>
      <c r="BE38" s="2" t="s">
        <v>711</v>
      </c>
      <c r="BF38" s="2" t="s">
        <v>1083</v>
      </c>
      <c r="BG38" s="2" t="str">
        <f t="shared" si="4"/>
        <v>FISMASA</v>
      </c>
      <c r="BH38" s="2" t="s">
        <v>1128</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1072</v>
      </c>
      <c r="BA39" s="2">
        <v>1</v>
      </c>
      <c r="BE39" s="2" t="s">
        <v>711</v>
      </c>
      <c r="BF39" s="2" t="s">
        <v>1076</v>
      </c>
      <c r="BG39" s="2" t="str">
        <f t="shared" si="4"/>
        <v>FISMACA</v>
      </c>
      <c r="BH39" s="2" t="s">
        <v>1116</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1043</v>
      </c>
      <c r="AX40" s="2" t="str">
        <f t="shared" si="3"/>
        <v>Q5|ISO 27001</v>
      </c>
      <c r="AY40" s="13" t="s">
        <v>454</v>
      </c>
      <c r="AZ40" s="13" t="s">
        <v>1140</v>
      </c>
      <c r="BA40" s="2">
        <v>1</v>
      </c>
      <c r="BE40" s="2" t="s">
        <v>711</v>
      </c>
      <c r="BF40" s="2" t="s">
        <v>1077</v>
      </c>
      <c r="BG40" s="2" t="str">
        <f t="shared" si="4"/>
        <v>FISMAPM</v>
      </c>
      <c r="BH40" s="2" t="s">
        <v>1125</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1191</v>
      </c>
      <c r="BA41" s="2">
        <v>1</v>
      </c>
      <c r="BE41" s="2" t="s">
        <v>711</v>
      </c>
      <c r="BF41" s="2" t="s">
        <v>1084</v>
      </c>
      <c r="BG41" s="2" t="str">
        <f t="shared" si="4"/>
        <v>FISMAPL</v>
      </c>
      <c r="BH41" s="2" t="s">
        <v>1124</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1044</v>
      </c>
      <c r="AX42" s="2" t="str">
        <f t="shared" si="3"/>
        <v>Q5|CIS v8</v>
      </c>
      <c r="AY42" s="13" t="s">
        <v>1831</v>
      </c>
      <c r="AZ42" s="13" t="s">
        <v>1093</v>
      </c>
      <c r="BA42" s="2">
        <v>1</v>
      </c>
      <c r="BE42" s="2" t="s">
        <v>711</v>
      </c>
      <c r="BF42" s="2" t="s">
        <v>1078</v>
      </c>
      <c r="BG42" s="2" t="str">
        <f t="shared" si="4"/>
        <v>FISMAIR</v>
      </c>
      <c r="BH42" s="2" t="s">
        <v>1120</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1041</v>
      </c>
      <c r="AX43" s="2" t="str">
        <f t="shared" si="3"/>
        <v>Q6|NIST CSF 2.0</v>
      </c>
      <c r="AY43" s="13" t="s">
        <v>459</v>
      </c>
      <c r="AZ43" s="13" t="s">
        <v>1064</v>
      </c>
      <c r="BA43" s="2">
        <v>1</v>
      </c>
      <c r="BE43" s="2" t="s">
        <v>711</v>
      </c>
      <c r="BF43" s="2" t="s">
        <v>1079</v>
      </c>
      <c r="BG43" s="2" t="str">
        <f t="shared" si="4"/>
        <v>FISMACP</v>
      </c>
      <c r="BH43" s="2" t="s">
        <v>1118</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1080</v>
      </c>
      <c r="BG44" s="2" t="str">
        <f t="shared" si="4"/>
        <v>FISMAIA</v>
      </c>
      <c r="BH44" s="2" t="s">
        <v>1119</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1042</v>
      </c>
      <c r="AX45" s="2" t="str">
        <f t="shared" si="3"/>
        <v>Q6|CMMC 2.0</v>
      </c>
      <c r="AY45" s="13" t="s">
        <v>1825</v>
      </c>
      <c r="AZ45" s="13" t="s">
        <v>1070</v>
      </c>
      <c r="BA45" s="2">
        <v>0.8</v>
      </c>
      <c r="BE45" s="2" t="s">
        <v>711</v>
      </c>
      <c r="BF45" s="2" t="s">
        <v>1081</v>
      </c>
      <c r="BG45" s="2" t="str">
        <f t="shared" si="4"/>
        <v>FISMAAU</v>
      </c>
      <c r="BH45" s="2" t="s">
        <v>1115</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1072</v>
      </c>
      <c r="BA46" s="2">
        <v>0.8</v>
      </c>
      <c r="BE46" s="2" t="s">
        <v>711</v>
      </c>
      <c r="BF46" s="2" t="s">
        <v>1082</v>
      </c>
      <c r="BG46" s="2" t="str">
        <f t="shared" si="4"/>
        <v>FISMAMP</v>
      </c>
      <c r="BH46" s="2" t="s">
        <v>1122</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1072</v>
      </c>
      <c r="BA47" s="2">
        <v>0.8</v>
      </c>
      <c r="BE47" s="2" t="s">
        <v>711</v>
      </c>
      <c r="BF47" s="2" t="s">
        <v>1070</v>
      </c>
      <c r="BG47" s="2" t="str">
        <f t="shared" si="4"/>
        <v>FISMAAC</v>
      </c>
      <c r="BH47" s="2" t="s">
        <v>1154</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1043</v>
      </c>
      <c r="AX48" s="2" t="str">
        <f t="shared" si="3"/>
        <v>Q6|ISO 27001</v>
      </c>
      <c r="AY48" s="13" t="s">
        <v>461</v>
      </c>
      <c r="AZ48" s="13" t="s">
        <v>1145</v>
      </c>
      <c r="BA48" s="2">
        <v>1</v>
      </c>
      <c r="BE48" s="2" t="s">
        <v>712</v>
      </c>
      <c r="BF48" s="2" t="s">
        <v>1072</v>
      </c>
      <c r="BG48" s="2" t="str">
        <f t="shared" si="4"/>
        <v>FedRAMPCM</v>
      </c>
      <c r="BH48" s="2" t="s">
        <v>1117</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1191</v>
      </c>
      <c r="BA49" s="2">
        <v>0.8</v>
      </c>
      <c r="BE49" s="2" t="s">
        <v>712</v>
      </c>
      <c r="BF49" s="2" t="s">
        <v>1073</v>
      </c>
      <c r="BG49" s="2" t="str">
        <f t="shared" si="4"/>
        <v>FedRAMPRA</v>
      </c>
      <c r="BH49" s="2" t="s">
        <v>1127</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1044</v>
      </c>
      <c r="AX50" s="2" t="str">
        <f t="shared" si="3"/>
        <v>Q6|CIS v8</v>
      </c>
      <c r="AY50" s="13" t="s">
        <v>1833</v>
      </c>
      <c r="AZ50" s="13" t="s">
        <v>1085</v>
      </c>
      <c r="BA50" s="2">
        <v>1</v>
      </c>
      <c r="BE50" s="2" t="s">
        <v>712</v>
      </c>
      <c r="BF50" s="2" t="s">
        <v>1071</v>
      </c>
      <c r="BG50" s="2" t="str">
        <f t="shared" si="4"/>
        <v>FedRAMPSC</v>
      </c>
      <c r="BH50" s="2" t="s">
        <v>1129</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1041</v>
      </c>
      <c r="AX51" s="2" t="str">
        <f t="shared" si="3"/>
        <v>Q7|NIST CSF 2.0</v>
      </c>
      <c r="AY51" s="13" t="s">
        <v>459</v>
      </c>
      <c r="AZ51" s="13" t="s">
        <v>1064</v>
      </c>
      <c r="BA51" s="2">
        <v>1</v>
      </c>
      <c r="BE51" s="2" t="s">
        <v>712</v>
      </c>
      <c r="BF51" s="2" t="s">
        <v>1083</v>
      </c>
      <c r="BG51" s="2" t="str">
        <f t="shared" si="4"/>
        <v>FedRAMPSA</v>
      </c>
      <c r="BH51" s="2" t="s">
        <v>1128</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1075</v>
      </c>
      <c r="BG52" s="2" t="str">
        <f t="shared" si="4"/>
        <v>FedRAMPSI</v>
      </c>
      <c r="BH52" s="2" t="s">
        <v>1130</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1042</v>
      </c>
      <c r="AX53" s="2" t="str">
        <f t="shared" si="3"/>
        <v>Q7|CMMC 2.0</v>
      </c>
      <c r="AY53" s="13" t="s">
        <v>463</v>
      </c>
      <c r="AZ53" s="13" t="s">
        <v>1071</v>
      </c>
      <c r="BA53" s="2">
        <v>0.8</v>
      </c>
      <c r="BE53" s="2" t="s">
        <v>712</v>
      </c>
      <c r="BF53" s="2" t="s">
        <v>1076</v>
      </c>
      <c r="BG53" s="2" t="str">
        <f t="shared" si="4"/>
        <v>FedRAMPCA</v>
      </c>
      <c r="BH53" s="2" t="s">
        <v>1116</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1071</v>
      </c>
      <c r="BA54" s="2">
        <v>1</v>
      </c>
      <c r="BE54" s="2" t="s">
        <v>712</v>
      </c>
      <c r="BF54" s="2" t="s">
        <v>1077</v>
      </c>
      <c r="BG54" s="2" t="str">
        <f t="shared" si="4"/>
        <v>FedRAMPPM</v>
      </c>
      <c r="BH54" s="2" t="s">
        <v>1125</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1071</v>
      </c>
      <c r="BA55" s="2">
        <v>1</v>
      </c>
      <c r="BE55" s="2" t="s">
        <v>712</v>
      </c>
      <c r="BF55" s="2" t="s">
        <v>1084</v>
      </c>
      <c r="BG55" s="2" t="str">
        <f t="shared" si="4"/>
        <v>FedRAMPPL</v>
      </c>
      <c r="BH55" s="2" t="s">
        <v>1124</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1043</v>
      </c>
      <c r="AX56" s="2" t="str">
        <f t="shared" si="3"/>
        <v>Q7|ISO 27001</v>
      </c>
      <c r="AY56" s="13" t="s">
        <v>465</v>
      </c>
      <c r="AZ56" s="13" t="s">
        <v>1145</v>
      </c>
      <c r="BA56" s="2">
        <v>1</v>
      </c>
      <c r="BE56" s="2" t="s">
        <v>712</v>
      </c>
      <c r="BF56" s="2" t="s">
        <v>1078</v>
      </c>
      <c r="BG56" s="2" t="str">
        <f t="shared" si="4"/>
        <v>FedRAMPIR</v>
      </c>
      <c r="BH56" s="2" t="s">
        <v>1120</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1191</v>
      </c>
      <c r="BA57" s="2">
        <v>1</v>
      </c>
      <c r="BE57" s="2" t="s">
        <v>712</v>
      </c>
      <c r="BF57" s="2" t="s">
        <v>1079</v>
      </c>
      <c r="BG57" s="2" t="str">
        <f t="shared" si="4"/>
        <v>FedRAMPCP</v>
      </c>
      <c r="BH57" s="2" t="s">
        <v>1118</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1044</v>
      </c>
      <c r="AX58" s="2" t="str">
        <f t="shared" si="3"/>
        <v>Q7|CIS v8</v>
      </c>
      <c r="AY58" s="13" t="s">
        <v>1834</v>
      </c>
      <c r="AZ58" s="13" t="s">
        <v>1086</v>
      </c>
      <c r="BA58" s="2">
        <v>0.8</v>
      </c>
      <c r="BE58" s="2" t="s">
        <v>712</v>
      </c>
      <c r="BF58" s="2" t="s">
        <v>1080</v>
      </c>
      <c r="BG58" s="2" t="str">
        <f t="shared" si="4"/>
        <v>FedRAMPIA</v>
      </c>
      <c r="BH58" s="2" t="s">
        <v>1119</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1041</v>
      </c>
      <c r="AX59" s="2" t="str">
        <f t="shared" si="3"/>
        <v>Q8|NIST CSF 2.0</v>
      </c>
      <c r="AY59" s="13" t="s">
        <v>466</v>
      </c>
      <c r="AZ59" s="13" t="s">
        <v>1064</v>
      </c>
      <c r="BA59" s="2">
        <v>1</v>
      </c>
      <c r="BE59" s="2" t="s">
        <v>712</v>
      </c>
      <c r="BF59" s="2" t="s">
        <v>1081</v>
      </c>
      <c r="BG59" s="2" t="str">
        <f t="shared" si="4"/>
        <v>FedRAMPAU</v>
      </c>
      <c r="BH59" s="2" t="s">
        <v>1115</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1092</v>
      </c>
      <c r="BA60" s="2">
        <v>1</v>
      </c>
      <c r="BE60" s="2" t="s">
        <v>712</v>
      </c>
      <c r="BF60" s="2" t="s">
        <v>1082</v>
      </c>
      <c r="BG60" s="2" t="str">
        <f t="shared" si="4"/>
        <v>FedRAMPMP</v>
      </c>
      <c r="BH60" s="2" t="s">
        <v>1122</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1042</v>
      </c>
      <c r="AX61" s="2" t="str">
        <f t="shared" si="3"/>
        <v>Q8|CMMC 2.0</v>
      </c>
      <c r="AY61" s="13" t="s">
        <v>468</v>
      </c>
      <c r="AZ61" s="13" t="s">
        <v>1073</v>
      </c>
      <c r="BA61" s="2">
        <v>1</v>
      </c>
      <c r="BE61" s="2" t="s">
        <v>712</v>
      </c>
      <c r="BF61" s="2" t="s">
        <v>1070</v>
      </c>
      <c r="BG61" s="2" t="str">
        <f t="shared" si="4"/>
        <v>FedRAMPAC</v>
      </c>
      <c r="BH61" s="2" t="s">
        <v>1154</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1073</v>
      </c>
      <c r="BA62" s="2">
        <v>1</v>
      </c>
      <c r="BE62" s="2" t="s">
        <v>1043</v>
      </c>
      <c r="BF62" s="2" t="s">
        <v>1137</v>
      </c>
      <c r="BG62" s="2" t="str">
        <f t="shared" si="4"/>
        <v>ISO 27001A.5</v>
      </c>
      <c r="BH62" s="2" t="s">
        <v>1151</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1073</v>
      </c>
      <c r="BA63" s="2">
        <v>1</v>
      </c>
      <c r="BE63" s="2" t="s">
        <v>1043</v>
      </c>
      <c r="BF63" s="2" t="s">
        <v>1138</v>
      </c>
      <c r="BG63" s="2" t="str">
        <f t="shared" si="4"/>
        <v>ISO 27001A.6</v>
      </c>
      <c r="BH63" s="2" t="s">
        <v>1157</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1043</v>
      </c>
      <c r="AX64" s="2" t="str">
        <f t="shared" si="3"/>
        <v>Q8|ISO 27001</v>
      </c>
      <c r="AY64" s="13" t="s">
        <v>469</v>
      </c>
      <c r="AZ64" s="13" t="s">
        <v>1137</v>
      </c>
      <c r="BA64" s="2">
        <v>1</v>
      </c>
      <c r="BE64" s="2" t="s">
        <v>1043</v>
      </c>
      <c r="BF64" s="2" t="s">
        <v>1139</v>
      </c>
      <c r="BG64" s="2" t="str">
        <f t="shared" si="4"/>
        <v>ISO 27001A.7</v>
      </c>
      <c r="BH64" s="2" t="s">
        <v>1152</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1192</v>
      </c>
      <c r="BA65" s="2">
        <v>1</v>
      </c>
      <c r="BE65" s="2" t="s">
        <v>1043</v>
      </c>
      <c r="BF65" s="2" t="s">
        <v>1140</v>
      </c>
      <c r="BG65" s="2" t="str">
        <f t="shared" si="4"/>
        <v>ISO 27001A.8</v>
      </c>
      <c r="BH65" s="2" t="s">
        <v>1153</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1044</v>
      </c>
      <c r="AX66" s="2" t="str">
        <f t="shared" si="3"/>
        <v>Q8|CIS v8</v>
      </c>
      <c r="AY66" s="13" t="s">
        <v>1834</v>
      </c>
      <c r="AZ66" s="13" t="s">
        <v>1086</v>
      </c>
      <c r="BA66" s="2">
        <v>0.8</v>
      </c>
      <c r="BE66" s="2" t="s">
        <v>1043</v>
      </c>
      <c r="BF66" s="2" t="s">
        <v>1141</v>
      </c>
      <c r="BG66" s="2" t="str">
        <f t="shared" si="4"/>
        <v>ISO 27001A.9</v>
      </c>
      <c r="BH66" s="2" t="s">
        <v>1154</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1041</v>
      </c>
      <c r="AX67" s="2" t="str">
        <f t="shared" si="3"/>
        <v>Q9|NIST CSF 2.0</v>
      </c>
      <c r="AY67" s="13" t="s">
        <v>471</v>
      </c>
      <c r="AZ67" s="13" t="s">
        <v>1064</v>
      </c>
      <c r="BA67" s="2">
        <v>1</v>
      </c>
      <c r="BE67" s="2" t="s">
        <v>1043</v>
      </c>
      <c r="BF67" s="2" t="s">
        <v>1142</v>
      </c>
      <c r="BG67" s="2" t="str">
        <f t="shared" si="4"/>
        <v>ISO 27001A.10</v>
      </c>
      <c r="BH67" s="2" t="s">
        <v>1155</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1043</v>
      </c>
      <c r="BF68" s="2" t="s">
        <v>1143</v>
      </c>
      <c r="BG68" s="2" t="str">
        <f t="shared" si="4"/>
        <v>ISO 27001A.11</v>
      </c>
      <c r="BH68" s="2" t="s">
        <v>1156</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1042</v>
      </c>
      <c r="AX69" s="2" t="str">
        <f t="shared" si="17"/>
        <v>Q9|CMMC 2.0</v>
      </c>
      <c r="AY69" s="13" t="s">
        <v>472</v>
      </c>
      <c r="AZ69" s="13" t="s">
        <v>1072</v>
      </c>
      <c r="BA69" s="2">
        <v>0.8</v>
      </c>
      <c r="BE69" s="2" t="s">
        <v>1043</v>
      </c>
      <c r="BF69" s="2" t="s">
        <v>1144</v>
      </c>
      <c r="BG69" s="2" t="str">
        <f t="shared" si="4"/>
        <v>ISO 27001A.12</v>
      </c>
      <c r="BH69" s="2" t="s">
        <v>1158</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1083</v>
      </c>
      <c r="BA70" s="2">
        <v>1</v>
      </c>
      <c r="BE70" s="2" t="s">
        <v>1043</v>
      </c>
      <c r="BF70" s="2" t="s">
        <v>1145</v>
      </c>
      <c r="BG70" s="2" t="str">
        <f t="shared" si="4"/>
        <v>ISO 27001A.13</v>
      </c>
      <c r="BH70" s="2" t="s">
        <v>1159</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1083</v>
      </c>
      <c r="BA71" s="2">
        <v>1</v>
      </c>
      <c r="BE71" s="2" t="s">
        <v>1043</v>
      </c>
      <c r="BF71" s="2" t="s">
        <v>1146</v>
      </c>
      <c r="BG71" s="2" t="str">
        <f t="shared" si="4"/>
        <v>ISO 27001A.14</v>
      </c>
      <c r="BH71" s="2" t="s">
        <v>1160</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1043</v>
      </c>
      <c r="AX72" s="2" t="str">
        <f t="shared" si="17"/>
        <v>Q9|ISO 27001</v>
      </c>
      <c r="AY72" s="13" t="s">
        <v>474</v>
      </c>
      <c r="AZ72" s="13" t="s">
        <v>1147</v>
      </c>
      <c r="BA72" s="2">
        <v>1</v>
      </c>
      <c r="BE72" s="2" t="s">
        <v>1043</v>
      </c>
      <c r="BF72" s="2" t="s">
        <v>1147</v>
      </c>
      <c r="BG72" s="2" t="str">
        <f t="shared" si="4"/>
        <v>ISO 27001A.15</v>
      </c>
      <c r="BH72" s="2" t="s">
        <v>1161</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1193</v>
      </c>
      <c r="BA73" s="2">
        <v>1</v>
      </c>
      <c r="BE73" s="2" t="s">
        <v>1043</v>
      </c>
      <c r="BF73" s="2" t="s">
        <v>1148</v>
      </c>
      <c r="BG73" s="2" t="str">
        <f t="shared" si="4"/>
        <v>ISO 27001A.16</v>
      </c>
      <c r="BH73" s="2" t="s">
        <v>1162</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1044</v>
      </c>
      <c r="AX74" s="2" t="str">
        <f t="shared" si="17"/>
        <v>Q9|CIS v8</v>
      </c>
      <c r="AY74" s="13" t="s">
        <v>1835</v>
      </c>
      <c r="AZ74" s="13" t="s">
        <v>1087</v>
      </c>
      <c r="BA74" s="2">
        <v>1</v>
      </c>
      <c r="BE74" s="2" t="s">
        <v>1043</v>
      </c>
      <c r="BF74" s="2" t="s">
        <v>1149</v>
      </c>
      <c r="BG74" s="2" t="str">
        <f t="shared" si="4"/>
        <v>ISO 27001A.17</v>
      </c>
      <c r="BH74" s="2" t="s">
        <v>1163</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1041</v>
      </c>
      <c r="AX75" s="2" t="str">
        <f t="shared" si="17"/>
        <v>Q10|NIST CSF 2.0</v>
      </c>
      <c r="AY75" s="13" t="s">
        <v>476</v>
      </c>
      <c r="AZ75" s="13" t="s">
        <v>1064</v>
      </c>
      <c r="BA75" s="2">
        <v>1</v>
      </c>
      <c r="BE75" s="2" t="s">
        <v>1043</v>
      </c>
      <c r="BF75" s="2" t="s">
        <v>1150</v>
      </c>
      <c r="BG75" s="2" t="str">
        <f t="shared" si="4"/>
        <v>ISO 27001A.18</v>
      </c>
      <c r="BH75" s="2" t="s">
        <v>1164</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1196</v>
      </c>
      <c r="BG76" s="2" t="str">
        <f t="shared" si="4"/>
        <v>SOC2CC1</v>
      </c>
      <c r="BH76" s="2" t="s">
        <v>1201</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1042</v>
      </c>
      <c r="AX77" s="2" t="str">
        <f t="shared" si="17"/>
        <v>Q10|CMMC 2.0</v>
      </c>
      <c r="AY77" s="13" t="s">
        <v>477</v>
      </c>
      <c r="AZ77" s="13" t="s">
        <v>1072</v>
      </c>
      <c r="BA77" s="2">
        <v>0.8</v>
      </c>
      <c r="BE77" s="2" t="s">
        <v>713</v>
      </c>
      <c r="BF77" s="2" t="s">
        <v>1197</v>
      </c>
      <c r="BG77" s="2" t="str">
        <f t="shared" si="4"/>
        <v>SOC2CC2</v>
      </c>
      <c r="BH77" s="2" t="s">
        <v>1202</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1072</v>
      </c>
      <c r="BA78" s="2">
        <v>1</v>
      </c>
      <c r="BE78" s="2" t="s">
        <v>713</v>
      </c>
      <c r="BF78" s="2" t="s">
        <v>1192</v>
      </c>
      <c r="BG78" s="2" t="str">
        <f t="shared" si="4"/>
        <v>SOC2CC3</v>
      </c>
      <c r="BH78" s="2" t="s">
        <v>1127</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1072</v>
      </c>
      <c r="BA79" s="2">
        <v>1</v>
      </c>
      <c r="BE79" s="2" t="s">
        <v>713</v>
      </c>
      <c r="BF79" s="2" t="s">
        <v>1195</v>
      </c>
      <c r="BG79" s="2" t="str">
        <f t="shared" si="4"/>
        <v>SOC2CC4</v>
      </c>
      <c r="BH79" s="2" t="s">
        <v>1203</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1043</v>
      </c>
      <c r="AX80" s="2" t="str">
        <f t="shared" si="17"/>
        <v>Q10|ISO 27001</v>
      </c>
      <c r="AY80" s="13" t="s">
        <v>479</v>
      </c>
      <c r="AZ80" s="13" t="s">
        <v>1140</v>
      </c>
      <c r="BA80" s="2">
        <v>1</v>
      </c>
      <c r="BE80" s="2" t="s">
        <v>713</v>
      </c>
      <c r="BF80" s="2" t="s">
        <v>1198</v>
      </c>
      <c r="BG80" s="2" t="str">
        <f t="shared" si="4"/>
        <v>SOC2CC5</v>
      </c>
      <c r="BH80" s="2" t="s">
        <v>1204</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1191</v>
      </c>
      <c r="BA81" s="2">
        <v>0.8</v>
      </c>
      <c r="BE81" s="2" t="s">
        <v>713</v>
      </c>
      <c r="BF81" s="2" t="s">
        <v>1191</v>
      </c>
      <c r="BG81" s="2" t="str">
        <f t="shared" si="4"/>
        <v>SOC2CC6</v>
      </c>
      <c r="BH81" s="2" t="s">
        <v>1205</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1044</v>
      </c>
      <c r="AX82" s="2" t="str">
        <f t="shared" si="17"/>
        <v>Q10|CIS v8</v>
      </c>
      <c r="AY82" s="13" t="s">
        <v>1836</v>
      </c>
      <c r="AZ82" s="13" t="s">
        <v>1093</v>
      </c>
      <c r="BA82" s="2">
        <v>0.8</v>
      </c>
      <c r="BE82" s="2" t="s">
        <v>713</v>
      </c>
      <c r="BF82" s="2" t="s">
        <v>1194</v>
      </c>
      <c r="BG82" s="2" t="str">
        <f t="shared" si="4"/>
        <v>SOC2CC7</v>
      </c>
      <c r="BH82" s="2" t="s">
        <v>1206</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1041</v>
      </c>
      <c r="AX83" s="2" t="str">
        <f t="shared" si="17"/>
        <v>Q11|NIST CSF 2.0</v>
      </c>
      <c r="AY83" s="13" t="s">
        <v>480</v>
      </c>
      <c r="AZ83" s="13" t="s">
        <v>1064</v>
      </c>
      <c r="BA83" s="2">
        <v>1</v>
      </c>
      <c r="BE83" s="2" t="s">
        <v>713</v>
      </c>
      <c r="BF83" s="2" t="s">
        <v>1200</v>
      </c>
      <c r="BG83" s="2" t="str">
        <f t="shared" si="4"/>
        <v>SOC2CC8</v>
      </c>
      <c r="BH83" s="2" t="s">
        <v>1207</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1193</v>
      </c>
      <c r="BG84" s="2" t="str">
        <f t="shared" si="4"/>
        <v>SOC2CC9</v>
      </c>
      <c r="BH84" s="2" t="s">
        <v>1208</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1042</v>
      </c>
      <c r="AX85" s="2" t="str">
        <f t="shared" si="17"/>
        <v>Q11|CMMC 2.0</v>
      </c>
      <c r="AY85" s="13" t="s">
        <v>481</v>
      </c>
      <c r="AZ85" s="13" t="s">
        <v>1073</v>
      </c>
      <c r="BA85" s="2">
        <v>1</v>
      </c>
      <c r="BE85" s="2" t="s">
        <v>713</v>
      </c>
      <c r="BF85" s="2" t="s">
        <v>1098</v>
      </c>
      <c r="BG85" s="2" t="str">
        <f t="shared" si="4"/>
        <v>SOC2A</v>
      </c>
      <c r="BH85" s="2" t="s">
        <v>1209</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1073</v>
      </c>
      <c r="BA86" s="2">
        <v>1</v>
      </c>
      <c r="BE86" s="2" t="s">
        <v>713</v>
      </c>
      <c r="BF86" s="2" t="s">
        <v>1165</v>
      </c>
      <c r="BG86" s="2" t="str">
        <f t="shared" si="4"/>
        <v>SOC2P</v>
      </c>
      <c r="BH86" s="2" t="s">
        <v>1210</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1073</v>
      </c>
      <c r="BA87" s="2">
        <v>1</v>
      </c>
      <c r="BE87" s="2" t="s">
        <v>713</v>
      </c>
      <c r="BF87" s="2" t="s">
        <v>1166</v>
      </c>
      <c r="BG87" s="2" t="str">
        <f t="shared" si="4"/>
        <v>SOC2C</v>
      </c>
      <c r="BH87" s="2" t="s">
        <v>1211</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1043</v>
      </c>
      <c r="AX88" s="2" t="str">
        <f t="shared" si="17"/>
        <v>Q11|ISO 27001</v>
      </c>
      <c r="AY88" s="13" t="s">
        <v>483</v>
      </c>
      <c r="AZ88" s="13" t="s">
        <v>1144</v>
      </c>
      <c r="BA88" s="2">
        <v>1</v>
      </c>
      <c r="BE88" s="2" t="s">
        <v>713</v>
      </c>
      <c r="BF88" s="2" t="s">
        <v>1167</v>
      </c>
      <c r="BG88" s="2" t="str">
        <f t="shared" si="4"/>
        <v>SOC2PI</v>
      </c>
      <c r="BH88" s="2" t="s">
        <v>1212</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1194</v>
      </c>
      <c r="BA89" s="2">
        <v>1</v>
      </c>
      <c r="BE89" s="2" t="s">
        <v>1044</v>
      </c>
      <c r="BF89" s="2" t="s">
        <v>1092</v>
      </c>
      <c r="BG89" s="2" t="str">
        <f t="shared" si="4"/>
        <v>CIS v81</v>
      </c>
      <c r="BH89" s="2" t="s">
        <v>1171</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1044</v>
      </c>
      <c r="AX90" s="2" t="str">
        <f t="shared" si="17"/>
        <v>Q11|CIS v8</v>
      </c>
      <c r="AY90" s="13" t="s">
        <v>1837</v>
      </c>
      <c r="AZ90" s="13" t="s">
        <v>1099</v>
      </c>
      <c r="BA90" s="2">
        <v>1</v>
      </c>
      <c r="BE90" s="2" t="s">
        <v>1044</v>
      </c>
      <c r="BF90" s="2" t="s">
        <v>1093</v>
      </c>
      <c r="BG90" s="2" t="str">
        <f t="shared" si="4"/>
        <v>CIS v82</v>
      </c>
      <c r="BH90" s="2" t="s">
        <v>1172</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1041</v>
      </c>
      <c r="AX91" s="2" t="str">
        <f t="shared" si="17"/>
        <v>Q12|NIST CSF 2.0</v>
      </c>
      <c r="AY91" s="13" t="s">
        <v>480</v>
      </c>
      <c r="AZ91" s="13" t="s">
        <v>1064</v>
      </c>
      <c r="BA91" s="2">
        <v>1</v>
      </c>
      <c r="BE91" s="2" t="s">
        <v>1044</v>
      </c>
      <c r="BF91" s="2" t="s">
        <v>1094</v>
      </c>
      <c r="BG91" s="2" t="str">
        <f t="shared" ref="BG91:BG106" si="20">_xlfn.CONCAT(BE91,BF91)</f>
        <v>CIS v83</v>
      </c>
      <c r="BH91" s="2" t="s">
        <v>1173</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1093</v>
      </c>
      <c r="BA92" s="2">
        <v>1</v>
      </c>
      <c r="BE92" s="2" t="s">
        <v>1044</v>
      </c>
      <c r="BF92" s="2" t="s">
        <v>1095</v>
      </c>
      <c r="BG92" s="2" t="str">
        <f t="shared" si="20"/>
        <v>CIS v84</v>
      </c>
      <c r="BH92" s="2" t="s">
        <v>1174</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1042</v>
      </c>
      <c r="AX93" s="2" t="str">
        <f t="shared" si="17"/>
        <v>Q12|CMMC 2.0</v>
      </c>
      <c r="AY93" s="13" t="s">
        <v>452</v>
      </c>
      <c r="AZ93" s="13" t="s">
        <v>1071</v>
      </c>
      <c r="BA93" s="2">
        <v>1</v>
      </c>
      <c r="BE93" s="2" t="s">
        <v>1044</v>
      </c>
      <c r="BF93" s="2" t="s">
        <v>1096</v>
      </c>
      <c r="BG93" s="2" t="str">
        <f t="shared" si="20"/>
        <v>CIS v85</v>
      </c>
      <c r="BH93" s="2" t="s">
        <v>1175</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1071</v>
      </c>
      <c r="BA94" s="2">
        <v>1</v>
      </c>
      <c r="BE94" s="2" t="s">
        <v>1044</v>
      </c>
      <c r="BF94" s="2" t="s">
        <v>1097</v>
      </c>
      <c r="BG94" s="2" t="str">
        <f t="shared" si="20"/>
        <v>CIS v86</v>
      </c>
      <c r="BH94" s="2" t="s">
        <v>1176</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1071</v>
      </c>
      <c r="BA95" s="2">
        <v>1</v>
      </c>
      <c r="BE95" s="2" t="s">
        <v>1044</v>
      </c>
      <c r="BF95" s="2" t="s">
        <v>1099</v>
      </c>
      <c r="BG95" s="2" t="str">
        <f t="shared" si="20"/>
        <v>CIS v87</v>
      </c>
      <c r="BH95" s="2" t="s">
        <v>1177</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1043</v>
      </c>
      <c r="AX96" s="2" t="str">
        <f t="shared" si="17"/>
        <v>Q12|ISO 27001</v>
      </c>
      <c r="AY96" s="13" t="s">
        <v>486</v>
      </c>
      <c r="AZ96" s="13" t="s">
        <v>1150</v>
      </c>
      <c r="BA96" s="2">
        <v>0.8</v>
      </c>
      <c r="BE96" s="2" t="s">
        <v>1044</v>
      </c>
      <c r="BF96" s="2" t="s">
        <v>1100</v>
      </c>
      <c r="BG96" s="2" t="str">
        <f t="shared" si="20"/>
        <v>CIS v88</v>
      </c>
      <c r="BH96" s="2" t="s">
        <v>1178</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1191</v>
      </c>
      <c r="BA97" s="2">
        <v>0.8</v>
      </c>
      <c r="BE97" s="2" t="s">
        <v>1044</v>
      </c>
      <c r="BF97" s="2" t="s">
        <v>1168</v>
      </c>
      <c r="BG97" s="2" t="str">
        <f t="shared" si="20"/>
        <v>CIS v89</v>
      </c>
      <c r="BH97" s="2" t="s">
        <v>1179</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1044</v>
      </c>
      <c r="AX98" s="2" t="str">
        <f t="shared" si="17"/>
        <v>Q12|CIS v8</v>
      </c>
      <c r="AY98" s="13" t="s">
        <v>1832</v>
      </c>
      <c r="AZ98" s="13" t="s">
        <v>1094</v>
      </c>
      <c r="BA98" s="2">
        <v>1</v>
      </c>
      <c r="BE98" s="2" t="s">
        <v>1044</v>
      </c>
      <c r="BF98" s="2" t="s">
        <v>1169</v>
      </c>
      <c r="BG98" s="2" t="str">
        <f t="shared" si="20"/>
        <v>CIS v810</v>
      </c>
      <c r="BH98" s="2" t="s">
        <v>1180</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1041</v>
      </c>
      <c r="AX99" s="2" t="str">
        <f t="shared" si="17"/>
        <v>Q13|NIST CSF 2.0</v>
      </c>
      <c r="AY99" s="13" t="s">
        <v>487</v>
      </c>
      <c r="AZ99" s="13" t="s">
        <v>1064</v>
      </c>
      <c r="BA99" s="2">
        <v>1</v>
      </c>
      <c r="BE99" s="2" t="s">
        <v>1044</v>
      </c>
      <c r="BF99" s="2" t="s">
        <v>1090</v>
      </c>
      <c r="BG99" s="2" t="str">
        <f t="shared" si="20"/>
        <v>CIS v811</v>
      </c>
      <c r="BH99" s="2" t="s">
        <v>1181</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1093</v>
      </c>
      <c r="BA100" s="2">
        <v>1</v>
      </c>
      <c r="BE100" s="2" t="s">
        <v>1044</v>
      </c>
      <c r="BF100" s="2" t="s">
        <v>1085</v>
      </c>
      <c r="BG100" s="2" t="str">
        <f t="shared" si="20"/>
        <v>CIS v812</v>
      </c>
      <c r="BH100" s="2" t="s">
        <v>1182</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1042</v>
      </c>
      <c r="AX101" s="2" t="str">
        <f t="shared" si="17"/>
        <v>Q13|CMMC 2.0</v>
      </c>
      <c r="AY101" s="13" t="s">
        <v>489</v>
      </c>
      <c r="AZ101" s="13" t="s">
        <v>1073</v>
      </c>
      <c r="BA101" s="2">
        <v>0.8</v>
      </c>
      <c r="BE101" s="2" t="s">
        <v>1044</v>
      </c>
      <c r="BF101" s="2" t="s">
        <v>1086</v>
      </c>
      <c r="BG101" s="2" t="str">
        <f t="shared" si="20"/>
        <v>CIS v813</v>
      </c>
      <c r="BH101" s="2" t="s">
        <v>1183</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1073</v>
      </c>
      <c r="BA102" s="2">
        <v>1</v>
      </c>
      <c r="BE102" s="2" t="s">
        <v>1044</v>
      </c>
      <c r="BF102" s="2" t="s">
        <v>1091</v>
      </c>
      <c r="BG102" s="2" t="str">
        <f t="shared" si="20"/>
        <v>CIS v814</v>
      </c>
      <c r="BH102" s="2" t="s">
        <v>1184</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1073</v>
      </c>
      <c r="BA103" s="2">
        <v>1</v>
      </c>
      <c r="BE103" s="2" t="s">
        <v>1044</v>
      </c>
      <c r="BF103" s="2" t="s">
        <v>1087</v>
      </c>
      <c r="BG103" s="2" t="str">
        <f t="shared" si="20"/>
        <v>CIS v815</v>
      </c>
      <c r="BH103" s="2" t="s">
        <v>1185</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1043</v>
      </c>
      <c r="AX104" s="2" t="str">
        <f t="shared" si="17"/>
        <v>Q13|ISO 27001</v>
      </c>
      <c r="AY104" s="13" t="s">
        <v>483</v>
      </c>
      <c r="AZ104" s="13" t="s">
        <v>1144</v>
      </c>
      <c r="BA104" s="2">
        <v>0.6</v>
      </c>
      <c r="BE104" s="2" t="s">
        <v>1044</v>
      </c>
      <c r="BF104" s="2" t="s">
        <v>1089</v>
      </c>
      <c r="BG104" s="2" t="str">
        <f t="shared" si="20"/>
        <v>CIS v816</v>
      </c>
      <c r="BH104" s="2" t="s">
        <v>1186</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1194</v>
      </c>
      <c r="BA105" s="2">
        <v>0.8</v>
      </c>
      <c r="BE105" s="2" t="s">
        <v>1044</v>
      </c>
      <c r="BF105" s="2" t="s">
        <v>1170</v>
      </c>
      <c r="BG105" s="2" t="str">
        <f t="shared" si="20"/>
        <v>CIS v817</v>
      </c>
      <c r="BH105" s="2" t="s">
        <v>1187</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1044</v>
      </c>
      <c r="AX106" s="2" t="str">
        <f t="shared" si="17"/>
        <v>Q13|CIS v8</v>
      </c>
      <c r="AY106" s="13" t="s">
        <v>1838</v>
      </c>
      <c r="AZ106" s="13" t="s">
        <v>1088</v>
      </c>
      <c r="BA106" s="2">
        <v>0.6</v>
      </c>
      <c r="BE106" s="2" t="s">
        <v>1044</v>
      </c>
      <c r="BF106" s="2" t="s">
        <v>1088</v>
      </c>
      <c r="BG106" s="2" t="str">
        <f t="shared" si="20"/>
        <v>CIS v818</v>
      </c>
      <c r="BH106" s="2" t="s">
        <v>1188</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1041</v>
      </c>
      <c r="AX107" s="2" t="str">
        <f t="shared" si="17"/>
        <v>Q14|NIST CSF 2.0</v>
      </c>
      <c r="AY107" s="13" t="s">
        <v>492</v>
      </c>
      <c r="AZ107" s="13" t="s">
        <v>1064</v>
      </c>
      <c r="BA107" s="2">
        <v>1</v>
      </c>
      <c r="BE107" s="2" t="s">
        <v>711</v>
      </c>
      <c r="BF107" s="2" t="s">
        <v>1074</v>
      </c>
      <c r="BG107" s="2" t="str">
        <f>_xlfn.CONCAT(BE107,BF107)</f>
        <v>FISMASR</v>
      </c>
      <c r="BH107" s="2" t="s">
        <v>1131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1074</v>
      </c>
      <c r="BG108" s="2" t="str">
        <f>_xlfn.CONCAT(BE108,BF108)</f>
        <v>FedRAMPSR</v>
      </c>
      <c r="BH108" s="2" t="s">
        <v>1131</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1042</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1826</v>
      </c>
      <c r="AZ110" s="13" t="s">
        <v>1074</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1826</v>
      </c>
      <c r="AZ111" s="13" t="s">
        <v>1074</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1043</v>
      </c>
      <c r="AX112" s="2" t="str">
        <f t="shared" si="17"/>
        <v>Q14|ISO 27001</v>
      </c>
      <c r="AY112" s="13" t="s">
        <v>495</v>
      </c>
      <c r="AZ112" s="13" t="s">
        <v>1147</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1193</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1044</v>
      </c>
      <c r="AX114" s="2" t="str">
        <f t="shared" si="17"/>
        <v>Q14|CIS v8</v>
      </c>
      <c r="AY114" s="13" t="s">
        <v>1839</v>
      </c>
      <c r="AZ114" s="13" t="s">
        <v>1087</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1041</v>
      </c>
      <c r="AX115" s="2" t="str">
        <f t="shared" si="17"/>
        <v>Q15|NIST CSF 2.0</v>
      </c>
      <c r="AY115" s="13" t="s">
        <v>497</v>
      </c>
      <c r="AZ115" s="13" t="s">
        <v>1065</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1042</v>
      </c>
      <c r="AX117" s="2" t="str">
        <f t="shared" si="17"/>
        <v>Q15|CMMC 2.0</v>
      </c>
      <c r="AY117" s="13" t="s">
        <v>498</v>
      </c>
      <c r="AZ117" s="13" t="s">
        <v>1075</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1075</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1075</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1043</v>
      </c>
      <c r="AX120" s="2" t="str">
        <f t="shared" si="17"/>
        <v>Q15|ISO 27001</v>
      </c>
      <c r="AY120" s="13" t="s">
        <v>483</v>
      </c>
      <c r="AZ120" s="13" t="s">
        <v>1144</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1194</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1044</v>
      </c>
      <c r="AX122" s="2" t="str">
        <f t="shared" si="17"/>
        <v>Q15|CIS v8</v>
      </c>
      <c r="AY122" s="13" t="s">
        <v>1840</v>
      </c>
      <c r="AZ122" s="13" t="s">
        <v>1099</v>
      </c>
      <c r="BA122" s="2">
        <v>0.8</v>
      </c>
    </row>
    <row r="123" spans="42:53" x14ac:dyDescent="0.2">
      <c r="AP123" s="5"/>
      <c r="AV123" s="2" t="s">
        <v>729</v>
      </c>
      <c r="AW123" s="2" t="s">
        <v>1041</v>
      </c>
      <c r="AX123" s="2" t="str">
        <f t="shared" si="17"/>
        <v>Q16|NIST CSF 2.0</v>
      </c>
      <c r="AY123" s="13" t="s">
        <v>500</v>
      </c>
      <c r="AZ123" s="13" t="s">
        <v>1064</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1042</v>
      </c>
      <c r="AX125" s="2" t="str">
        <f t="shared" si="17"/>
        <v>Q16|CMMC 2.0</v>
      </c>
      <c r="AY125" s="13" t="s">
        <v>481</v>
      </c>
      <c r="AZ125" s="13" t="s">
        <v>1073</v>
      </c>
      <c r="BA125" s="2">
        <v>1</v>
      </c>
    </row>
    <row r="126" spans="42:53" x14ac:dyDescent="0.2">
      <c r="AP126" s="5"/>
      <c r="AV126" s="2" t="s">
        <v>729</v>
      </c>
      <c r="AW126" s="2" t="s">
        <v>711</v>
      </c>
      <c r="AX126" s="2" t="str">
        <f t="shared" si="17"/>
        <v>Q16|FISMA</v>
      </c>
      <c r="AY126" s="13" t="s">
        <v>482</v>
      </c>
      <c r="AZ126" s="13" t="s">
        <v>1073</v>
      </c>
      <c r="BA126" s="2">
        <v>1</v>
      </c>
    </row>
    <row r="127" spans="42:53" x14ac:dyDescent="0.2">
      <c r="AP127" s="5"/>
      <c r="AV127" s="2" t="s">
        <v>729</v>
      </c>
      <c r="AW127" s="2" t="s">
        <v>712</v>
      </c>
      <c r="AX127" s="2" t="str">
        <f t="shared" si="17"/>
        <v>Q16|FedRAMP</v>
      </c>
      <c r="AY127" s="13" t="s">
        <v>501</v>
      </c>
      <c r="AZ127" s="13" t="s">
        <v>1073</v>
      </c>
      <c r="BA127" s="2">
        <v>1</v>
      </c>
    </row>
    <row r="128" spans="42:53" x14ac:dyDescent="0.2">
      <c r="AP128" s="5"/>
      <c r="AV128" s="2" t="s">
        <v>729</v>
      </c>
      <c r="AW128" s="2" t="s">
        <v>1043</v>
      </c>
      <c r="AX128" s="2" t="str">
        <f t="shared" si="17"/>
        <v>Q16|ISO 27001</v>
      </c>
      <c r="AY128" s="13" t="s">
        <v>483</v>
      </c>
      <c r="AZ128" s="13" t="s">
        <v>1144</v>
      </c>
      <c r="BA128" s="2">
        <v>1</v>
      </c>
    </row>
    <row r="129" spans="42:57" x14ac:dyDescent="0.2">
      <c r="AP129" s="5"/>
      <c r="AV129" s="2" t="s">
        <v>729</v>
      </c>
      <c r="AW129" s="2" t="s">
        <v>713</v>
      </c>
      <c r="AX129" s="2" t="str">
        <f t="shared" si="17"/>
        <v>Q16|SOC2</v>
      </c>
      <c r="AY129" s="13" t="s">
        <v>484</v>
      </c>
      <c r="AZ129" s="13" t="s">
        <v>1194</v>
      </c>
      <c r="BA129" s="2">
        <v>1</v>
      </c>
      <c r="BE129" s="151" t="s">
        <v>1109</v>
      </c>
    </row>
    <row r="130" spans="42:57" x14ac:dyDescent="0.2">
      <c r="AP130" s="5"/>
      <c r="AV130" s="2" t="s">
        <v>729</v>
      </c>
      <c r="AW130" s="2" t="s">
        <v>1044</v>
      </c>
      <c r="AX130" s="2" t="str">
        <f t="shared" si="17"/>
        <v>Q16|CIS v8</v>
      </c>
      <c r="AY130" s="13" t="s">
        <v>1841</v>
      </c>
      <c r="AZ130" s="13" t="s">
        <v>1099</v>
      </c>
      <c r="BA130" s="2">
        <v>1</v>
      </c>
      <c r="BE130" s="151" t="s">
        <v>1109</v>
      </c>
    </row>
    <row r="131" spans="42:57" x14ac:dyDescent="0.2">
      <c r="AP131" s="5"/>
      <c r="AV131" s="2" t="s">
        <v>730</v>
      </c>
      <c r="AW131" s="2" t="s">
        <v>1041</v>
      </c>
      <c r="AX131" s="2" t="str">
        <f t="shared" si="17"/>
        <v>Q17|NIST CSF 2.0</v>
      </c>
      <c r="AY131" s="13" t="s">
        <v>480</v>
      </c>
      <c r="AZ131" s="13" t="s">
        <v>1064</v>
      </c>
      <c r="BA131" s="2">
        <v>0.8</v>
      </c>
      <c r="BE131" s="151" t="s">
        <v>1109</v>
      </c>
    </row>
    <row r="132" spans="42:57" x14ac:dyDescent="0.2">
      <c r="AP132" s="5"/>
      <c r="AV132" s="2" t="s">
        <v>730</v>
      </c>
      <c r="AW132" s="2" t="s">
        <v>710</v>
      </c>
      <c r="AX132" s="2" t="str">
        <f t="shared" ref="AX132:AX195" si="24">_xlfn.CONCAT(AV132,"|",AW132)</f>
        <v>Q17|NIST PQC</v>
      </c>
      <c r="AY132" s="13" t="s">
        <v>439</v>
      </c>
      <c r="AZ132" s="13" t="s">
        <v>439</v>
      </c>
      <c r="BA132" s="2"/>
      <c r="BE132" s="151" t="s">
        <v>1109</v>
      </c>
    </row>
    <row r="133" spans="42:57" x14ac:dyDescent="0.2">
      <c r="AP133" s="5"/>
      <c r="AV133" s="2" t="s">
        <v>730</v>
      </c>
      <c r="AW133" s="2" t="s">
        <v>1042</v>
      </c>
      <c r="AX133" s="2" t="str">
        <f t="shared" si="24"/>
        <v>Q17|CMMC 2.0</v>
      </c>
      <c r="AY133" s="13" t="s">
        <v>502</v>
      </c>
      <c r="AZ133" s="13" t="s">
        <v>1076</v>
      </c>
      <c r="BA133" s="2">
        <v>0.6</v>
      </c>
      <c r="BE133" s="151" t="s">
        <v>1109</v>
      </c>
    </row>
    <row r="134" spans="42:57" x14ac:dyDescent="0.2">
      <c r="AP134" s="5"/>
      <c r="AV134" s="2" t="s">
        <v>730</v>
      </c>
      <c r="AW134" s="2" t="s">
        <v>711</v>
      </c>
      <c r="AX134" s="2" t="str">
        <f t="shared" si="24"/>
        <v>Q17|FISMA</v>
      </c>
      <c r="AY134" s="13" t="s">
        <v>503</v>
      </c>
      <c r="AZ134" s="13" t="s">
        <v>1076</v>
      </c>
      <c r="BA134" s="2">
        <v>0.8</v>
      </c>
      <c r="BE134" s="151" t="s">
        <v>1109</v>
      </c>
    </row>
    <row r="135" spans="42:57" x14ac:dyDescent="0.2">
      <c r="AP135" s="5"/>
      <c r="AV135" s="2" t="s">
        <v>730</v>
      </c>
      <c r="AW135" s="2" t="s">
        <v>712</v>
      </c>
      <c r="AX135" s="2" t="str">
        <f t="shared" si="24"/>
        <v>Q17|FedRAMP</v>
      </c>
      <c r="AY135" s="13" t="s">
        <v>503</v>
      </c>
      <c r="AZ135" s="13" t="s">
        <v>1076</v>
      </c>
      <c r="BA135" s="2">
        <v>0.8</v>
      </c>
      <c r="BE135" s="151" t="s">
        <v>1109</v>
      </c>
    </row>
    <row r="136" spans="42:57" x14ac:dyDescent="0.2">
      <c r="AP136" s="5"/>
      <c r="AV136" s="2" t="s">
        <v>730</v>
      </c>
      <c r="AW136" s="2" t="s">
        <v>1043</v>
      </c>
      <c r="AX136" s="2" t="str">
        <f t="shared" si="24"/>
        <v>Q17|ISO 27001</v>
      </c>
      <c r="AY136" s="13" t="s">
        <v>483</v>
      </c>
      <c r="AZ136" s="13" t="s">
        <v>1144</v>
      </c>
      <c r="BA136" s="2">
        <v>0.6</v>
      </c>
      <c r="BE136" s="151" t="s">
        <v>1109</v>
      </c>
    </row>
    <row r="137" spans="42:57" x14ac:dyDescent="0.2">
      <c r="AP137" s="5"/>
      <c r="AV137" s="2" t="s">
        <v>730</v>
      </c>
      <c r="AW137" s="2" t="s">
        <v>713</v>
      </c>
      <c r="AX137" s="2" t="str">
        <f t="shared" si="24"/>
        <v>Q17|SOC2</v>
      </c>
      <c r="AY137" s="13" t="s">
        <v>484</v>
      </c>
      <c r="AZ137" s="13" t="s">
        <v>1194</v>
      </c>
      <c r="BA137" s="2">
        <v>0.6</v>
      </c>
      <c r="BE137" s="151" t="s">
        <v>1109</v>
      </c>
    </row>
    <row r="138" spans="42:57" x14ac:dyDescent="0.2">
      <c r="AP138" s="5"/>
      <c r="AV138" s="2" t="s">
        <v>730</v>
      </c>
      <c r="AW138" s="2" t="s">
        <v>1044</v>
      </c>
      <c r="AX138" s="2" t="str">
        <f t="shared" si="24"/>
        <v>Q17|CIS v8</v>
      </c>
      <c r="AY138" s="13" t="s">
        <v>1837</v>
      </c>
      <c r="AZ138" s="13" t="s">
        <v>1099</v>
      </c>
      <c r="BA138" s="2">
        <v>0.6</v>
      </c>
      <c r="BE138" s="151" t="s">
        <v>1109</v>
      </c>
    </row>
    <row r="139" spans="42:57" x14ac:dyDescent="0.2">
      <c r="AP139" s="5"/>
      <c r="AV139" s="2" t="s">
        <v>731</v>
      </c>
      <c r="AW139" s="2" t="s">
        <v>1041</v>
      </c>
      <c r="AX139" s="2" t="str">
        <f t="shared" si="24"/>
        <v>Q18|NIST CSF 2.0</v>
      </c>
      <c r="AY139" s="13" t="s">
        <v>480</v>
      </c>
      <c r="AZ139" s="13" t="s">
        <v>1064</v>
      </c>
      <c r="BA139" s="2">
        <v>1</v>
      </c>
      <c r="BE139" s="151" t="s">
        <v>1109</v>
      </c>
    </row>
    <row r="140" spans="42:57" x14ac:dyDescent="0.2">
      <c r="AP140" s="5"/>
      <c r="AV140" s="2" t="s">
        <v>731</v>
      </c>
      <c r="AW140" s="2" t="s">
        <v>710</v>
      </c>
      <c r="AX140" s="2" t="str">
        <f t="shared" si="24"/>
        <v>Q18|NIST PQC</v>
      </c>
      <c r="AY140" s="13" t="s">
        <v>439</v>
      </c>
      <c r="AZ140" s="13" t="s">
        <v>439</v>
      </c>
      <c r="BA140" s="2"/>
      <c r="BE140" s="151" t="s">
        <v>1109</v>
      </c>
    </row>
    <row r="141" spans="42:57" x14ac:dyDescent="0.2">
      <c r="AP141" s="5"/>
      <c r="AV141" s="2" t="s">
        <v>731</v>
      </c>
      <c r="AW141" s="2" t="s">
        <v>1042</v>
      </c>
      <c r="AX141" s="2" t="str">
        <f t="shared" si="24"/>
        <v>Q18|CMMC 2.0</v>
      </c>
      <c r="AY141" s="13" t="s">
        <v>481</v>
      </c>
      <c r="AZ141" s="13" t="s">
        <v>1073</v>
      </c>
      <c r="BA141" s="2">
        <v>0.8</v>
      </c>
      <c r="BE141" s="151" t="s">
        <v>1109</v>
      </c>
    </row>
    <row r="142" spans="42:57" x14ac:dyDescent="0.2">
      <c r="AP142" s="5"/>
      <c r="AV142" s="2" t="s">
        <v>731</v>
      </c>
      <c r="AW142" s="2" t="s">
        <v>711</v>
      </c>
      <c r="AX142" s="2" t="str">
        <f t="shared" si="24"/>
        <v>Q18|FISMA</v>
      </c>
      <c r="AY142" s="13" t="s">
        <v>499</v>
      </c>
      <c r="AZ142" s="13" t="s">
        <v>1075</v>
      </c>
      <c r="BA142" s="2">
        <v>1</v>
      </c>
      <c r="BE142" s="151" t="s">
        <v>1109</v>
      </c>
    </row>
    <row r="143" spans="42:57" x14ac:dyDescent="0.2">
      <c r="AP143" s="5"/>
      <c r="AV143" s="2" t="s">
        <v>731</v>
      </c>
      <c r="AW143" s="2" t="s">
        <v>712</v>
      </c>
      <c r="AX143" s="2" t="str">
        <f t="shared" si="24"/>
        <v>Q18|FedRAMP</v>
      </c>
      <c r="AY143" s="13" t="s">
        <v>499</v>
      </c>
      <c r="AZ143" s="13" t="s">
        <v>1075</v>
      </c>
      <c r="BA143" s="2">
        <v>1</v>
      </c>
      <c r="BE143" s="151" t="s">
        <v>1109</v>
      </c>
    </row>
    <row r="144" spans="42:57" x14ac:dyDescent="0.2">
      <c r="AP144" s="5"/>
      <c r="AV144" s="2" t="s">
        <v>731</v>
      </c>
      <c r="AW144" s="2" t="s">
        <v>1043</v>
      </c>
      <c r="AX144" s="2" t="str">
        <f t="shared" si="24"/>
        <v>Q18|ISO 27001</v>
      </c>
      <c r="AY144" s="13" t="s">
        <v>483</v>
      </c>
      <c r="AZ144" s="13" t="s">
        <v>1144</v>
      </c>
      <c r="BA144" s="2">
        <v>0.8</v>
      </c>
      <c r="BE144" s="151" t="s">
        <v>1109</v>
      </c>
    </row>
    <row r="145" spans="42:57" x14ac:dyDescent="0.2">
      <c r="AP145" s="5"/>
      <c r="AV145" s="2" t="s">
        <v>731</v>
      </c>
      <c r="AW145" s="2" t="s">
        <v>713</v>
      </c>
      <c r="AX145" s="2" t="str">
        <f t="shared" si="24"/>
        <v>Q18|SOC2</v>
      </c>
      <c r="AY145" s="13" t="s">
        <v>484</v>
      </c>
      <c r="AZ145" s="13" t="s">
        <v>1194</v>
      </c>
      <c r="BA145" s="2">
        <v>0.8</v>
      </c>
      <c r="BE145" s="151" t="s">
        <v>1109</v>
      </c>
    </row>
    <row r="146" spans="42:57" x14ac:dyDescent="0.2">
      <c r="AP146" s="5"/>
      <c r="AV146" s="2" t="s">
        <v>731</v>
      </c>
      <c r="AW146" s="2" t="s">
        <v>1044</v>
      </c>
      <c r="AX146" s="2" t="str">
        <f t="shared" si="24"/>
        <v>Q18|CIS v8</v>
      </c>
      <c r="AY146" s="13" t="s">
        <v>1842</v>
      </c>
      <c r="AZ146" s="13" t="s">
        <v>1099</v>
      </c>
      <c r="BA146" s="2">
        <v>0.8</v>
      </c>
      <c r="BE146" s="151" t="s">
        <v>1109</v>
      </c>
    </row>
    <row r="147" spans="42:57" x14ac:dyDescent="0.2">
      <c r="AP147" s="5"/>
      <c r="AV147" s="2" t="s">
        <v>732</v>
      </c>
      <c r="AW147" s="2" t="s">
        <v>1041</v>
      </c>
      <c r="AX147" s="2" t="str">
        <f t="shared" si="24"/>
        <v>Q19|NIST CSF 2.0</v>
      </c>
      <c r="AY147" s="13" t="s">
        <v>480</v>
      </c>
      <c r="AZ147" s="13" t="s">
        <v>1064</v>
      </c>
      <c r="BA147" s="2">
        <v>1</v>
      </c>
      <c r="BE147" s="151" t="s">
        <v>1109</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1042</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1076</v>
      </c>
      <c r="BA150" s="2">
        <v>1</v>
      </c>
    </row>
    <row r="151" spans="42:57" x14ac:dyDescent="0.2">
      <c r="AP151" s="5"/>
      <c r="AV151" s="2" t="s">
        <v>732</v>
      </c>
      <c r="AW151" s="2" t="s">
        <v>712</v>
      </c>
      <c r="AX151" s="2" t="str">
        <f t="shared" si="24"/>
        <v>Q19|FedRAMP</v>
      </c>
      <c r="AY151" s="13" t="s">
        <v>505</v>
      </c>
      <c r="AZ151" s="13" t="s">
        <v>1076</v>
      </c>
      <c r="BA151" s="2">
        <v>1</v>
      </c>
    </row>
    <row r="152" spans="42:57" x14ac:dyDescent="0.2">
      <c r="AP152" s="5"/>
      <c r="AV152" s="2" t="s">
        <v>732</v>
      </c>
      <c r="AW152" s="2" t="s">
        <v>1043</v>
      </c>
      <c r="AX152" s="2" t="str">
        <f t="shared" si="24"/>
        <v>Q19|ISO 27001</v>
      </c>
      <c r="AY152" s="13" t="s">
        <v>506</v>
      </c>
      <c r="AZ152" s="13" t="s">
        <v>1150</v>
      </c>
      <c r="BA152" s="2">
        <v>1</v>
      </c>
    </row>
    <row r="153" spans="42:57" x14ac:dyDescent="0.2">
      <c r="AP153" s="5"/>
      <c r="AV153" s="2" t="s">
        <v>732</v>
      </c>
      <c r="AW153" s="2" t="s">
        <v>713</v>
      </c>
      <c r="AX153" s="2" t="str">
        <f t="shared" si="24"/>
        <v>Q19|SOC2</v>
      </c>
      <c r="AY153" s="13" t="s">
        <v>484</v>
      </c>
      <c r="AZ153" s="13" t="s">
        <v>1194</v>
      </c>
      <c r="BA153" s="2">
        <v>1</v>
      </c>
    </row>
    <row r="154" spans="42:57" x14ac:dyDescent="0.2">
      <c r="AP154" s="5"/>
      <c r="AV154" s="2" t="s">
        <v>732</v>
      </c>
      <c r="AW154" s="2" t="s">
        <v>1044</v>
      </c>
      <c r="AX154" s="2" t="str">
        <f t="shared" si="24"/>
        <v>Q19|CIS v8</v>
      </c>
      <c r="AY154" s="13" t="s">
        <v>1838</v>
      </c>
      <c r="AZ154" s="13" t="s">
        <v>1088</v>
      </c>
      <c r="BA154" s="2">
        <v>1</v>
      </c>
    </row>
    <row r="155" spans="42:57" x14ac:dyDescent="0.2">
      <c r="AP155" s="5"/>
      <c r="AV155" s="2" t="s">
        <v>733</v>
      </c>
      <c r="AW155" s="2" t="s">
        <v>1041</v>
      </c>
      <c r="AX155" s="2" t="str">
        <f t="shared" si="24"/>
        <v>Q20|NIST CSF 2.0</v>
      </c>
      <c r="AY155" s="13" t="s">
        <v>480</v>
      </c>
      <c r="AZ155" s="13" t="s">
        <v>1064</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1042</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1076</v>
      </c>
      <c r="BA158" s="2">
        <v>1</v>
      </c>
    </row>
    <row r="159" spans="42:57" x14ac:dyDescent="0.2">
      <c r="AP159" s="5"/>
      <c r="AV159" s="2" t="s">
        <v>733</v>
      </c>
      <c r="AW159" s="2" t="s">
        <v>712</v>
      </c>
      <c r="AX159" s="2" t="str">
        <f t="shared" si="24"/>
        <v>Q20|FedRAMP</v>
      </c>
      <c r="AY159" s="13" t="s">
        <v>505</v>
      </c>
      <c r="AZ159" s="13" t="s">
        <v>1076</v>
      </c>
      <c r="BA159" s="2">
        <v>1</v>
      </c>
    </row>
    <row r="160" spans="42:57" x14ac:dyDescent="0.2">
      <c r="AP160" s="5"/>
      <c r="AV160" s="2" t="s">
        <v>733</v>
      </c>
      <c r="AW160" s="2" t="s">
        <v>1043</v>
      </c>
      <c r="AX160" s="2" t="str">
        <f t="shared" si="24"/>
        <v>Q20|ISO 27001</v>
      </c>
      <c r="AY160" s="13" t="s">
        <v>506</v>
      </c>
      <c r="AZ160" s="13" t="s">
        <v>1150</v>
      </c>
      <c r="BA160" s="2">
        <v>0.8</v>
      </c>
    </row>
    <row r="161" spans="42:53" x14ac:dyDescent="0.2">
      <c r="AP161" s="5"/>
      <c r="AV161" s="2" t="s">
        <v>733</v>
      </c>
      <c r="AW161" s="2" t="s">
        <v>713</v>
      </c>
      <c r="AX161" s="2" t="str">
        <f t="shared" si="24"/>
        <v>Q20|SOC2</v>
      </c>
      <c r="AY161" s="13" t="s">
        <v>484</v>
      </c>
      <c r="AZ161" s="13" t="s">
        <v>1194</v>
      </c>
      <c r="BA161" s="2">
        <v>0.8</v>
      </c>
    </row>
    <row r="162" spans="42:53" x14ac:dyDescent="0.2">
      <c r="AP162" s="5"/>
      <c r="AV162" s="2" t="s">
        <v>733</v>
      </c>
      <c r="AW162" s="2" t="s">
        <v>1044</v>
      </c>
      <c r="AX162" s="2" t="str">
        <f t="shared" si="24"/>
        <v>Q20|CIS v8</v>
      </c>
      <c r="AY162" s="13" t="s">
        <v>1843</v>
      </c>
      <c r="AZ162" s="13" t="s">
        <v>1088</v>
      </c>
      <c r="BA162" s="2">
        <v>1</v>
      </c>
    </row>
    <row r="163" spans="42:53" x14ac:dyDescent="0.2">
      <c r="AP163" s="5"/>
      <c r="AV163" s="2" t="s">
        <v>734</v>
      </c>
      <c r="AW163" s="2" t="s">
        <v>1041</v>
      </c>
      <c r="AX163" s="2" t="str">
        <f t="shared" si="24"/>
        <v>Q21|NIST CSF 2.0</v>
      </c>
      <c r="AY163" s="13" t="s">
        <v>508</v>
      </c>
      <c r="AZ163" s="13" t="s">
        <v>1064</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1042</v>
      </c>
      <c r="AX165" s="2" t="str">
        <f t="shared" si="24"/>
        <v>Q21|CMMC 2.0</v>
      </c>
      <c r="AY165" s="13" t="s">
        <v>468</v>
      </c>
      <c r="AZ165" s="13" t="s">
        <v>1073</v>
      </c>
      <c r="BA165" s="2">
        <v>1</v>
      </c>
    </row>
    <row r="166" spans="42:53" x14ac:dyDescent="0.2">
      <c r="AP166" s="5"/>
      <c r="AV166" s="2" t="s">
        <v>734</v>
      </c>
      <c r="AW166" s="2" t="s">
        <v>711</v>
      </c>
      <c r="AX166" s="2" t="str">
        <f t="shared" si="24"/>
        <v>Q21|FISMA</v>
      </c>
      <c r="AY166" s="13" t="s">
        <v>490</v>
      </c>
      <c r="AZ166" s="13" t="s">
        <v>1073</v>
      </c>
      <c r="BA166" s="2">
        <v>1</v>
      </c>
    </row>
    <row r="167" spans="42:53" x14ac:dyDescent="0.2">
      <c r="AP167" s="5"/>
      <c r="AV167" s="2" t="s">
        <v>734</v>
      </c>
      <c r="AW167" s="2" t="s">
        <v>712</v>
      </c>
      <c r="AX167" s="2" t="str">
        <f t="shared" si="24"/>
        <v>Q21|FedRAMP</v>
      </c>
      <c r="AY167" s="13" t="s">
        <v>490</v>
      </c>
      <c r="AZ167" s="13" t="s">
        <v>1073</v>
      </c>
      <c r="BA167" s="2">
        <v>1</v>
      </c>
    </row>
    <row r="168" spans="42:53" x14ac:dyDescent="0.2">
      <c r="AP168" s="5"/>
      <c r="AV168" s="2" t="s">
        <v>734</v>
      </c>
      <c r="AW168" s="2" t="s">
        <v>1043</v>
      </c>
      <c r="AX168" s="2" t="str">
        <f t="shared" si="24"/>
        <v>Q21|ISO 27001</v>
      </c>
      <c r="AY168" s="13" t="s">
        <v>509</v>
      </c>
      <c r="AZ168" s="13" t="s">
        <v>1137</v>
      </c>
      <c r="BA168" s="2">
        <v>1</v>
      </c>
    </row>
    <row r="169" spans="42:53" x14ac:dyDescent="0.2">
      <c r="AP169" s="5"/>
      <c r="AV169" s="2" t="s">
        <v>734</v>
      </c>
      <c r="AW169" s="2" t="s">
        <v>713</v>
      </c>
      <c r="AX169" s="2" t="str">
        <f t="shared" si="24"/>
        <v>Q21|SOC2</v>
      </c>
      <c r="AY169" s="13" t="s">
        <v>470</v>
      </c>
      <c r="AZ169" s="13" t="s">
        <v>1192</v>
      </c>
      <c r="BA169" s="2">
        <v>1</v>
      </c>
    </row>
    <row r="170" spans="42:53" x14ac:dyDescent="0.2">
      <c r="AP170" s="5"/>
      <c r="AV170" s="2" t="s">
        <v>734</v>
      </c>
      <c r="AW170" s="2" t="s">
        <v>1044</v>
      </c>
      <c r="AX170" s="2" t="str">
        <f t="shared" si="24"/>
        <v>Q21|CIS v8</v>
      </c>
      <c r="AY170" s="13" t="s">
        <v>1844</v>
      </c>
      <c r="AZ170" s="13" t="s">
        <v>1092</v>
      </c>
      <c r="BA170" s="2">
        <v>0.8</v>
      </c>
    </row>
    <row r="171" spans="42:53" x14ac:dyDescent="0.2">
      <c r="AP171" s="5"/>
      <c r="AV171" s="2" t="s">
        <v>735</v>
      </c>
      <c r="AW171" s="2" t="s">
        <v>1041</v>
      </c>
      <c r="AX171" s="2" t="str">
        <f t="shared" si="24"/>
        <v>Q22|NIST CSF 2.0</v>
      </c>
      <c r="AY171" s="13" t="s">
        <v>487</v>
      </c>
      <c r="AZ171" s="13" t="s">
        <v>1064</v>
      </c>
      <c r="BA171" s="2">
        <v>1</v>
      </c>
    </row>
    <row r="172" spans="42:53" x14ac:dyDescent="0.2">
      <c r="AP172" s="5"/>
      <c r="AV172" s="2" t="s">
        <v>735</v>
      </c>
      <c r="AW172" s="2" t="s">
        <v>710</v>
      </c>
      <c r="AX172" s="2" t="str">
        <f t="shared" si="24"/>
        <v>Q22|NIST PQC</v>
      </c>
      <c r="AY172" s="13" t="s">
        <v>510</v>
      </c>
      <c r="AZ172" s="13" t="s">
        <v>1094</v>
      </c>
      <c r="BA172" s="2">
        <v>1</v>
      </c>
    </row>
    <row r="173" spans="42:53" x14ac:dyDescent="0.2">
      <c r="AP173" s="5"/>
      <c r="AV173" s="2" t="s">
        <v>735</v>
      </c>
      <c r="AW173" s="2" t="s">
        <v>1042</v>
      </c>
      <c r="AX173" s="2" t="str">
        <f t="shared" si="24"/>
        <v>Q22|CMMC 2.0</v>
      </c>
      <c r="AY173" s="13" t="s">
        <v>489</v>
      </c>
      <c r="AZ173" s="13" t="s">
        <v>1073</v>
      </c>
      <c r="BA173" s="2">
        <v>0.8</v>
      </c>
    </row>
    <row r="174" spans="42:53" x14ac:dyDescent="0.2">
      <c r="AP174" s="5"/>
      <c r="AV174" s="2" t="s">
        <v>735</v>
      </c>
      <c r="AW174" s="2" t="s">
        <v>711</v>
      </c>
      <c r="AX174" s="2" t="str">
        <f t="shared" si="24"/>
        <v>Q22|FISMA</v>
      </c>
      <c r="AY174" s="13" t="s">
        <v>490</v>
      </c>
      <c r="AZ174" s="13" t="s">
        <v>1073</v>
      </c>
      <c r="BA174" s="2">
        <v>1</v>
      </c>
    </row>
    <row r="175" spans="42:53" x14ac:dyDescent="0.2">
      <c r="AP175" s="5"/>
      <c r="AV175" s="2" t="s">
        <v>735</v>
      </c>
      <c r="AW175" s="2" t="s">
        <v>712</v>
      </c>
      <c r="AX175" s="2" t="str">
        <f t="shared" si="24"/>
        <v>Q22|FedRAMP</v>
      </c>
      <c r="AY175" s="13" t="s">
        <v>490</v>
      </c>
      <c r="AZ175" s="13" t="s">
        <v>1073</v>
      </c>
      <c r="BA175" s="2">
        <v>1</v>
      </c>
    </row>
    <row r="176" spans="42:53" x14ac:dyDescent="0.2">
      <c r="AP176" s="5"/>
      <c r="AV176" s="2" t="s">
        <v>735</v>
      </c>
      <c r="AW176" s="2" t="s">
        <v>1043</v>
      </c>
      <c r="AX176" s="2" t="str">
        <f t="shared" si="24"/>
        <v>Q22|ISO 27001</v>
      </c>
      <c r="AY176" s="13" t="s">
        <v>509</v>
      </c>
      <c r="AZ176" s="13" t="s">
        <v>1137</v>
      </c>
      <c r="BA176" s="2">
        <v>0.8</v>
      </c>
    </row>
    <row r="177" spans="42:53" x14ac:dyDescent="0.2">
      <c r="AP177" s="5"/>
      <c r="AV177" s="2" t="s">
        <v>735</v>
      </c>
      <c r="AW177" s="2" t="s">
        <v>713</v>
      </c>
      <c r="AX177" s="2" t="str">
        <f t="shared" si="24"/>
        <v>Q22|SOC2</v>
      </c>
      <c r="AY177" s="13" t="s">
        <v>470</v>
      </c>
      <c r="AZ177" s="13" t="s">
        <v>1192</v>
      </c>
      <c r="BA177" s="2">
        <v>0.8</v>
      </c>
    </row>
    <row r="178" spans="42:53" x14ac:dyDescent="0.2">
      <c r="AP178" s="5"/>
      <c r="AV178" s="2" t="s">
        <v>735</v>
      </c>
      <c r="AW178" s="2" t="s">
        <v>1044</v>
      </c>
      <c r="AX178" s="2" t="str">
        <f t="shared" si="24"/>
        <v>Q22|CIS v8</v>
      </c>
      <c r="AY178" s="13" t="s">
        <v>1844</v>
      </c>
      <c r="AZ178" s="13" t="s">
        <v>1092</v>
      </c>
      <c r="BA178" s="2">
        <v>0.6</v>
      </c>
    </row>
    <row r="179" spans="42:53" x14ac:dyDescent="0.2">
      <c r="AP179" s="5"/>
      <c r="AV179" s="2" t="s">
        <v>736</v>
      </c>
      <c r="AW179" s="2" t="s">
        <v>1041</v>
      </c>
      <c r="AX179" s="2" t="str">
        <f t="shared" si="24"/>
        <v>Q23|NIST CSF 2.0</v>
      </c>
      <c r="AY179" s="13" t="s">
        <v>511</v>
      </c>
      <c r="AZ179" s="13" t="s">
        <v>1064</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1042</v>
      </c>
      <c r="AX181" s="2" t="str">
        <f t="shared" si="24"/>
        <v>Q23|CMMC 2.0</v>
      </c>
      <c r="AY181" s="13" t="s">
        <v>468</v>
      </c>
      <c r="AZ181" s="13" t="s">
        <v>1073</v>
      </c>
      <c r="BA181" s="2">
        <v>1</v>
      </c>
    </row>
    <row r="182" spans="42:53" x14ac:dyDescent="0.2">
      <c r="AP182" s="5"/>
      <c r="AV182" s="2" t="s">
        <v>736</v>
      </c>
      <c r="AW182" s="2" t="s">
        <v>711</v>
      </c>
      <c r="AX182" s="2" t="str">
        <f t="shared" si="24"/>
        <v>Q23|FISMA</v>
      </c>
      <c r="AY182" s="13" t="s">
        <v>490</v>
      </c>
      <c r="AZ182" s="13" t="s">
        <v>1073</v>
      </c>
      <c r="BA182" s="2">
        <v>1</v>
      </c>
    </row>
    <row r="183" spans="42:53" x14ac:dyDescent="0.2">
      <c r="AP183" s="5"/>
      <c r="AV183" s="2" t="s">
        <v>736</v>
      </c>
      <c r="AW183" s="2" t="s">
        <v>712</v>
      </c>
      <c r="AX183" s="2" t="str">
        <f t="shared" si="24"/>
        <v>Q23|FedRAMP</v>
      </c>
      <c r="AY183" s="13" t="s">
        <v>512</v>
      </c>
      <c r="AZ183" s="13" t="s">
        <v>1073</v>
      </c>
      <c r="BA183" s="2">
        <v>1</v>
      </c>
    </row>
    <row r="184" spans="42:53" x14ac:dyDescent="0.2">
      <c r="AP184" s="5"/>
      <c r="AV184" s="2" t="s">
        <v>736</v>
      </c>
      <c r="AW184" s="2" t="s">
        <v>1043</v>
      </c>
      <c r="AX184" s="2" t="str">
        <f t="shared" si="24"/>
        <v>Q23|ISO 27001</v>
      </c>
      <c r="AY184" s="13" t="s">
        <v>513</v>
      </c>
      <c r="AZ184" s="13" t="s">
        <v>1138</v>
      </c>
      <c r="BA184" s="2">
        <v>1</v>
      </c>
    </row>
    <row r="185" spans="42:53" x14ac:dyDescent="0.2">
      <c r="AP185" s="5"/>
      <c r="AV185" s="2" t="s">
        <v>736</v>
      </c>
      <c r="AW185" s="2" t="s">
        <v>713</v>
      </c>
      <c r="AX185" s="2" t="str">
        <f t="shared" si="24"/>
        <v>Q23|SOC2</v>
      </c>
      <c r="AY185" s="13" t="s">
        <v>514</v>
      </c>
      <c r="AZ185" s="13" t="s">
        <v>1192</v>
      </c>
      <c r="BA185" s="2">
        <v>1</v>
      </c>
    </row>
    <row r="186" spans="42:53" x14ac:dyDescent="0.2">
      <c r="AP186" s="5"/>
      <c r="AV186" s="2" t="s">
        <v>736</v>
      </c>
      <c r="AW186" s="2" t="s">
        <v>1044</v>
      </c>
      <c r="AX186" s="2" t="str">
        <f t="shared" si="24"/>
        <v>Q23|CIS v8</v>
      </c>
      <c r="AY186" s="13" t="s">
        <v>1845</v>
      </c>
      <c r="AZ186" s="13" t="s">
        <v>1092</v>
      </c>
      <c r="BA186" s="2">
        <v>0.8</v>
      </c>
    </row>
    <row r="187" spans="42:53" x14ac:dyDescent="0.2">
      <c r="AP187" s="5"/>
      <c r="AV187" s="2" t="s">
        <v>737</v>
      </c>
      <c r="AW187" s="2" t="s">
        <v>1041</v>
      </c>
      <c r="AX187" s="2" t="str">
        <f t="shared" si="24"/>
        <v>Q24|NIST CSF 2.0</v>
      </c>
      <c r="AY187" s="13" t="s">
        <v>515</v>
      </c>
      <c r="AZ187" s="13" t="s">
        <v>1064</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1042</v>
      </c>
      <c r="AX189" s="2" t="str">
        <f t="shared" si="24"/>
        <v>Q24|CMMC 2.0</v>
      </c>
      <c r="AY189" s="13" t="s">
        <v>468</v>
      </c>
      <c r="AZ189" s="13" t="s">
        <v>1073</v>
      </c>
      <c r="BA189" s="2">
        <v>0.8</v>
      </c>
    </row>
    <row r="190" spans="42:53" x14ac:dyDescent="0.2">
      <c r="AP190" s="5"/>
      <c r="AV190" s="2" t="s">
        <v>737</v>
      </c>
      <c r="AW190" s="2" t="s">
        <v>711</v>
      </c>
      <c r="AX190" s="2" t="str">
        <f t="shared" si="24"/>
        <v>Q24|FISMA</v>
      </c>
      <c r="AY190" s="13" t="s">
        <v>516</v>
      </c>
      <c r="AZ190" s="13" t="s">
        <v>1077</v>
      </c>
      <c r="BA190" s="2">
        <v>1</v>
      </c>
    </row>
    <row r="191" spans="42:53" x14ac:dyDescent="0.2">
      <c r="AP191" s="5"/>
      <c r="AV191" s="2" t="s">
        <v>737</v>
      </c>
      <c r="AW191" s="2" t="s">
        <v>712</v>
      </c>
      <c r="AX191" s="2" t="str">
        <f t="shared" si="24"/>
        <v>Q24|FedRAMP</v>
      </c>
      <c r="AY191" s="13" t="s">
        <v>516</v>
      </c>
      <c r="AZ191" s="13" t="s">
        <v>1077</v>
      </c>
      <c r="BA191" s="2">
        <v>1</v>
      </c>
    </row>
    <row r="192" spans="42:53" x14ac:dyDescent="0.2">
      <c r="AP192" s="5"/>
      <c r="AV192" s="2" t="s">
        <v>737</v>
      </c>
      <c r="AW192" s="2" t="s">
        <v>1043</v>
      </c>
      <c r="AX192" s="2" t="str">
        <f t="shared" si="24"/>
        <v>Q24|ISO 27001</v>
      </c>
      <c r="AY192" s="13" t="s">
        <v>517</v>
      </c>
      <c r="AZ192" s="13" t="s">
        <v>1138</v>
      </c>
      <c r="BA192" s="2">
        <v>1</v>
      </c>
    </row>
    <row r="193" spans="42:53" x14ac:dyDescent="0.2">
      <c r="AP193" s="5"/>
      <c r="AV193" s="2" t="s">
        <v>737</v>
      </c>
      <c r="AW193" s="2" t="s">
        <v>713</v>
      </c>
      <c r="AX193" s="2" t="str">
        <f t="shared" si="24"/>
        <v>Q24|SOC2</v>
      </c>
      <c r="AY193" s="13" t="s">
        <v>470</v>
      </c>
      <c r="AZ193" s="13" t="s">
        <v>1192</v>
      </c>
      <c r="BA193" s="2">
        <v>1</v>
      </c>
    </row>
    <row r="194" spans="42:53" x14ac:dyDescent="0.2">
      <c r="AP194" s="5"/>
      <c r="AV194" s="2" t="s">
        <v>737</v>
      </c>
      <c r="AW194" s="2" t="s">
        <v>1044</v>
      </c>
      <c r="AX194" s="2" t="str">
        <f t="shared" si="24"/>
        <v>Q24|CIS v8</v>
      </c>
      <c r="AY194" s="13" t="s">
        <v>1844</v>
      </c>
      <c r="AZ194" s="13" t="s">
        <v>1092</v>
      </c>
      <c r="BA194" s="2">
        <v>0.8</v>
      </c>
    </row>
    <row r="195" spans="42:53" x14ac:dyDescent="0.2">
      <c r="AP195" s="5"/>
      <c r="AV195" s="2" t="s">
        <v>738</v>
      </c>
      <c r="AW195" s="2" t="s">
        <v>1041</v>
      </c>
      <c r="AX195" s="2" t="str">
        <f t="shared" si="24"/>
        <v>Q25|NIST CSF 2.0</v>
      </c>
      <c r="AY195" s="13" t="s">
        <v>518</v>
      </c>
      <c r="AZ195" s="13" t="s">
        <v>1066</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1042</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1076</v>
      </c>
      <c r="BA198" s="2">
        <v>1</v>
      </c>
    </row>
    <row r="199" spans="42:53" x14ac:dyDescent="0.2">
      <c r="AP199" s="5"/>
      <c r="AV199" s="2" t="s">
        <v>738</v>
      </c>
      <c r="AW199" s="2" t="s">
        <v>712</v>
      </c>
      <c r="AX199" s="2" t="str">
        <f t="shared" si="25"/>
        <v>Q25|FedRAMP</v>
      </c>
      <c r="AY199" s="13" t="s">
        <v>520</v>
      </c>
      <c r="AZ199" s="13" t="s">
        <v>1076</v>
      </c>
      <c r="BA199" s="2">
        <v>1</v>
      </c>
    </row>
    <row r="200" spans="42:53" x14ac:dyDescent="0.2">
      <c r="AP200" s="5"/>
      <c r="AV200" s="2" t="s">
        <v>738</v>
      </c>
      <c r="AW200" s="2" t="s">
        <v>1043</v>
      </c>
      <c r="AX200" s="2" t="str">
        <f t="shared" si="25"/>
        <v>Q25|ISO 27001</v>
      </c>
      <c r="AY200" s="13" t="s">
        <v>521</v>
      </c>
      <c r="AZ200" s="13" t="s">
        <v>1148</v>
      </c>
      <c r="BA200" s="2">
        <v>1</v>
      </c>
    </row>
    <row r="201" spans="42:53" x14ac:dyDescent="0.2">
      <c r="AP201" s="5"/>
      <c r="AV201" s="2" t="s">
        <v>738</v>
      </c>
      <c r="AW201" s="2" t="s">
        <v>713</v>
      </c>
      <c r="AX201" s="2" t="str">
        <f t="shared" si="25"/>
        <v>Q25|SOC2</v>
      </c>
      <c r="AY201" s="13" t="s">
        <v>522</v>
      </c>
      <c r="AZ201" s="13" t="s">
        <v>1194</v>
      </c>
      <c r="BA201" s="2">
        <v>1</v>
      </c>
    </row>
    <row r="202" spans="42:53" x14ac:dyDescent="0.2">
      <c r="AP202" s="5"/>
      <c r="AV202" s="2" t="s">
        <v>738</v>
      </c>
      <c r="AW202" s="2" t="s">
        <v>1044</v>
      </c>
      <c r="AX202" s="2" t="str">
        <f t="shared" si="25"/>
        <v>Q25|CIS v8</v>
      </c>
      <c r="AY202" s="13" t="s">
        <v>1846</v>
      </c>
      <c r="AZ202" s="13" t="s">
        <v>1099</v>
      </c>
      <c r="BA202" s="2">
        <v>1</v>
      </c>
    </row>
    <row r="203" spans="42:53" x14ac:dyDescent="0.2">
      <c r="AP203" s="5"/>
      <c r="AV203" s="2" t="s">
        <v>739</v>
      </c>
      <c r="AW203" s="2" t="s">
        <v>1041</v>
      </c>
      <c r="AX203" s="2" t="str">
        <f t="shared" si="25"/>
        <v>Q26|NIST CSF 2.0</v>
      </c>
      <c r="AY203" s="13" t="s">
        <v>523</v>
      </c>
      <c r="AZ203" s="13" t="s">
        <v>1064</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1042</v>
      </c>
      <c r="AX205" s="2" t="str">
        <f t="shared" si="25"/>
        <v>Q26|CMMC 2.0</v>
      </c>
      <c r="AY205" s="13" t="s">
        <v>468</v>
      </c>
      <c r="AZ205" s="13" t="s">
        <v>1073</v>
      </c>
      <c r="BA205" s="2">
        <v>0.8</v>
      </c>
    </row>
    <row r="206" spans="42:53" x14ac:dyDescent="0.2">
      <c r="AP206" s="5"/>
      <c r="AV206" s="2" t="s">
        <v>739</v>
      </c>
      <c r="AW206" s="2" t="s">
        <v>711</v>
      </c>
      <c r="AX206" s="2" t="str">
        <f t="shared" si="25"/>
        <v>Q26|FISMA</v>
      </c>
      <c r="AY206" s="13" t="s">
        <v>490</v>
      </c>
      <c r="AZ206" s="13" t="s">
        <v>1073</v>
      </c>
      <c r="BA206" s="2">
        <v>1</v>
      </c>
    </row>
    <row r="207" spans="42:53" x14ac:dyDescent="0.2">
      <c r="AP207" s="5"/>
      <c r="AV207" s="2" t="s">
        <v>739</v>
      </c>
      <c r="AW207" s="2" t="s">
        <v>712</v>
      </c>
      <c r="AX207" s="2" t="str">
        <f t="shared" si="25"/>
        <v>Q26|FedRAMP</v>
      </c>
      <c r="AY207" s="13" t="s">
        <v>524</v>
      </c>
      <c r="AZ207" s="13" t="s">
        <v>1073</v>
      </c>
      <c r="BA207" s="2">
        <v>1</v>
      </c>
    </row>
    <row r="208" spans="42:53" x14ac:dyDescent="0.2">
      <c r="AP208" s="5"/>
      <c r="AV208" s="2" t="s">
        <v>739</v>
      </c>
      <c r="AW208" s="2" t="s">
        <v>1043</v>
      </c>
      <c r="AX208" s="2" t="str">
        <f t="shared" si="25"/>
        <v>Q26|ISO 27001</v>
      </c>
      <c r="AY208" s="13" t="s">
        <v>513</v>
      </c>
      <c r="AZ208" s="13" t="s">
        <v>1138</v>
      </c>
      <c r="BA208" s="2">
        <v>1</v>
      </c>
    </row>
    <row r="209" spans="42:53" x14ac:dyDescent="0.2">
      <c r="AP209" s="5"/>
      <c r="AV209" s="2" t="s">
        <v>739</v>
      </c>
      <c r="AW209" s="2" t="s">
        <v>713</v>
      </c>
      <c r="AX209" s="2" t="str">
        <f t="shared" si="25"/>
        <v>Q26|SOC2</v>
      </c>
      <c r="AY209" s="13" t="s">
        <v>514</v>
      </c>
      <c r="AZ209" s="13" t="s">
        <v>1192</v>
      </c>
      <c r="BA209" s="2">
        <v>1</v>
      </c>
    </row>
    <row r="210" spans="42:53" x14ac:dyDescent="0.2">
      <c r="AP210" s="5"/>
      <c r="AV210" s="2" t="s">
        <v>739</v>
      </c>
      <c r="AW210" s="2" t="s">
        <v>1044</v>
      </c>
      <c r="AX210" s="2" t="str">
        <f t="shared" si="25"/>
        <v>Q26|CIS v8</v>
      </c>
      <c r="AY210" s="13" t="s">
        <v>1845</v>
      </c>
      <c r="AZ210" s="13" t="s">
        <v>1092</v>
      </c>
      <c r="BA210" s="2">
        <v>0.8</v>
      </c>
    </row>
    <row r="211" spans="42:53" x14ac:dyDescent="0.2">
      <c r="AP211" s="5"/>
      <c r="AV211" s="2" t="s">
        <v>740</v>
      </c>
      <c r="AW211" s="2" t="s">
        <v>1041</v>
      </c>
      <c r="AX211" s="2" t="str">
        <f t="shared" si="25"/>
        <v>Q27|NIST CSF 2.0</v>
      </c>
      <c r="AY211" s="13" t="s">
        <v>525</v>
      </c>
      <c r="AZ211" s="13" t="s">
        <v>1065</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1042</v>
      </c>
      <c r="AX213" s="2" t="str">
        <f t="shared" si="25"/>
        <v>Q27|CMMC 2.0</v>
      </c>
      <c r="AY213" s="13" t="s">
        <v>526</v>
      </c>
      <c r="AZ213" s="13" t="s">
        <v>1076</v>
      </c>
      <c r="BA213" s="2">
        <v>1</v>
      </c>
    </row>
    <row r="214" spans="42:53" x14ac:dyDescent="0.2">
      <c r="AP214" s="5"/>
      <c r="AV214" s="2" t="s">
        <v>740</v>
      </c>
      <c r="AW214" s="2" t="s">
        <v>711</v>
      </c>
      <c r="AX214" s="2" t="str">
        <f t="shared" si="25"/>
        <v>Q27|FISMA</v>
      </c>
      <c r="AY214" s="13" t="s">
        <v>503</v>
      </c>
      <c r="AZ214" s="13" t="s">
        <v>1076</v>
      </c>
      <c r="BA214" s="2">
        <v>1</v>
      </c>
    </row>
    <row r="215" spans="42:53" x14ac:dyDescent="0.2">
      <c r="AP215" s="5"/>
      <c r="AV215" s="2" t="s">
        <v>740</v>
      </c>
      <c r="AW215" s="2" t="s">
        <v>712</v>
      </c>
      <c r="AX215" s="2" t="str">
        <f t="shared" si="25"/>
        <v>Q27|FedRAMP</v>
      </c>
      <c r="AY215" s="13" t="s">
        <v>503</v>
      </c>
      <c r="AZ215" s="13" t="s">
        <v>1076</v>
      </c>
      <c r="BA215" s="2">
        <v>1</v>
      </c>
    </row>
    <row r="216" spans="42:53" x14ac:dyDescent="0.2">
      <c r="AP216" s="5"/>
      <c r="AV216" s="2" t="s">
        <v>740</v>
      </c>
      <c r="AW216" s="2" t="s">
        <v>1043</v>
      </c>
      <c r="AX216" s="2" t="str">
        <f t="shared" si="25"/>
        <v>Q27|ISO 27001</v>
      </c>
      <c r="AY216" s="13" t="s">
        <v>527</v>
      </c>
      <c r="AZ216" s="13" t="s">
        <v>1138</v>
      </c>
      <c r="BA216" s="2">
        <v>1</v>
      </c>
    </row>
    <row r="217" spans="42:53" x14ac:dyDescent="0.2">
      <c r="AP217" s="5"/>
      <c r="AV217" s="2" t="s">
        <v>740</v>
      </c>
      <c r="AW217" s="2" t="s">
        <v>713</v>
      </c>
      <c r="AX217" s="2" t="str">
        <f t="shared" si="25"/>
        <v>Q27|SOC2</v>
      </c>
      <c r="AY217" s="13" t="s">
        <v>484</v>
      </c>
      <c r="AZ217" s="13" t="s">
        <v>1194</v>
      </c>
      <c r="BA217" s="2">
        <v>1</v>
      </c>
    </row>
    <row r="218" spans="42:53" x14ac:dyDescent="0.2">
      <c r="AP218" s="5"/>
      <c r="AV218" s="2" t="s">
        <v>740</v>
      </c>
      <c r="AW218" s="2" t="s">
        <v>1044</v>
      </c>
      <c r="AX218" s="2" t="str">
        <f t="shared" si="25"/>
        <v>Q27|CIS v8</v>
      </c>
      <c r="AY218" s="13" t="s">
        <v>1837</v>
      </c>
      <c r="AZ218" s="13" t="s">
        <v>1099</v>
      </c>
      <c r="BA218" s="2">
        <v>0.8</v>
      </c>
    </row>
    <row r="219" spans="42:53" x14ac:dyDescent="0.2">
      <c r="AP219" s="5"/>
      <c r="AV219" s="2" t="s">
        <v>741</v>
      </c>
      <c r="AW219" s="2" t="s">
        <v>1041</v>
      </c>
      <c r="AX219" s="2" t="str">
        <f t="shared" si="25"/>
        <v>Q28|NIST CSF 2.0</v>
      </c>
      <c r="AY219" s="13" t="s">
        <v>515</v>
      </c>
      <c r="AZ219" s="13" t="s">
        <v>1064</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1042</v>
      </c>
      <c r="AX221" s="2" t="str">
        <f t="shared" si="25"/>
        <v>Q28|CMMC 2.0</v>
      </c>
      <c r="AY221" s="13" t="s">
        <v>502</v>
      </c>
      <c r="AZ221" s="13" t="s">
        <v>1076</v>
      </c>
      <c r="BA221" s="2">
        <v>0.8</v>
      </c>
    </row>
    <row r="222" spans="42:53" x14ac:dyDescent="0.2">
      <c r="AP222" s="5"/>
      <c r="AV222" s="2" t="s">
        <v>741</v>
      </c>
      <c r="AW222" s="2" t="s">
        <v>711</v>
      </c>
      <c r="AX222" s="2" t="str">
        <f t="shared" si="25"/>
        <v>Q28|FISMA</v>
      </c>
      <c r="AY222" s="13" t="s">
        <v>528</v>
      </c>
      <c r="AZ222" s="13" t="s">
        <v>1077</v>
      </c>
      <c r="BA222" s="2">
        <v>1</v>
      </c>
    </row>
    <row r="223" spans="42:53" x14ac:dyDescent="0.2">
      <c r="AP223" s="5"/>
      <c r="AV223" s="2" t="s">
        <v>741</v>
      </c>
      <c r="AW223" s="2" t="s">
        <v>712</v>
      </c>
      <c r="AX223" s="2" t="str">
        <f t="shared" si="25"/>
        <v>Q28|FedRAMP</v>
      </c>
      <c r="AY223" s="13" t="s">
        <v>528</v>
      </c>
      <c r="AZ223" s="13" t="s">
        <v>1077</v>
      </c>
      <c r="BA223" s="2">
        <v>1</v>
      </c>
    </row>
    <row r="224" spans="42:53" x14ac:dyDescent="0.2">
      <c r="AP224" s="5"/>
      <c r="AV224" s="2" t="s">
        <v>741</v>
      </c>
      <c r="AW224" s="2" t="s">
        <v>1043</v>
      </c>
      <c r="AX224" s="2" t="str">
        <f t="shared" si="25"/>
        <v>Q28|ISO 27001</v>
      </c>
      <c r="AY224" s="13" t="s">
        <v>517</v>
      </c>
      <c r="AZ224" s="13" t="s">
        <v>1138</v>
      </c>
      <c r="BA224" s="2">
        <v>0.8</v>
      </c>
    </row>
    <row r="225" spans="42:53" x14ac:dyDescent="0.2">
      <c r="AP225" s="5"/>
      <c r="AV225" s="2" t="s">
        <v>741</v>
      </c>
      <c r="AW225" s="2" t="s">
        <v>713</v>
      </c>
      <c r="AX225" s="2" t="str">
        <f t="shared" si="25"/>
        <v>Q28|SOC2</v>
      </c>
      <c r="AY225" s="13" t="s">
        <v>529</v>
      </c>
      <c r="AZ225" s="13" t="s">
        <v>1195</v>
      </c>
      <c r="BA225" s="2">
        <v>1</v>
      </c>
    </row>
    <row r="226" spans="42:53" x14ac:dyDescent="0.2">
      <c r="AP226" s="5"/>
      <c r="AV226" s="2" t="s">
        <v>741</v>
      </c>
      <c r="AW226" s="2" t="s">
        <v>1044</v>
      </c>
      <c r="AX226" s="2" t="str">
        <f t="shared" si="25"/>
        <v>Q28|CIS v8</v>
      </c>
      <c r="AY226" s="13" t="s">
        <v>1847</v>
      </c>
      <c r="AZ226" s="13" t="s">
        <v>1092</v>
      </c>
      <c r="BA226" s="2">
        <v>0.8</v>
      </c>
    </row>
    <row r="227" spans="42:53" x14ac:dyDescent="0.2">
      <c r="AP227" s="5"/>
      <c r="AV227" s="2" t="s">
        <v>742</v>
      </c>
      <c r="AW227" s="2" t="s">
        <v>1041</v>
      </c>
      <c r="AX227" s="2" t="str">
        <f t="shared" si="25"/>
        <v>Q29|NIST CSF 2.0</v>
      </c>
      <c r="AY227" s="13" t="s">
        <v>530</v>
      </c>
      <c r="AZ227" s="13" t="s">
        <v>1064</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1042</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1083</v>
      </c>
      <c r="BA230" s="2">
        <v>1</v>
      </c>
    </row>
    <row r="231" spans="42:53" x14ac:dyDescent="0.2">
      <c r="AP231" s="5"/>
      <c r="AV231" s="2" t="s">
        <v>742</v>
      </c>
      <c r="AW231" s="2" t="s">
        <v>712</v>
      </c>
      <c r="AX231" s="2" t="str">
        <f t="shared" si="25"/>
        <v>Q29|FedRAMP</v>
      </c>
      <c r="AY231" s="13" t="s">
        <v>531</v>
      </c>
      <c r="AZ231" s="13" t="s">
        <v>1083</v>
      </c>
      <c r="BA231" s="2">
        <v>1</v>
      </c>
    </row>
    <row r="232" spans="42:53" x14ac:dyDescent="0.2">
      <c r="AP232" s="5"/>
      <c r="AV232" s="2" t="s">
        <v>742</v>
      </c>
      <c r="AW232" s="2" t="s">
        <v>1043</v>
      </c>
      <c r="AX232" s="2" t="str">
        <f t="shared" si="25"/>
        <v>Q29|ISO 27001</v>
      </c>
      <c r="AY232" s="13" t="s">
        <v>532</v>
      </c>
      <c r="AZ232" s="13" t="s">
        <v>1147</v>
      </c>
      <c r="BA232" s="2">
        <v>1</v>
      </c>
    </row>
    <row r="233" spans="42:53" x14ac:dyDescent="0.2">
      <c r="AP233" s="5"/>
      <c r="AV233" s="2" t="s">
        <v>742</v>
      </c>
      <c r="AW233" s="2" t="s">
        <v>713</v>
      </c>
      <c r="AX233" s="2" t="str">
        <f t="shared" si="25"/>
        <v>Q29|SOC2</v>
      </c>
      <c r="AY233" s="13" t="s">
        <v>496</v>
      </c>
      <c r="AZ233" s="13" t="s">
        <v>1193</v>
      </c>
      <c r="BA233" s="2">
        <v>1</v>
      </c>
    </row>
    <row r="234" spans="42:53" x14ac:dyDescent="0.2">
      <c r="AP234" s="5"/>
      <c r="AV234" s="2" t="s">
        <v>742</v>
      </c>
      <c r="AW234" s="2" t="s">
        <v>1044</v>
      </c>
      <c r="AX234" s="2" t="str">
        <f t="shared" si="25"/>
        <v>Q29|CIS v8</v>
      </c>
      <c r="AY234" s="13" t="s">
        <v>1839</v>
      </c>
      <c r="AZ234" s="13" t="s">
        <v>1087</v>
      </c>
      <c r="BA234" s="2">
        <v>1</v>
      </c>
    </row>
    <row r="235" spans="42:53" x14ac:dyDescent="0.2">
      <c r="AP235" s="5"/>
      <c r="AV235" s="2" t="s">
        <v>743</v>
      </c>
      <c r="AW235" s="2" t="s">
        <v>1041</v>
      </c>
      <c r="AX235" s="2" t="str">
        <f t="shared" si="25"/>
        <v>Q30|NIST CSF 2.0</v>
      </c>
      <c r="AY235" s="13" t="s">
        <v>533</v>
      </c>
      <c r="AZ235" s="13" t="s">
        <v>1064</v>
      </c>
      <c r="BA235" s="2">
        <v>1</v>
      </c>
    </row>
    <row r="236" spans="42:53" x14ac:dyDescent="0.2">
      <c r="AP236" s="5"/>
      <c r="AV236" s="2" t="s">
        <v>743</v>
      </c>
      <c r="AW236" s="2" t="s">
        <v>710</v>
      </c>
      <c r="AX236" s="2" t="str">
        <f t="shared" si="25"/>
        <v>Q30|NIST PQC</v>
      </c>
      <c r="AY236" s="13" t="s">
        <v>534</v>
      </c>
      <c r="AZ236" s="13" t="s">
        <v>1094</v>
      </c>
      <c r="BA236" s="2">
        <v>1</v>
      </c>
    </row>
    <row r="237" spans="42:53" x14ac:dyDescent="0.2">
      <c r="AP237" s="5"/>
      <c r="AV237" s="2" t="s">
        <v>743</v>
      </c>
      <c r="AW237" s="2" t="s">
        <v>1042</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1077</v>
      </c>
      <c r="BA238" s="2">
        <v>1</v>
      </c>
    </row>
    <row r="239" spans="42:53" x14ac:dyDescent="0.2">
      <c r="AP239" s="5"/>
      <c r="AV239" s="2" t="s">
        <v>743</v>
      </c>
      <c r="AW239" s="2" t="s">
        <v>712</v>
      </c>
      <c r="AX239" s="2" t="str">
        <f t="shared" si="25"/>
        <v>Q30|FedRAMP</v>
      </c>
      <c r="AY239" s="13" t="s">
        <v>536</v>
      </c>
      <c r="AZ239" s="13" t="s">
        <v>1077</v>
      </c>
      <c r="BA239" s="2">
        <v>1</v>
      </c>
    </row>
    <row r="240" spans="42:53" x14ac:dyDescent="0.2">
      <c r="AP240" s="5"/>
      <c r="AV240" s="2" t="s">
        <v>743</v>
      </c>
      <c r="AW240" s="2" t="s">
        <v>1043</v>
      </c>
      <c r="AX240" s="2" t="str">
        <f t="shared" si="25"/>
        <v>Q30|ISO 27001</v>
      </c>
      <c r="AY240" s="13" t="s">
        <v>537</v>
      </c>
      <c r="AZ240" s="13" t="s">
        <v>1138</v>
      </c>
      <c r="BA240" s="2">
        <v>0.8</v>
      </c>
    </row>
    <row r="241" spans="42:53" x14ac:dyDescent="0.2">
      <c r="AP241" s="5"/>
      <c r="AV241" s="2" t="s">
        <v>743</v>
      </c>
      <c r="AW241" s="2" t="s">
        <v>713</v>
      </c>
      <c r="AX241" s="2" t="str">
        <f t="shared" si="25"/>
        <v>Q30|SOC2</v>
      </c>
      <c r="AY241" s="13" t="s">
        <v>491</v>
      </c>
      <c r="AZ241" s="13" t="s">
        <v>1194</v>
      </c>
      <c r="BA241" s="2">
        <v>0.8</v>
      </c>
    </row>
    <row r="242" spans="42:53" x14ac:dyDescent="0.2">
      <c r="AP242" s="5"/>
      <c r="AV242" s="2" t="s">
        <v>743</v>
      </c>
      <c r="AW242" s="2" t="s">
        <v>1044</v>
      </c>
      <c r="AX242" s="2" t="str">
        <f t="shared" si="25"/>
        <v>Q30|CIS v8</v>
      </c>
      <c r="AY242" s="13" t="s">
        <v>1848</v>
      </c>
      <c r="AZ242" s="13" t="s">
        <v>1092</v>
      </c>
      <c r="BA242" s="2">
        <v>0.8</v>
      </c>
    </row>
    <row r="243" spans="42:53" x14ac:dyDescent="0.2">
      <c r="AP243" s="5"/>
      <c r="AV243" s="2" t="s">
        <v>744</v>
      </c>
      <c r="AW243" s="2" t="s">
        <v>1041</v>
      </c>
      <c r="AX243" s="2" t="str">
        <f t="shared" si="25"/>
        <v>Q31|NIST CSF 2.0</v>
      </c>
      <c r="AY243" s="13" t="s">
        <v>538</v>
      </c>
      <c r="AZ243" s="13" t="s">
        <v>1067</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1042</v>
      </c>
      <c r="AX245" s="2" t="str">
        <f t="shared" si="25"/>
        <v>Q31|CMMC 2.0</v>
      </c>
      <c r="AY245" s="13" t="s">
        <v>526</v>
      </c>
      <c r="AZ245" s="13" t="s">
        <v>1076</v>
      </c>
      <c r="BA245" s="2">
        <v>0.6</v>
      </c>
    </row>
    <row r="246" spans="42:53" x14ac:dyDescent="0.2">
      <c r="AP246" s="5"/>
      <c r="AV246" s="2" t="s">
        <v>744</v>
      </c>
      <c r="AW246" s="2" t="s">
        <v>711</v>
      </c>
      <c r="AX246" s="2" t="str">
        <f t="shared" si="25"/>
        <v>Q31|FISMA</v>
      </c>
      <c r="AY246" s="13" t="s">
        <v>539</v>
      </c>
      <c r="AZ246" s="13" t="s">
        <v>1077</v>
      </c>
      <c r="BA246" s="2">
        <v>1</v>
      </c>
    </row>
    <row r="247" spans="42:53" x14ac:dyDescent="0.2">
      <c r="AP247" s="5"/>
      <c r="AV247" s="2" t="s">
        <v>744</v>
      </c>
      <c r="AW247" s="2" t="s">
        <v>712</v>
      </c>
      <c r="AX247" s="2" t="str">
        <f t="shared" si="25"/>
        <v>Q31|FedRAMP</v>
      </c>
      <c r="AY247" s="13" t="s">
        <v>539</v>
      </c>
      <c r="AZ247" s="13" t="s">
        <v>1077</v>
      </c>
      <c r="BA247" s="2">
        <v>1</v>
      </c>
    </row>
    <row r="248" spans="42:53" x14ac:dyDescent="0.2">
      <c r="AP248" s="5"/>
      <c r="AV248" s="2" t="s">
        <v>744</v>
      </c>
      <c r="AW248" s="2" t="s">
        <v>1043</v>
      </c>
      <c r="AX248" s="2" t="str">
        <f t="shared" si="25"/>
        <v>Q31|ISO 27001</v>
      </c>
      <c r="AY248" s="13" t="s">
        <v>469</v>
      </c>
      <c r="AZ248" s="13" t="s">
        <v>1137</v>
      </c>
      <c r="BA248" s="2">
        <v>1</v>
      </c>
    </row>
    <row r="249" spans="42:53" x14ac:dyDescent="0.2">
      <c r="AP249" s="5"/>
      <c r="AV249" s="2" t="s">
        <v>744</v>
      </c>
      <c r="AW249" s="2" t="s">
        <v>713</v>
      </c>
      <c r="AX249" s="2" t="str">
        <f t="shared" si="25"/>
        <v>Q31|SOC2</v>
      </c>
      <c r="AY249" s="13" t="s">
        <v>540</v>
      </c>
      <c r="AZ249" s="13" t="s">
        <v>1196</v>
      </c>
      <c r="BA249" s="2">
        <v>1</v>
      </c>
    </row>
    <row r="250" spans="42:53" x14ac:dyDescent="0.2">
      <c r="AP250" s="5"/>
      <c r="AV250" s="2" t="s">
        <v>744</v>
      </c>
      <c r="AW250" s="2" t="s">
        <v>1044</v>
      </c>
      <c r="AX250" s="2" t="str">
        <f t="shared" si="25"/>
        <v>Q31|CIS v8</v>
      </c>
      <c r="AY250" s="13" t="s">
        <v>1830</v>
      </c>
      <c r="AZ250" s="13" t="s">
        <v>1092</v>
      </c>
      <c r="BA250" s="2">
        <v>0.8</v>
      </c>
    </row>
    <row r="251" spans="42:53" x14ac:dyDescent="0.2">
      <c r="AP251" s="5"/>
      <c r="AV251" s="2" t="s">
        <v>745</v>
      </c>
      <c r="AW251" s="2" t="s">
        <v>1041</v>
      </c>
      <c r="AX251" s="2" t="str">
        <f t="shared" si="25"/>
        <v>Q32|NIST CSF 2.0</v>
      </c>
      <c r="AY251" s="13" t="s">
        <v>541</v>
      </c>
      <c r="AZ251" s="13" t="s">
        <v>1067</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1042</v>
      </c>
      <c r="AX253" s="2" t="str">
        <f t="shared" si="25"/>
        <v>Q32|CMMC 2.0</v>
      </c>
      <c r="AY253" s="13" t="s">
        <v>526</v>
      </c>
      <c r="AZ253" s="13" t="s">
        <v>1076</v>
      </c>
      <c r="BA253" s="2">
        <v>0.8</v>
      </c>
    </row>
    <row r="254" spans="42:53" x14ac:dyDescent="0.2">
      <c r="AV254" s="2" t="s">
        <v>745</v>
      </c>
      <c r="AW254" s="2" t="s">
        <v>711</v>
      </c>
      <c r="AX254" s="2" t="str">
        <f t="shared" si="25"/>
        <v>Q32|FISMA</v>
      </c>
      <c r="AY254" s="13" t="s">
        <v>542</v>
      </c>
      <c r="AZ254" s="13" t="s">
        <v>1077</v>
      </c>
      <c r="BA254" s="2">
        <v>1</v>
      </c>
    </row>
    <row r="255" spans="42:53" x14ac:dyDescent="0.2">
      <c r="AV255" s="2" t="s">
        <v>745</v>
      </c>
      <c r="AW255" s="2" t="s">
        <v>712</v>
      </c>
      <c r="AX255" s="2" t="str">
        <f t="shared" si="25"/>
        <v>Q32|FedRAMP</v>
      </c>
      <c r="AY255" s="13" t="s">
        <v>542</v>
      </c>
      <c r="AZ255" s="13" t="s">
        <v>1077</v>
      </c>
      <c r="BA255" s="2">
        <v>1</v>
      </c>
    </row>
    <row r="256" spans="42:53" x14ac:dyDescent="0.2">
      <c r="AV256" s="2" t="s">
        <v>745</v>
      </c>
      <c r="AW256" s="2" t="s">
        <v>1043</v>
      </c>
      <c r="AX256" s="2" t="str">
        <f t="shared" si="25"/>
        <v>Q32|ISO 27001</v>
      </c>
      <c r="AY256" s="13" t="s">
        <v>469</v>
      </c>
      <c r="AZ256" s="13" t="s">
        <v>1137</v>
      </c>
      <c r="BA256" s="2">
        <v>1</v>
      </c>
    </row>
    <row r="257" spans="48:53" x14ac:dyDescent="0.2">
      <c r="AV257" s="2" t="s">
        <v>745</v>
      </c>
      <c r="AW257" s="2" t="s">
        <v>713</v>
      </c>
      <c r="AX257" s="2" t="str">
        <f t="shared" si="25"/>
        <v>Q32|SOC2</v>
      </c>
      <c r="AY257" s="13" t="s">
        <v>543</v>
      </c>
      <c r="AZ257" s="13" t="s">
        <v>1196</v>
      </c>
      <c r="BA257" s="2">
        <v>1</v>
      </c>
    </row>
    <row r="258" spans="48:53" x14ac:dyDescent="0.2">
      <c r="AV258" s="2" t="s">
        <v>745</v>
      </c>
      <c r="AW258" s="2" t="s">
        <v>1044</v>
      </c>
      <c r="AX258" s="2" t="str">
        <f t="shared" si="25"/>
        <v>Q32|CIS v8</v>
      </c>
      <c r="AY258" s="13" t="s">
        <v>1849</v>
      </c>
      <c r="AZ258" s="13" t="s">
        <v>1092</v>
      </c>
      <c r="BA258" s="2">
        <v>1</v>
      </c>
    </row>
    <row r="259" spans="48:53" x14ac:dyDescent="0.2">
      <c r="AV259" s="2" t="s">
        <v>746</v>
      </c>
      <c r="AW259" s="2" t="s">
        <v>1041</v>
      </c>
      <c r="AX259" s="2" t="str">
        <f t="shared" si="25"/>
        <v>Q33|NIST CSF 2.0</v>
      </c>
      <c r="AY259" s="13" t="s">
        <v>538</v>
      </c>
      <c r="AZ259" s="13" t="s">
        <v>1067</v>
      </c>
      <c r="BA259" s="2">
        <v>1</v>
      </c>
    </row>
    <row r="260" spans="48:53" x14ac:dyDescent="0.2">
      <c r="AV260" s="2" t="s">
        <v>746</v>
      </c>
      <c r="AW260" s="2" t="s">
        <v>710</v>
      </c>
      <c r="AX260" s="2" t="str">
        <f t="shared" ref="AX260:AX323" si="26">_xlfn.CONCAT(AV260,"|",AW260)</f>
        <v>Q33|NIST PQC</v>
      </c>
      <c r="AY260" s="13" t="s">
        <v>544</v>
      </c>
      <c r="AZ260" s="13" t="s">
        <v>1095</v>
      </c>
      <c r="BA260" s="2">
        <v>1</v>
      </c>
    </row>
    <row r="261" spans="48:53" x14ac:dyDescent="0.2">
      <c r="AV261" s="2" t="s">
        <v>746</v>
      </c>
      <c r="AW261" s="2" t="s">
        <v>1042</v>
      </c>
      <c r="AX261" s="2" t="str">
        <f t="shared" si="26"/>
        <v>Q33|CMMC 2.0</v>
      </c>
      <c r="AY261" s="13" t="s">
        <v>526</v>
      </c>
      <c r="AZ261" s="13" t="s">
        <v>1076</v>
      </c>
      <c r="BA261" s="2">
        <v>0.6</v>
      </c>
    </row>
    <row r="262" spans="48:53" x14ac:dyDescent="0.2">
      <c r="AV262" s="2" t="s">
        <v>746</v>
      </c>
      <c r="AW262" s="2" t="s">
        <v>711</v>
      </c>
      <c r="AX262" s="2" t="str">
        <f t="shared" si="26"/>
        <v>Q33|FISMA</v>
      </c>
      <c r="AY262" s="13" t="s">
        <v>539</v>
      </c>
      <c r="AZ262" s="13" t="s">
        <v>1077</v>
      </c>
      <c r="BA262" s="2">
        <v>0.8</v>
      </c>
    </row>
    <row r="263" spans="48:53" x14ac:dyDescent="0.2">
      <c r="AV263" s="2" t="s">
        <v>746</v>
      </c>
      <c r="AW263" s="2" t="s">
        <v>712</v>
      </c>
      <c r="AX263" s="2" t="str">
        <f t="shared" si="26"/>
        <v>Q33|FedRAMP</v>
      </c>
      <c r="AY263" s="13" t="s">
        <v>539</v>
      </c>
      <c r="AZ263" s="13" t="s">
        <v>1077</v>
      </c>
      <c r="BA263" s="2">
        <v>0.8</v>
      </c>
    </row>
    <row r="264" spans="48:53" x14ac:dyDescent="0.2">
      <c r="AV264" s="2" t="s">
        <v>746</v>
      </c>
      <c r="AW264" s="2" t="s">
        <v>1043</v>
      </c>
      <c r="AX264" s="2" t="str">
        <f t="shared" si="26"/>
        <v>Q33|ISO 27001</v>
      </c>
      <c r="AY264" s="13" t="s">
        <v>469</v>
      </c>
      <c r="AZ264" s="13" t="s">
        <v>1137</v>
      </c>
      <c r="BA264" s="2">
        <v>0.8</v>
      </c>
    </row>
    <row r="265" spans="48:53" x14ac:dyDescent="0.2">
      <c r="AV265" s="2" t="s">
        <v>746</v>
      </c>
      <c r="AW265" s="2" t="s">
        <v>713</v>
      </c>
      <c r="AX265" s="2" t="str">
        <f t="shared" si="26"/>
        <v>Q33|SOC2</v>
      </c>
      <c r="AY265" s="13" t="s">
        <v>540</v>
      </c>
      <c r="AZ265" s="13" t="s">
        <v>1196</v>
      </c>
      <c r="BA265" s="2">
        <v>0.8</v>
      </c>
    </row>
    <row r="266" spans="48:53" x14ac:dyDescent="0.2">
      <c r="AV266" s="2" t="s">
        <v>746</v>
      </c>
      <c r="AW266" s="2" t="s">
        <v>1044</v>
      </c>
      <c r="AX266" s="2" t="str">
        <f t="shared" si="26"/>
        <v>Q33|CIS v8</v>
      </c>
      <c r="AY266" s="13" t="s">
        <v>1830</v>
      </c>
      <c r="AZ266" s="13" t="s">
        <v>1092</v>
      </c>
      <c r="BA266" s="2">
        <v>0.6</v>
      </c>
    </row>
    <row r="267" spans="48:53" x14ac:dyDescent="0.2">
      <c r="AV267" s="2" t="s">
        <v>747</v>
      </c>
      <c r="AW267" s="2" t="s">
        <v>1041</v>
      </c>
      <c r="AX267" s="2" t="str">
        <f t="shared" si="26"/>
        <v>Q34|NIST CSF 2.0</v>
      </c>
      <c r="AY267" s="13" t="s">
        <v>545</v>
      </c>
      <c r="AZ267" s="13" t="s">
        <v>1067</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1042</v>
      </c>
      <c r="AX269" s="2" t="str">
        <f t="shared" si="26"/>
        <v>Q34|CMMC 2.0</v>
      </c>
      <c r="AY269" s="13" t="s">
        <v>526</v>
      </c>
      <c r="AZ269" s="13" t="s">
        <v>1076</v>
      </c>
      <c r="BA269" s="2">
        <v>0.8</v>
      </c>
    </row>
    <row r="270" spans="48:53" x14ac:dyDescent="0.2">
      <c r="AV270" s="2" t="s">
        <v>747</v>
      </c>
      <c r="AW270" s="2" t="s">
        <v>711</v>
      </c>
      <c r="AX270" s="2" t="str">
        <f t="shared" si="26"/>
        <v>Q34|FISMA</v>
      </c>
      <c r="AY270" s="13" t="s">
        <v>516</v>
      </c>
      <c r="AZ270" s="13" t="s">
        <v>1077</v>
      </c>
      <c r="BA270" s="2">
        <v>1</v>
      </c>
    </row>
    <row r="271" spans="48:53" x14ac:dyDescent="0.2">
      <c r="AV271" s="2" t="s">
        <v>747</v>
      </c>
      <c r="AW271" s="2" t="s">
        <v>712</v>
      </c>
      <c r="AX271" s="2" t="str">
        <f t="shared" si="26"/>
        <v>Q34|FedRAMP</v>
      </c>
      <c r="AY271" s="13" t="s">
        <v>516</v>
      </c>
      <c r="AZ271" s="13" t="s">
        <v>1077</v>
      </c>
      <c r="BA271" s="2">
        <v>1</v>
      </c>
    </row>
    <row r="272" spans="48:53" x14ac:dyDescent="0.2">
      <c r="AV272" s="2" t="s">
        <v>747</v>
      </c>
      <c r="AW272" s="2" t="s">
        <v>1043</v>
      </c>
      <c r="AX272" s="2" t="str">
        <f t="shared" si="26"/>
        <v>Q34|ISO 27001</v>
      </c>
      <c r="AY272" s="13" t="s">
        <v>469</v>
      </c>
      <c r="AZ272" s="13" t="s">
        <v>1137</v>
      </c>
      <c r="BA272" s="2">
        <v>1</v>
      </c>
    </row>
    <row r="273" spans="48:53" x14ac:dyDescent="0.2">
      <c r="AV273" s="2" t="s">
        <v>747</v>
      </c>
      <c r="AW273" s="2" t="s">
        <v>713</v>
      </c>
      <c r="AX273" s="2" t="str">
        <f t="shared" si="26"/>
        <v>Q34|SOC2</v>
      </c>
      <c r="AY273" s="13" t="s">
        <v>546</v>
      </c>
      <c r="AZ273" s="13" t="s">
        <v>1196</v>
      </c>
      <c r="BA273" s="2">
        <v>1</v>
      </c>
    </row>
    <row r="274" spans="48:53" x14ac:dyDescent="0.2">
      <c r="AV274" s="2" t="s">
        <v>747</v>
      </c>
      <c r="AW274" s="2" t="s">
        <v>1044</v>
      </c>
      <c r="AX274" s="2" t="str">
        <f t="shared" si="26"/>
        <v>Q34|CIS v8</v>
      </c>
      <c r="AY274" s="13" t="s">
        <v>1830</v>
      </c>
      <c r="AZ274" s="13" t="s">
        <v>1092</v>
      </c>
      <c r="BA274" s="2">
        <v>0.8</v>
      </c>
    </row>
    <row r="275" spans="48:53" x14ac:dyDescent="0.2">
      <c r="AV275" s="2" t="s">
        <v>748</v>
      </c>
      <c r="AW275" s="2" t="s">
        <v>1041</v>
      </c>
      <c r="AX275" s="2" t="str">
        <f t="shared" si="26"/>
        <v>Q35|NIST CSF 2.0</v>
      </c>
      <c r="AY275" s="13" t="s">
        <v>547</v>
      </c>
      <c r="AZ275" s="13" t="s">
        <v>1067</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1042</v>
      </c>
      <c r="AX277" s="2" t="str">
        <f t="shared" si="26"/>
        <v>Q35|CMMC 2.0</v>
      </c>
      <c r="AY277" s="13" t="s">
        <v>526</v>
      </c>
      <c r="AZ277" s="13" t="s">
        <v>1076</v>
      </c>
      <c r="BA277" s="2">
        <v>1</v>
      </c>
    </row>
    <row r="278" spans="48:53" x14ac:dyDescent="0.2">
      <c r="AV278" s="2" t="s">
        <v>748</v>
      </c>
      <c r="AW278" s="2" t="s">
        <v>711</v>
      </c>
      <c r="AX278" s="2" t="str">
        <f t="shared" si="26"/>
        <v>Q35|FISMA</v>
      </c>
      <c r="AY278" s="13" t="s">
        <v>548</v>
      </c>
      <c r="AZ278" s="13" t="s">
        <v>1084</v>
      </c>
      <c r="BA278" s="2">
        <v>1</v>
      </c>
    </row>
    <row r="279" spans="48:53" x14ac:dyDescent="0.2">
      <c r="AV279" s="2" t="s">
        <v>748</v>
      </c>
      <c r="AW279" s="2" t="s">
        <v>712</v>
      </c>
      <c r="AX279" s="2" t="str">
        <f t="shared" si="26"/>
        <v>Q35|FedRAMP</v>
      </c>
      <c r="AY279" s="13" t="s">
        <v>548</v>
      </c>
      <c r="AZ279" s="13" t="s">
        <v>1084</v>
      </c>
      <c r="BA279" s="2">
        <v>1</v>
      </c>
    </row>
    <row r="280" spans="48:53" x14ac:dyDescent="0.2">
      <c r="AV280" s="2" t="s">
        <v>748</v>
      </c>
      <c r="AW280" s="2" t="s">
        <v>1043</v>
      </c>
      <c r="AX280" s="2" t="str">
        <f t="shared" si="26"/>
        <v>Q35|ISO 27001</v>
      </c>
      <c r="AY280" s="13" t="s">
        <v>549</v>
      </c>
      <c r="AZ280" s="13" t="s">
        <v>1137</v>
      </c>
      <c r="BA280" s="2">
        <v>1</v>
      </c>
    </row>
    <row r="281" spans="48:53" x14ac:dyDescent="0.2">
      <c r="AV281" s="2" t="s">
        <v>748</v>
      </c>
      <c r="AW281" s="2" t="s">
        <v>713</v>
      </c>
      <c r="AX281" s="2" t="str">
        <f t="shared" si="26"/>
        <v>Q35|SOC2</v>
      </c>
      <c r="AY281" s="13" t="s">
        <v>550</v>
      </c>
      <c r="AZ281" s="13" t="s">
        <v>1196</v>
      </c>
      <c r="BA281" s="2">
        <v>1</v>
      </c>
    </row>
    <row r="282" spans="48:53" x14ac:dyDescent="0.2">
      <c r="AV282" s="2" t="s">
        <v>748</v>
      </c>
      <c r="AW282" s="2" t="s">
        <v>1044</v>
      </c>
      <c r="AX282" s="2" t="str">
        <f t="shared" si="26"/>
        <v>Q35|CIS v8</v>
      </c>
      <c r="AY282" s="13" t="s">
        <v>1848</v>
      </c>
      <c r="AZ282" s="13" t="s">
        <v>1092</v>
      </c>
      <c r="BA282" s="2">
        <v>1</v>
      </c>
    </row>
    <row r="283" spans="48:53" x14ac:dyDescent="0.2">
      <c r="AV283" s="2" t="s">
        <v>749</v>
      </c>
      <c r="AW283" s="2" t="s">
        <v>1041</v>
      </c>
      <c r="AX283" s="2" t="str">
        <f t="shared" si="26"/>
        <v>Q36|NIST CSF 2.0</v>
      </c>
      <c r="AY283" s="13" t="s">
        <v>551</v>
      </c>
      <c r="AZ283" s="13" t="s">
        <v>1067</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1042</v>
      </c>
      <c r="AX285" s="2" t="str">
        <f t="shared" si="26"/>
        <v>Q36|CMMC 2.0</v>
      </c>
      <c r="AY285" s="13" t="s">
        <v>526</v>
      </c>
      <c r="AZ285" s="13" t="s">
        <v>1076</v>
      </c>
      <c r="BA285" s="2">
        <v>0.8</v>
      </c>
    </row>
    <row r="286" spans="48:53" x14ac:dyDescent="0.2">
      <c r="AV286" s="2" t="s">
        <v>749</v>
      </c>
      <c r="AW286" s="2" t="s">
        <v>711</v>
      </c>
      <c r="AX286" s="2" t="str">
        <f t="shared" si="26"/>
        <v>Q36|FISMA</v>
      </c>
      <c r="AY286" s="13" t="s">
        <v>542</v>
      </c>
      <c r="AZ286" s="13" t="s">
        <v>1077</v>
      </c>
      <c r="BA286" s="2">
        <v>1</v>
      </c>
    </row>
    <row r="287" spans="48:53" x14ac:dyDescent="0.2">
      <c r="AV287" s="2" t="s">
        <v>749</v>
      </c>
      <c r="AW287" s="2" t="s">
        <v>712</v>
      </c>
      <c r="AX287" s="2" t="str">
        <f t="shared" si="26"/>
        <v>Q36|FedRAMP</v>
      </c>
      <c r="AY287" s="13" t="s">
        <v>542</v>
      </c>
      <c r="AZ287" s="13" t="s">
        <v>1077</v>
      </c>
      <c r="BA287" s="2">
        <v>1</v>
      </c>
    </row>
    <row r="288" spans="48:53" x14ac:dyDescent="0.2">
      <c r="AV288" s="2" t="s">
        <v>749</v>
      </c>
      <c r="AW288" s="2" t="s">
        <v>1043</v>
      </c>
      <c r="AX288" s="2" t="str">
        <f t="shared" si="26"/>
        <v>Q36|ISO 27001</v>
      </c>
      <c r="AY288" s="13" t="s">
        <v>552</v>
      </c>
      <c r="AZ288" s="13" t="s">
        <v>1137</v>
      </c>
      <c r="BA288" s="2">
        <v>1</v>
      </c>
    </row>
    <row r="289" spans="48:53" x14ac:dyDescent="0.2">
      <c r="AV289" s="2" t="s">
        <v>749</v>
      </c>
      <c r="AW289" s="2" t="s">
        <v>713</v>
      </c>
      <c r="AX289" s="2" t="str">
        <f t="shared" si="26"/>
        <v>Q36|SOC2</v>
      </c>
      <c r="AY289" s="13" t="s">
        <v>543</v>
      </c>
      <c r="AZ289" s="13" t="s">
        <v>1196</v>
      </c>
      <c r="BA289" s="2">
        <v>1</v>
      </c>
    </row>
    <row r="290" spans="48:53" x14ac:dyDescent="0.2">
      <c r="AV290" s="2" t="s">
        <v>749</v>
      </c>
      <c r="AW290" s="2" t="s">
        <v>1044</v>
      </c>
      <c r="AX290" s="2" t="str">
        <f t="shared" si="26"/>
        <v>Q36|CIS v8</v>
      </c>
      <c r="AY290" s="13" t="s">
        <v>1849</v>
      </c>
      <c r="AZ290" s="13" t="s">
        <v>1092</v>
      </c>
      <c r="BA290" s="2">
        <v>0.8</v>
      </c>
    </row>
    <row r="291" spans="48:53" x14ac:dyDescent="0.2">
      <c r="AV291" s="2" t="s">
        <v>750</v>
      </c>
      <c r="AW291" s="2" t="s">
        <v>1041</v>
      </c>
      <c r="AX291" s="2" t="str">
        <f t="shared" si="26"/>
        <v>Q37|NIST CSF 2.0</v>
      </c>
      <c r="AY291" s="13" t="s">
        <v>553</v>
      </c>
      <c r="AZ291" s="13" t="s">
        <v>1067</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1042</v>
      </c>
      <c r="AX293" s="2" t="str">
        <f t="shared" si="26"/>
        <v>Q37|CMMC 2.0</v>
      </c>
      <c r="AY293" s="13" t="s">
        <v>526</v>
      </c>
      <c r="AZ293" s="13" t="s">
        <v>1076</v>
      </c>
      <c r="BA293" s="2">
        <v>0.6</v>
      </c>
    </row>
    <row r="294" spans="48:53" x14ac:dyDescent="0.2">
      <c r="AV294" s="2" t="s">
        <v>750</v>
      </c>
      <c r="AW294" s="2" t="s">
        <v>711</v>
      </c>
      <c r="AX294" s="2" t="str">
        <f t="shared" si="26"/>
        <v>Q37|FISMA</v>
      </c>
      <c r="AY294" s="13" t="s">
        <v>554</v>
      </c>
      <c r="AZ294" s="13" t="s">
        <v>1077</v>
      </c>
      <c r="BA294" s="2">
        <v>1</v>
      </c>
    </row>
    <row r="295" spans="48:53" x14ac:dyDescent="0.2">
      <c r="AV295" s="2" t="s">
        <v>750</v>
      </c>
      <c r="AW295" s="2" t="s">
        <v>712</v>
      </c>
      <c r="AX295" s="2" t="str">
        <f t="shared" si="26"/>
        <v>Q37|FedRAMP</v>
      </c>
      <c r="AY295" s="13" t="s">
        <v>554</v>
      </c>
      <c r="AZ295" s="13" t="s">
        <v>1077</v>
      </c>
      <c r="BA295" s="2">
        <v>1</v>
      </c>
    </row>
    <row r="296" spans="48:53" x14ac:dyDescent="0.2">
      <c r="AV296" s="2" t="s">
        <v>750</v>
      </c>
      <c r="AW296" s="2" t="s">
        <v>1043</v>
      </c>
      <c r="AX296" s="2" t="str">
        <f t="shared" si="26"/>
        <v>Q37|ISO 27001</v>
      </c>
      <c r="AY296" s="13" t="s">
        <v>469</v>
      </c>
      <c r="AZ296" s="13" t="s">
        <v>1137</v>
      </c>
      <c r="BA296" s="2">
        <v>0.8</v>
      </c>
    </row>
    <row r="297" spans="48:53" x14ac:dyDescent="0.2">
      <c r="AV297" s="2" t="s">
        <v>750</v>
      </c>
      <c r="AW297" s="2" t="s">
        <v>713</v>
      </c>
      <c r="AX297" s="2" t="str">
        <f t="shared" si="26"/>
        <v>Q37|SOC2</v>
      </c>
      <c r="AY297" s="13" t="s">
        <v>555</v>
      </c>
      <c r="AZ297" s="13" t="s">
        <v>1196</v>
      </c>
      <c r="BA297" s="2">
        <v>1</v>
      </c>
    </row>
    <row r="298" spans="48:53" x14ac:dyDescent="0.2">
      <c r="AV298" s="2" t="s">
        <v>750</v>
      </c>
      <c r="AW298" s="2" t="s">
        <v>1044</v>
      </c>
      <c r="AX298" s="2" t="str">
        <f t="shared" si="26"/>
        <v>Q37|CIS v8</v>
      </c>
      <c r="AY298" s="13" t="s">
        <v>1850</v>
      </c>
      <c r="AZ298" s="13" t="s">
        <v>1092</v>
      </c>
      <c r="BA298" s="2">
        <v>0.8</v>
      </c>
    </row>
    <row r="299" spans="48:53" x14ac:dyDescent="0.2">
      <c r="AV299" s="2" t="s">
        <v>751</v>
      </c>
      <c r="AW299" s="2" t="s">
        <v>1041</v>
      </c>
      <c r="AX299" s="2" t="str">
        <f t="shared" si="26"/>
        <v>Q38|NIST CSF 2.0</v>
      </c>
      <c r="AY299" s="13" t="s">
        <v>556</v>
      </c>
      <c r="AZ299" s="13" t="s">
        <v>1067</v>
      </c>
      <c r="BA299" s="2">
        <v>1</v>
      </c>
    </row>
    <row r="300" spans="48:53" x14ac:dyDescent="0.2">
      <c r="AV300" s="2" t="s">
        <v>751</v>
      </c>
      <c r="AW300" s="2" t="s">
        <v>710</v>
      </c>
      <c r="AX300" s="2" t="str">
        <f t="shared" si="26"/>
        <v>Q38|NIST PQC</v>
      </c>
      <c r="AY300" s="13" t="s">
        <v>557</v>
      </c>
      <c r="AZ300" s="13" t="s">
        <v>1095</v>
      </c>
      <c r="BA300" s="2">
        <v>1</v>
      </c>
    </row>
    <row r="301" spans="48:53" x14ac:dyDescent="0.2">
      <c r="AV301" s="2" t="s">
        <v>751</v>
      </c>
      <c r="AW301" s="2" t="s">
        <v>1042</v>
      </c>
      <c r="AX301" s="2" t="str">
        <f t="shared" si="26"/>
        <v>Q38|CMMC 2.0</v>
      </c>
      <c r="AY301" s="13" t="s">
        <v>526</v>
      </c>
      <c r="AZ301" s="13" t="s">
        <v>1076</v>
      </c>
      <c r="BA301" s="2">
        <v>0.8</v>
      </c>
    </row>
    <row r="302" spans="48:53" x14ac:dyDescent="0.2">
      <c r="AV302" s="2" t="s">
        <v>751</v>
      </c>
      <c r="AW302" s="2" t="s">
        <v>711</v>
      </c>
      <c r="AX302" s="2" t="str">
        <f t="shared" si="26"/>
        <v>Q38|FISMA</v>
      </c>
      <c r="AY302" s="13" t="s">
        <v>558</v>
      </c>
      <c r="AZ302" s="13" t="s">
        <v>1077</v>
      </c>
      <c r="BA302" s="2">
        <v>1</v>
      </c>
    </row>
    <row r="303" spans="48:53" x14ac:dyDescent="0.2">
      <c r="AV303" s="2" t="s">
        <v>751</v>
      </c>
      <c r="AW303" s="2" t="s">
        <v>712</v>
      </c>
      <c r="AX303" s="2" t="str">
        <f t="shared" si="26"/>
        <v>Q38|FedRAMP</v>
      </c>
      <c r="AY303" s="13" t="s">
        <v>558</v>
      </c>
      <c r="AZ303" s="13" t="s">
        <v>1077</v>
      </c>
      <c r="BA303" s="2">
        <v>1</v>
      </c>
    </row>
    <row r="304" spans="48:53" x14ac:dyDescent="0.2">
      <c r="AV304" s="2" t="s">
        <v>751</v>
      </c>
      <c r="AW304" s="2" t="s">
        <v>1043</v>
      </c>
      <c r="AX304" s="2" t="str">
        <f t="shared" si="26"/>
        <v>Q38|ISO 27001</v>
      </c>
      <c r="AY304" s="13" t="s">
        <v>509</v>
      </c>
      <c r="AZ304" s="13" t="s">
        <v>1137</v>
      </c>
      <c r="BA304" s="2">
        <v>1</v>
      </c>
    </row>
    <row r="305" spans="48:53" x14ac:dyDescent="0.2">
      <c r="AV305" s="2" t="s">
        <v>751</v>
      </c>
      <c r="AW305" s="2" t="s">
        <v>713</v>
      </c>
      <c r="AX305" s="2" t="str">
        <f t="shared" si="26"/>
        <v>Q38|SOC2</v>
      </c>
      <c r="AY305" s="13" t="s">
        <v>559</v>
      </c>
      <c r="AZ305" s="13" t="s">
        <v>1197</v>
      </c>
      <c r="BA305" s="2">
        <v>1</v>
      </c>
    </row>
    <row r="306" spans="48:53" x14ac:dyDescent="0.2">
      <c r="AV306" s="2" t="s">
        <v>751</v>
      </c>
      <c r="AW306" s="2" t="s">
        <v>1044</v>
      </c>
      <c r="AX306" s="2" t="str">
        <f t="shared" si="26"/>
        <v>Q38|CIS v8</v>
      </c>
      <c r="AY306" s="13" t="s">
        <v>1830</v>
      </c>
      <c r="AZ306" s="13" t="s">
        <v>1092</v>
      </c>
      <c r="BA306" s="2">
        <v>0.8</v>
      </c>
    </row>
    <row r="307" spans="48:53" x14ac:dyDescent="0.2">
      <c r="AV307" s="2" t="s">
        <v>752</v>
      </c>
      <c r="AW307" s="2" t="s">
        <v>1041</v>
      </c>
      <c r="AX307" s="2" t="str">
        <f t="shared" si="26"/>
        <v>Q39|NIST CSF 2.0</v>
      </c>
      <c r="AY307" s="13" t="s">
        <v>560</v>
      </c>
      <c r="AZ307" s="13" t="s">
        <v>1067</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1042</v>
      </c>
      <c r="AX309" s="2" t="str">
        <f t="shared" si="26"/>
        <v>Q39|CMMC 2.0</v>
      </c>
      <c r="AY309" s="13" t="s">
        <v>502</v>
      </c>
      <c r="AZ309" s="13" t="s">
        <v>1076</v>
      </c>
      <c r="BA309" s="2">
        <v>1</v>
      </c>
    </row>
    <row r="310" spans="48:53" x14ac:dyDescent="0.2">
      <c r="AV310" s="2" t="s">
        <v>752</v>
      </c>
      <c r="AW310" s="2" t="s">
        <v>711</v>
      </c>
      <c r="AX310" s="2" t="str">
        <f t="shared" si="26"/>
        <v>Q39|FISMA</v>
      </c>
      <c r="AY310" s="13" t="s">
        <v>528</v>
      </c>
      <c r="AZ310" s="13" t="s">
        <v>1077</v>
      </c>
      <c r="BA310" s="2">
        <v>1</v>
      </c>
    </row>
    <row r="311" spans="48:53" x14ac:dyDescent="0.2">
      <c r="AV311" s="2" t="s">
        <v>752</v>
      </c>
      <c r="AW311" s="2" t="s">
        <v>712</v>
      </c>
      <c r="AX311" s="2" t="str">
        <f t="shared" si="26"/>
        <v>Q39|FedRAMP</v>
      </c>
      <c r="AY311" s="13" t="s">
        <v>528</v>
      </c>
      <c r="AZ311" s="13" t="s">
        <v>1077</v>
      </c>
      <c r="BA311" s="2">
        <v>1</v>
      </c>
    </row>
    <row r="312" spans="48:53" x14ac:dyDescent="0.2">
      <c r="AV312" s="2" t="s">
        <v>752</v>
      </c>
      <c r="AW312" s="2" t="s">
        <v>1043</v>
      </c>
      <c r="AX312" s="2" t="str">
        <f t="shared" si="26"/>
        <v>Q39|ISO 27001</v>
      </c>
      <c r="AY312" s="13" t="s">
        <v>561</v>
      </c>
      <c r="AZ312" s="13" t="s">
        <v>1141</v>
      </c>
      <c r="BA312" s="2">
        <v>1</v>
      </c>
    </row>
    <row r="313" spans="48:53" x14ac:dyDescent="0.2">
      <c r="AV313" s="2" t="s">
        <v>752</v>
      </c>
      <c r="AW313" s="2" t="s">
        <v>713</v>
      </c>
      <c r="AX313" s="2" t="str">
        <f t="shared" si="26"/>
        <v>Q39|SOC2</v>
      </c>
      <c r="AY313" s="13" t="s">
        <v>529</v>
      </c>
      <c r="AZ313" s="13" t="s">
        <v>1195</v>
      </c>
      <c r="BA313" s="2">
        <v>1</v>
      </c>
    </row>
    <row r="314" spans="48:53" x14ac:dyDescent="0.2">
      <c r="AV314" s="2" t="s">
        <v>752</v>
      </c>
      <c r="AW314" s="2" t="s">
        <v>1044</v>
      </c>
      <c r="AX314" s="2" t="str">
        <f t="shared" si="26"/>
        <v>Q39|CIS v8</v>
      </c>
      <c r="AY314" s="13" t="s">
        <v>1847</v>
      </c>
      <c r="AZ314" s="13" t="s">
        <v>1092</v>
      </c>
      <c r="BA314" s="2">
        <v>1</v>
      </c>
    </row>
    <row r="315" spans="48:53" x14ac:dyDescent="0.2">
      <c r="AV315" s="2" t="s">
        <v>753</v>
      </c>
      <c r="AW315" s="2" t="s">
        <v>1041</v>
      </c>
      <c r="AX315" s="2" t="str">
        <f t="shared" si="26"/>
        <v>Q40|NIST CSF 2.0</v>
      </c>
      <c r="AY315" s="13" t="s">
        <v>545</v>
      </c>
      <c r="AZ315" s="13" t="s">
        <v>1067</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1042</v>
      </c>
      <c r="AX317" s="2" t="str">
        <f t="shared" si="26"/>
        <v>Q40|CMMC 2.0</v>
      </c>
      <c r="AY317" s="13" t="s">
        <v>502</v>
      </c>
      <c r="AZ317" s="13" t="s">
        <v>1076</v>
      </c>
      <c r="BA317" s="2">
        <v>0.8</v>
      </c>
    </row>
    <row r="318" spans="48:53" x14ac:dyDescent="0.2">
      <c r="AV318" s="2" t="s">
        <v>753</v>
      </c>
      <c r="AW318" s="2" t="s">
        <v>711</v>
      </c>
      <c r="AX318" s="2" t="str">
        <f t="shared" si="26"/>
        <v>Q40|FISMA</v>
      </c>
      <c r="AY318" s="13" t="s">
        <v>503</v>
      </c>
      <c r="AZ318" s="13" t="s">
        <v>1076</v>
      </c>
      <c r="BA318" s="2">
        <v>1</v>
      </c>
    </row>
    <row r="319" spans="48:53" x14ac:dyDescent="0.2">
      <c r="AV319" s="2" t="s">
        <v>753</v>
      </c>
      <c r="AW319" s="2" t="s">
        <v>712</v>
      </c>
      <c r="AX319" s="2" t="str">
        <f t="shared" si="26"/>
        <v>Q40|FedRAMP</v>
      </c>
      <c r="AY319" s="13" t="s">
        <v>503</v>
      </c>
      <c r="AZ319" s="13" t="s">
        <v>1076</v>
      </c>
      <c r="BA319" s="2">
        <v>1</v>
      </c>
    </row>
    <row r="320" spans="48:53" x14ac:dyDescent="0.2">
      <c r="AV320" s="2" t="s">
        <v>753</v>
      </c>
      <c r="AW320" s="2" t="s">
        <v>1043</v>
      </c>
      <c r="AX320" s="2" t="str">
        <f t="shared" si="26"/>
        <v>Q40|ISO 27001</v>
      </c>
      <c r="AY320" s="13" t="s">
        <v>562</v>
      </c>
      <c r="AZ320" s="13" t="s">
        <v>1141</v>
      </c>
      <c r="BA320" s="2">
        <v>1</v>
      </c>
    </row>
    <row r="321" spans="48:53" x14ac:dyDescent="0.2">
      <c r="AV321" s="2" t="s">
        <v>753</v>
      </c>
      <c r="AW321" s="2" t="s">
        <v>713</v>
      </c>
      <c r="AX321" s="2" t="str">
        <f t="shared" si="26"/>
        <v>Q40|SOC2</v>
      </c>
      <c r="AY321" s="13" t="s">
        <v>563</v>
      </c>
      <c r="AZ321" s="13" t="s">
        <v>1195</v>
      </c>
      <c r="BA321" s="2">
        <v>1</v>
      </c>
    </row>
    <row r="322" spans="48:53" x14ac:dyDescent="0.2">
      <c r="AV322" s="2" t="s">
        <v>753</v>
      </c>
      <c r="AW322" s="2" t="s">
        <v>1044</v>
      </c>
      <c r="AX322" s="2" t="str">
        <f t="shared" si="26"/>
        <v>Q40|CIS v8</v>
      </c>
      <c r="AY322" s="13" t="s">
        <v>1851</v>
      </c>
      <c r="AZ322" s="13" t="s">
        <v>1092</v>
      </c>
      <c r="BA322" s="2">
        <v>0.8</v>
      </c>
    </row>
    <row r="323" spans="48:53" x14ac:dyDescent="0.2">
      <c r="AV323" s="2" t="s">
        <v>754</v>
      </c>
      <c r="AW323" s="2" t="s">
        <v>1041</v>
      </c>
      <c r="AX323" s="2" t="str">
        <f t="shared" si="26"/>
        <v>Q41|NIST CSF 2.0</v>
      </c>
      <c r="AY323" s="13" t="s">
        <v>515</v>
      </c>
      <c r="AZ323" s="13" t="s">
        <v>1064</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1042</v>
      </c>
      <c r="AX325" s="2" t="str">
        <f t="shared" si="27"/>
        <v>Q41|CMMC 2.0</v>
      </c>
      <c r="AY325" s="13" t="s">
        <v>468</v>
      </c>
      <c r="AZ325" s="13" t="s">
        <v>1073</v>
      </c>
      <c r="BA325" s="2">
        <v>1</v>
      </c>
    </row>
    <row r="326" spans="48:53" x14ac:dyDescent="0.2">
      <c r="AV326" s="2" t="s">
        <v>754</v>
      </c>
      <c r="AW326" s="2" t="s">
        <v>711</v>
      </c>
      <c r="AX326" s="2" t="str">
        <f t="shared" si="27"/>
        <v>Q41|FISMA</v>
      </c>
      <c r="AY326" s="13" t="s">
        <v>516</v>
      </c>
      <c r="AZ326" s="13" t="s">
        <v>1077</v>
      </c>
      <c r="BA326" s="2">
        <v>1</v>
      </c>
    </row>
    <row r="327" spans="48:53" x14ac:dyDescent="0.2">
      <c r="AV327" s="2" t="s">
        <v>754</v>
      </c>
      <c r="AW327" s="2" t="s">
        <v>712</v>
      </c>
      <c r="AX327" s="2" t="str">
        <f t="shared" si="27"/>
        <v>Q41|FedRAMP</v>
      </c>
      <c r="AY327" s="13" t="s">
        <v>516</v>
      </c>
      <c r="AZ327" s="13" t="s">
        <v>1077</v>
      </c>
      <c r="BA327" s="2">
        <v>1</v>
      </c>
    </row>
    <row r="328" spans="48:53" x14ac:dyDescent="0.2">
      <c r="AV328" s="2" t="s">
        <v>754</v>
      </c>
      <c r="AW328" s="2" t="s">
        <v>1043</v>
      </c>
      <c r="AX328" s="2" t="str">
        <f t="shared" si="27"/>
        <v>Q41|ISO 27001</v>
      </c>
      <c r="AY328" s="13" t="s">
        <v>564</v>
      </c>
      <c r="AZ328" s="13" t="s">
        <v>1138</v>
      </c>
      <c r="BA328" s="2">
        <v>1</v>
      </c>
    </row>
    <row r="329" spans="48:53" x14ac:dyDescent="0.2">
      <c r="AV329" s="2" t="s">
        <v>754</v>
      </c>
      <c r="AW329" s="2" t="s">
        <v>713</v>
      </c>
      <c r="AX329" s="2" t="str">
        <f t="shared" si="27"/>
        <v>Q41|SOC2</v>
      </c>
      <c r="AY329" s="13" t="s">
        <v>565</v>
      </c>
      <c r="AZ329" s="13" t="s">
        <v>1192</v>
      </c>
      <c r="BA329" s="2">
        <v>1</v>
      </c>
    </row>
    <row r="330" spans="48:53" x14ac:dyDescent="0.2">
      <c r="AV330" s="2" t="s">
        <v>754</v>
      </c>
      <c r="AW330" s="2" t="s">
        <v>1044</v>
      </c>
      <c r="AX330" s="2" t="str">
        <f t="shared" si="27"/>
        <v>Q41|CIS v8</v>
      </c>
      <c r="AY330" s="13" t="s">
        <v>1844</v>
      </c>
      <c r="AZ330" s="13" t="s">
        <v>1092</v>
      </c>
      <c r="BA330" s="2">
        <v>1</v>
      </c>
    </row>
    <row r="331" spans="48:53" x14ac:dyDescent="0.2">
      <c r="AV331" s="2" t="s">
        <v>755</v>
      </c>
      <c r="AW331" s="2" t="s">
        <v>1041</v>
      </c>
      <c r="AX331" s="2" t="str">
        <f t="shared" si="27"/>
        <v>Q42|NIST CSF 2.0</v>
      </c>
      <c r="AY331" s="13" t="s">
        <v>511</v>
      </c>
      <c r="AZ331" s="13" t="s">
        <v>1064</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1042</v>
      </c>
      <c r="AX333" s="2" t="str">
        <f t="shared" si="27"/>
        <v>Q42|CMMC 2.0</v>
      </c>
      <c r="AY333" s="13" t="s">
        <v>468</v>
      </c>
      <c r="AZ333" s="13" t="s">
        <v>1073</v>
      </c>
      <c r="BA333" s="2">
        <v>0.8</v>
      </c>
    </row>
    <row r="334" spans="48:53" x14ac:dyDescent="0.2">
      <c r="AV334" s="2" t="s">
        <v>755</v>
      </c>
      <c r="AW334" s="2" t="s">
        <v>711</v>
      </c>
      <c r="AX334" s="2" t="str">
        <f t="shared" si="27"/>
        <v>Q42|FISMA</v>
      </c>
      <c r="AY334" s="13" t="s">
        <v>516</v>
      </c>
      <c r="AZ334" s="13" t="s">
        <v>1077</v>
      </c>
      <c r="BA334" s="2">
        <v>1</v>
      </c>
    </row>
    <row r="335" spans="48:53" x14ac:dyDescent="0.2">
      <c r="AV335" s="2" t="s">
        <v>755</v>
      </c>
      <c r="AW335" s="2" t="s">
        <v>712</v>
      </c>
      <c r="AX335" s="2" t="str">
        <f t="shared" si="27"/>
        <v>Q42|FedRAMP</v>
      </c>
      <c r="AY335" s="13" t="s">
        <v>516</v>
      </c>
      <c r="AZ335" s="13" t="s">
        <v>1077</v>
      </c>
      <c r="BA335" s="2">
        <v>1</v>
      </c>
    </row>
    <row r="336" spans="48:53" x14ac:dyDescent="0.2">
      <c r="AV336" s="2" t="s">
        <v>755</v>
      </c>
      <c r="AW336" s="2" t="s">
        <v>1043</v>
      </c>
      <c r="AX336" s="2" t="str">
        <f t="shared" si="27"/>
        <v>Q42|ISO 27001</v>
      </c>
      <c r="AY336" s="13" t="s">
        <v>537</v>
      </c>
      <c r="AZ336" s="13" t="s">
        <v>1138</v>
      </c>
      <c r="BA336" s="2">
        <v>1</v>
      </c>
    </row>
    <row r="337" spans="48:53" x14ac:dyDescent="0.2">
      <c r="AV337" s="2" t="s">
        <v>755</v>
      </c>
      <c r="AW337" s="2" t="s">
        <v>713</v>
      </c>
      <c r="AX337" s="2" t="str">
        <f t="shared" si="27"/>
        <v>Q42|SOC2</v>
      </c>
      <c r="AY337" s="13" t="s">
        <v>470</v>
      </c>
      <c r="AZ337" s="13" t="s">
        <v>1192</v>
      </c>
      <c r="BA337" s="2">
        <v>1</v>
      </c>
    </row>
    <row r="338" spans="48:53" x14ac:dyDescent="0.2">
      <c r="AV338" s="2" t="s">
        <v>755</v>
      </c>
      <c r="AW338" s="2" t="s">
        <v>1044</v>
      </c>
      <c r="AX338" s="2" t="str">
        <f t="shared" si="27"/>
        <v>Q42|CIS v8</v>
      </c>
      <c r="AY338" s="13" t="s">
        <v>1845</v>
      </c>
      <c r="AZ338" s="13" t="s">
        <v>1092</v>
      </c>
      <c r="BA338" s="2">
        <v>0.8</v>
      </c>
    </row>
    <row r="339" spans="48:53" x14ac:dyDescent="0.2">
      <c r="AV339" s="2" t="s">
        <v>756</v>
      </c>
      <c r="AW339" s="2" t="s">
        <v>1041</v>
      </c>
      <c r="AX339" s="2" t="str">
        <f t="shared" si="27"/>
        <v>Q43|NIST CSF 2.0</v>
      </c>
      <c r="AY339" s="13" t="s">
        <v>487</v>
      </c>
      <c r="AZ339" s="13" t="s">
        <v>1064</v>
      </c>
      <c r="BA339" s="2">
        <v>1</v>
      </c>
    </row>
    <row r="340" spans="48:53" x14ac:dyDescent="0.2">
      <c r="AV340" s="2" t="s">
        <v>756</v>
      </c>
      <c r="AW340" s="2" t="s">
        <v>710</v>
      </c>
      <c r="AX340" s="2" t="str">
        <f t="shared" si="27"/>
        <v>Q43|NIST PQC</v>
      </c>
      <c r="AY340" s="13" t="s">
        <v>566</v>
      </c>
      <c r="AZ340" s="13" t="s">
        <v>1095</v>
      </c>
      <c r="BA340" s="2">
        <v>1</v>
      </c>
    </row>
    <row r="341" spans="48:53" x14ac:dyDescent="0.2">
      <c r="AV341" s="2" t="s">
        <v>756</v>
      </c>
      <c r="AW341" s="2" t="s">
        <v>1042</v>
      </c>
      <c r="AX341" s="2" t="str">
        <f t="shared" si="27"/>
        <v>Q43|CMMC 2.0</v>
      </c>
      <c r="AY341" s="13" t="s">
        <v>489</v>
      </c>
      <c r="AZ341" s="13" t="s">
        <v>1073</v>
      </c>
      <c r="BA341" s="2">
        <v>0.8</v>
      </c>
    </row>
    <row r="342" spans="48:53" x14ac:dyDescent="0.2">
      <c r="AV342" s="2" t="s">
        <v>756</v>
      </c>
      <c r="AW342" s="2" t="s">
        <v>711</v>
      </c>
      <c r="AX342" s="2" t="str">
        <f t="shared" si="27"/>
        <v>Q43|FISMA</v>
      </c>
      <c r="AY342" s="13" t="s">
        <v>490</v>
      </c>
      <c r="AZ342" s="13" t="s">
        <v>1073</v>
      </c>
      <c r="BA342" s="2">
        <v>1</v>
      </c>
    </row>
    <row r="343" spans="48:53" x14ac:dyDescent="0.2">
      <c r="AV343" s="2" t="s">
        <v>756</v>
      </c>
      <c r="AW343" s="2" t="s">
        <v>712</v>
      </c>
      <c r="AX343" s="2" t="str">
        <f t="shared" si="27"/>
        <v>Q43|FedRAMP</v>
      </c>
      <c r="AY343" s="13" t="s">
        <v>490</v>
      </c>
      <c r="AZ343" s="13" t="s">
        <v>1073</v>
      </c>
      <c r="BA343" s="2">
        <v>1</v>
      </c>
    </row>
    <row r="344" spans="48:53" x14ac:dyDescent="0.2">
      <c r="AV344" s="2" t="s">
        <v>756</v>
      </c>
      <c r="AW344" s="2" t="s">
        <v>1043</v>
      </c>
      <c r="AX344" s="2" t="str">
        <f t="shared" si="27"/>
        <v>Q43|ISO 27001</v>
      </c>
      <c r="AY344" s="13" t="s">
        <v>537</v>
      </c>
      <c r="AZ344" s="13" t="s">
        <v>1138</v>
      </c>
      <c r="BA344" s="2">
        <v>0.8</v>
      </c>
    </row>
    <row r="345" spans="48:53" x14ac:dyDescent="0.2">
      <c r="AV345" s="2" t="s">
        <v>756</v>
      </c>
      <c r="AW345" s="2" t="s">
        <v>713</v>
      </c>
      <c r="AX345" s="2" t="str">
        <f t="shared" si="27"/>
        <v>Q43|SOC2</v>
      </c>
      <c r="AY345" s="13" t="s">
        <v>470</v>
      </c>
      <c r="AZ345" s="13" t="s">
        <v>1192</v>
      </c>
      <c r="BA345" s="2">
        <v>0.8</v>
      </c>
    </row>
    <row r="346" spans="48:53" x14ac:dyDescent="0.2">
      <c r="AV346" s="2" t="s">
        <v>756</v>
      </c>
      <c r="AW346" s="2" t="s">
        <v>1044</v>
      </c>
      <c r="AX346" s="2" t="str">
        <f t="shared" si="27"/>
        <v>Q43|CIS v8</v>
      </c>
      <c r="AY346" s="13" t="s">
        <v>1844</v>
      </c>
      <c r="AZ346" s="13" t="s">
        <v>1092</v>
      </c>
      <c r="BA346" s="2">
        <v>0.6</v>
      </c>
    </row>
    <row r="347" spans="48:53" x14ac:dyDescent="0.2">
      <c r="AV347" s="2" t="s">
        <v>757</v>
      </c>
      <c r="AW347" s="2" t="s">
        <v>1041</v>
      </c>
      <c r="AX347" s="2" t="str">
        <f t="shared" si="27"/>
        <v>Q44|NIST CSF 2.0</v>
      </c>
      <c r="AY347" s="13" t="s">
        <v>480</v>
      </c>
      <c r="AZ347" s="13" t="s">
        <v>1064</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1042</v>
      </c>
      <c r="AX349" s="2" t="str">
        <f t="shared" si="27"/>
        <v>Q44|CMMC 2.0</v>
      </c>
      <c r="AY349" s="13" t="s">
        <v>468</v>
      </c>
      <c r="AZ349" s="13" t="s">
        <v>1073</v>
      </c>
      <c r="BA349" s="2">
        <v>1</v>
      </c>
    </row>
    <row r="350" spans="48:53" x14ac:dyDescent="0.2">
      <c r="AV350" s="2" t="s">
        <v>757</v>
      </c>
      <c r="AW350" s="2" t="s">
        <v>711</v>
      </c>
      <c r="AX350" s="2" t="str">
        <f t="shared" si="27"/>
        <v>Q44|FISMA</v>
      </c>
      <c r="AY350" s="13" t="s">
        <v>490</v>
      </c>
      <c r="AZ350" s="13" t="s">
        <v>1073</v>
      </c>
      <c r="BA350" s="2">
        <v>1</v>
      </c>
    </row>
    <row r="351" spans="48:53" x14ac:dyDescent="0.2">
      <c r="AV351" s="2" t="s">
        <v>757</v>
      </c>
      <c r="AW351" s="2" t="s">
        <v>712</v>
      </c>
      <c r="AX351" s="2" t="str">
        <f t="shared" si="27"/>
        <v>Q44|FedRAMP</v>
      </c>
      <c r="AY351" s="13" t="s">
        <v>490</v>
      </c>
      <c r="AZ351" s="13" t="s">
        <v>1073</v>
      </c>
      <c r="BA351" s="2">
        <v>1</v>
      </c>
    </row>
    <row r="352" spans="48:53" x14ac:dyDescent="0.2">
      <c r="AV352" s="2" t="s">
        <v>757</v>
      </c>
      <c r="AW352" s="2" t="s">
        <v>1043</v>
      </c>
      <c r="AX352" s="2" t="str">
        <f t="shared" si="27"/>
        <v>Q44|ISO 27001</v>
      </c>
      <c r="AY352" s="13" t="s">
        <v>513</v>
      </c>
      <c r="AZ352" s="13" t="s">
        <v>1138</v>
      </c>
      <c r="BA352" s="2">
        <v>1</v>
      </c>
    </row>
    <row r="353" spans="48:53" x14ac:dyDescent="0.2">
      <c r="AV353" s="2" t="s">
        <v>757</v>
      </c>
      <c r="AW353" s="2" t="s">
        <v>713</v>
      </c>
      <c r="AX353" s="2" t="str">
        <f t="shared" si="27"/>
        <v>Q44|SOC2</v>
      </c>
      <c r="AY353" s="13" t="s">
        <v>470</v>
      </c>
      <c r="AZ353" s="13" t="s">
        <v>1192</v>
      </c>
      <c r="BA353" s="2">
        <v>1</v>
      </c>
    </row>
    <row r="354" spans="48:53" x14ac:dyDescent="0.2">
      <c r="AV354" s="2" t="s">
        <v>757</v>
      </c>
      <c r="AW354" s="2" t="s">
        <v>1044</v>
      </c>
      <c r="AX354" s="2" t="str">
        <f t="shared" si="27"/>
        <v>Q44|CIS v8</v>
      </c>
      <c r="AY354" s="13" t="s">
        <v>1844</v>
      </c>
      <c r="AZ354" s="13" t="s">
        <v>1092</v>
      </c>
      <c r="BA354" s="2">
        <v>1</v>
      </c>
    </row>
    <row r="355" spans="48:53" x14ac:dyDescent="0.2">
      <c r="AV355" s="2" t="s">
        <v>758</v>
      </c>
      <c r="AW355" s="2" t="s">
        <v>1041</v>
      </c>
      <c r="AX355" s="2" t="str">
        <f t="shared" si="27"/>
        <v>Q45|NIST CSF 2.0</v>
      </c>
      <c r="AY355" s="13" t="s">
        <v>567</v>
      </c>
      <c r="AZ355" s="13" t="s">
        <v>1068</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1042</v>
      </c>
      <c r="AX357" s="2" t="str">
        <f t="shared" si="27"/>
        <v>Q45|CMMC 2.0</v>
      </c>
      <c r="AY357" s="13" t="s">
        <v>568</v>
      </c>
      <c r="AZ357" s="13" t="s">
        <v>1076</v>
      </c>
      <c r="BA357" s="2">
        <v>1</v>
      </c>
    </row>
    <row r="358" spans="48:53" x14ac:dyDescent="0.2">
      <c r="AV358" s="2" t="s">
        <v>758</v>
      </c>
      <c r="AW358" s="2" t="s">
        <v>711</v>
      </c>
      <c r="AX358" s="2" t="str">
        <f t="shared" si="27"/>
        <v>Q45|FISMA</v>
      </c>
      <c r="AY358" s="13" t="s">
        <v>569</v>
      </c>
      <c r="AZ358" s="13" t="s">
        <v>1076</v>
      </c>
      <c r="BA358" s="2">
        <v>1</v>
      </c>
    </row>
    <row r="359" spans="48:53" x14ac:dyDescent="0.2">
      <c r="AV359" s="2" t="s">
        <v>758</v>
      </c>
      <c r="AW359" s="2" t="s">
        <v>712</v>
      </c>
      <c r="AX359" s="2" t="str">
        <f t="shared" si="27"/>
        <v>Q45|FedRAMP</v>
      </c>
      <c r="AY359" s="13" t="s">
        <v>569</v>
      </c>
      <c r="AZ359" s="13" t="s">
        <v>1076</v>
      </c>
      <c r="BA359" s="2">
        <v>1</v>
      </c>
    </row>
    <row r="360" spans="48:53" x14ac:dyDescent="0.2">
      <c r="AV360" s="2" t="s">
        <v>758</v>
      </c>
      <c r="AW360" s="2" t="s">
        <v>1043</v>
      </c>
      <c r="AX360" s="2" t="str">
        <f t="shared" si="27"/>
        <v>Q45|ISO 27001</v>
      </c>
      <c r="AY360" s="13" t="s">
        <v>513</v>
      </c>
      <c r="AZ360" s="13" t="s">
        <v>1138</v>
      </c>
      <c r="BA360" s="2">
        <v>1</v>
      </c>
    </row>
    <row r="361" spans="48:53" x14ac:dyDescent="0.2">
      <c r="AV361" s="2" t="s">
        <v>758</v>
      </c>
      <c r="AW361" s="2" t="s">
        <v>713</v>
      </c>
      <c r="AX361" s="2" t="str">
        <f t="shared" si="27"/>
        <v>Q45|SOC2</v>
      </c>
      <c r="AY361" s="13" t="s">
        <v>514</v>
      </c>
      <c r="AZ361" s="13" t="s">
        <v>1192</v>
      </c>
      <c r="BA361" s="2">
        <v>1</v>
      </c>
    </row>
    <row r="362" spans="48:53" x14ac:dyDescent="0.2">
      <c r="AV362" s="2" t="s">
        <v>758</v>
      </c>
      <c r="AW362" s="2" t="s">
        <v>1044</v>
      </c>
      <c r="AX362" s="2" t="str">
        <f t="shared" si="27"/>
        <v>Q45|CIS v8</v>
      </c>
      <c r="AY362" s="13" t="s">
        <v>1845</v>
      </c>
      <c r="AZ362" s="13" t="s">
        <v>1092</v>
      </c>
      <c r="BA362" s="2">
        <v>0.8</v>
      </c>
    </row>
    <row r="363" spans="48:53" x14ac:dyDescent="0.2">
      <c r="AV363" s="2" t="s">
        <v>759</v>
      </c>
      <c r="AW363" s="2" t="s">
        <v>1041</v>
      </c>
      <c r="AX363" s="2" t="str">
        <f t="shared" si="27"/>
        <v>Q46|NIST CSF 2.0</v>
      </c>
      <c r="AY363" s="13" t="s">
        <v>525</v>
      </c>
      <c r="AZ363" s="13" t="s">
        <v>1065</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1042</v>
      </c>
      <c r="AX365" s="2" t="str">
        <f t="shared" si="27"/>
        <v>Q46|CMMC 2.0</v>
      </c>
      <c r="AY365" s="13" t="s">
        <v>526</v>
      </c>
      <c r="AZ365" s="13" t="s">
        <v>1076</v>
      </c>
      <c r="BA365" s="2">
        <v>1</v>
      </c>
    </row>
    <row r="366" spans="48:53" x14ac:dyDescent="0.2">
      <c r="AV366" s="2" t="s">
        <v>759</v>
      </c>
      <c r="AW366" s="2" t="s">
        <v>711</v>
      </c>
      <c r="AX366" s="2" t="str">
        <f t="shared" si="27"/>
        <v>Q46|FISMA</v>
      </c>
      <c r="AY366" s="13" t="s">
        <v>503</v>
      </c>
      <c r="AZ366" s="13" t="s">
        <v>1076</v>
      </c>
      <c r="BA366" s="2">
        <v>1</v>
      </c>
    </row>
    <row r="367" spans="48:53" x14ac:dyDescent="0.2">
      <c r="AV367" s="2" t="s">
        <v>759</v>
      </c>
      <c r="AW367" s="2" t="s">
        <v>712</v>
      </c>
      <c r="AX367" s="2" t="str">
        <f t="shared" si="27"/>
        <v>Q46|FedRAMP</v>
      </c>
      <c r="AY367" s="13" t="s">
        <v>503</v>
      </c>
      <c r="AZ367" s="13" t="s">
        <v>1076</v>
      </c>
      <c r="BA367" s="2">
        <v>1</v>
      </c>
    </row>
    <row r="368" spans="48:53" x14ac:dyDescent="0.2">
      <c r="AV368" s="2" t="s">
        <v>759</v>
      </c>
      <c r="AW368" s="2" t="s">
        <v>1043</v>
      </c>
      <c r="AX368" s="2" t="str">
        <f t="shared" si="27"/>
        <v>Q46|ISO 27001</v>
      </c>
      <c r="AY368" s="13" t="s">
        <v>527</v>
      </c>
      <c r="AZ368" s="13" t="s">
        <v>1138</v>
      </c>
      <c r="BA368" s="2">
        <v>1</v>
      </c>
    </row>
    <row r="369" spans="48:53" x14ac:dyDescent="0.2">
      <c r="AV369" s="2" t="s">
        <v>759</v>
      </c>
      <c r="AW369" s="2" t="s">
        <v>713</v>
      </c>
      <c r="AX369" s="2" t="str">
        <f t="shared" si="27"/>
        <v>Q46|SOC2</v>
      </c>
      <c r="AY369" s="13" t="s">
        <v>484</v>
      </c>
      <c r="AZ369" s="13" t="s">
        <v>1194</v>
      </c>
      <c r="BA369" s="2">
        <v>1</v>
      </c>
    </row>
    <row r="370" spans="48:53" x14ac:dyDescent="0.2">
      <c r="AV370" s="2" t="s">
        <v>759</v>
      </c>
      <c r="AW370" s="2" t="s">
        <v>1044</v>
      </c>
      <c r="AX370" s="2" t="str">
        <f t="shared" si="27"/>
        <v>Q46|CIS v8</v>
      </c>
      <c r="AY370" s="13" t="s">
        <v>1837</v>
      </c>
      <c r="AZ370" s="13" t="s">
        <v>1099</v>
      </c>
      <c r="BA370" s="2">
        <v>0.8</v>
      </c>
    </row>
    <row r="371" spans="48:53" x14ac:dyDescent="0.2">
      <c r="AV371" s="2" t="s">
        <v>760</v>
      </c>
      <c r="AW371" s="2" t="s">
        <v>1041</v>
      </c>
      <c r="AX371" s="2" t="str">
        <f t="shared" si="27"/>
        <v>Q47|NIST CSF 2.0</v>
      </c>
      <c r="AY371" s="13" t="s">
        <v>523</v>
      </c>
      <c r="AZ371" s="13" t="s">
        <v>1064</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1042</v>
      </c>
      <c r="AX373" s="2" t="str">
        <f t="shared" si="27"/>
        <v>Q47|CMMC 2.0</v>
      </c>
      <c r="AY373" s="13" t="s">
        <v>502</v>
      </c>
      <c r="AZ373" s="13" t="s">
        <v>1076</v>
      </c>
      <c r="BA373" s="2">
        <v>0.8</v>
      </c>
    </row>
    <row r="374" spans="48:53" x14ac:dyDescent="0.2">
      <c r="AV374" s="2" t="s">
        <v>760</v>
      </c>
      <c r="AW374" s="2" t="s">
        <v>711</v>
      </c>
      <c r="AX374" s="2" t="str">
        <f t="shared" si="27"/>
        <v>Q47|FISMA</v>
      </c>
      <c r="AY374" s="13" t="s">
        <v>503</v>
      </c>
      <c r="AZ374" s="13" t="s">
        <v>1076</v>
      </c>
      <c r="BA374" s="2">
        <v>1</v>
      </c>
    </row>
    <row r="375" spans="48:53" x14ac:dyDescent="0.2">
      <c r="AV375" s="2" t="s">
        <v>760</v>
      </c>
      <c r="AW375" s="2" t="s">
        <v>712</v>
      </c>
      <c r="AX375" s="2" t="str">
        <f t="shared" si="27"/>
        <v>Q47|FedRAMP</v>
      </c>
      <c r="AY375" s="13" t="s">
        <v>503</v>
      </c>
      <c r="AZ375" s="13" t="s">
        <v>1076</v>
      </c>
      <c r="BA375" s="2">
        <v>1</v>
      </c>
    </row>
    <row r="376" spans="48:53" x14ac:dyDescent="0.2">
      <c r="AV376" s="2" t="s">
        <v>760</v>
      </c>
      <c r="AW376" s="2" t="s">
        <v>1043</v>
      </c>
      <c r="AX376" s="2" t="str">
        <f t="shared" si="27"/>
        <v>Q47|ISO 27001</v>
      </c>
      <c r="AY376" s="13" t="s">
        <v>517</v>
      </c>
      <c r="AZ376" s="13" t="s">
        <v>1138</v>
      </c>
      <c r="BA376" s="2">
        <v>1</v>
      </c>
    </row>
    <row r="377" spans="48:53" x14ac:dyDescent="0.2">
      <c r="AV377" s="2" t="s">
        <v>760</v>
      </c>
      <c r="AW377" s="2" t="s">
        <v>713</v>
      </c>
      <c r="AX377" s="2" t="str">
        <f t="shared" si="27"/>
        <v>Q47|SOC2</v>
      </c>
      <c r="AY377" s="13" t="s">
        <v>570</v>
      </c>
      <c r="AZ377" s="13" t="s">
        <v>1192</v>
      </c>
      <c r="BA377" s="2">
        <v>1</v>
      </c>
    </row>
    <row r="378" spans="48:53" x14ac:dyDescent="0.2">
      <c r="AV378" s="2" t="s">
        <v>760</v>
      </c>
      <c r="AW378" s="2" t="s">
        <v>1044</v>
      </c>
      <c r="AX378" s="2" t="str">
        <f t="shared" si="27"/>
        <v>Q47|CIS v8</v>
      </c>
      <c r="AY378" s="13" t="s">
        <v>1851</v>
      </c>
      <c r="AZ378" s="13" t="s">
        <v>1092</v>
      </c>
      <c r="BA378" s="2">
        <v>0.8</v>
      </c>
    </row>
    <row r="379" spans="48:53" x14ac:dyDescent="0.2">
      <c r="AV379" s="2" t="s">
        <v>761</v>
      </c>
      <c r="AW379" s="2" t="s">
        <v>1041</v>
      </c>
      <c r="AX379" s="2" t="str">
        <f t="shared" si="27"/>
        <v>Q48|NIST CSF 2.0</v>
      </c>
      <c r="AY379" s="13" t="s">
        <v>571</v>
      </c>
      <c r="AZ379" s="13" t="s">
        <v>1066</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1042</v>
      </c>
      <c r="AX381" s="2" t="str">
        <f t="shared" si="27"/>
        <v>Q48|CMMC 2.0</v>
      </c>
      <c r="AY381" s="13" t="s">
        <v>572</v>
      </c>
      <c r="AZ381" s="13" t="s">
        <v>1078</v>
      </c>
      <c r="BA381" s="2">
        <v>1</v>
      </c>
    </row>
    <row r="382" spans="48:53" x14ac:dyDescent="0.2">
      <c r="AV382" s="2" t="s">
        <v>761</v>
      </c>
      <c r="AW382" s="2" t="s">
        <v>711</v>
      </c>
      <c r="AX382" s="2" t="str">
        <f t="shared" si="27"/>
        <v>Q48|FISMA</v>
      </c>
      <c r="AY382" s="13" t="s">
        <v>573</v>
      </c>
      <c r="AZ382" s="13" t="s">
        <v>1078</v>
      </c>
      <c r="BA382" s="2">
        <v>1</v>
      </c>
    </row>
    <row r="383" spans="48:53" x14ac:dyDescent="0.2">
      <c r="AV383" s="2" t="s">
        <v>761</v>
      </c>
      <c r="AW383" s="2" t="s">
        <v>712</v>
      </c>
      <c r="AX383" s="2" t="str">
        <f t="shared" si="27"/>
        <v>Q48|FedRAMP</v>
      </c>
      <c r="AY383" s="13" t="s">
        <v>573</v>
      </c>
      <c r="AZ383" s="13" t="s">
        <v>1078</v>
      </c>
      <c r="BA383" s="2">
        <v>1</v>
      </c>
    </row>
    <row r="384" spans="48:53" x14ac:dyDescent="0.2">
      <c r="AV384" s="2" t="s">
        <v>761</v>
      </c>
      <c r="AW384" s="2" t="s">
        <v>1043</v>
      </c>
      <c r="AX384" s="2" t="str">
        <f t="shared" si="27"/>
        <v>Q48|ISO 27001</v>
      </c>
      <c r="AY384" s="13" t="s">
        <v>574</v>
      </c>
      <c r="AZ384" s="13" t="s">
        <v>1148</v>
      </c>
      <c r="BA384" s="2">
        <v>1</v>
      </c>
    </row>
    <row r="385" spans="48:53" x14ac:dyDescent="0.2">
      <c r="AV385" s="2" t="s">
        <v>761</v>
      </c>
      <c r="AW385" s="2" t="s">
        <v>713</v>
      </c>
      <c r="AX385" s="2" t="str">
        <f t="shared" si="27"/>
        <v>Q48|SOC2</v>
      </c>
      <c r="AY385" s="13" t="s">
        <v>522</v>
      </c>
      <c r="AZ385" s="13" t="s">
        <v>1194</v>
      </c>
      <c r="BA385" s="2">
        <v>1</v>
      </c>
    </row>
    <row r="386" spans="48:53" x14ac:dyDescent="0.2">
      <c r="AV386" s="2" t="s">
        <v>761</v>
      </c>
      <c r="AW386" s="2" t="s">
        <v>1044</v>
      </c>
      <c r="AX386" s="2" t="str">
        <f t="shared" si="27"/>
        <v>Q48|CIS v8</v>
      </c>
      <c r="AY386" s="13" t="s">
        <v>1852</v>
      </c>
      <c r="AZ386" s="13" t="s">
        <v>1089</v>
      </c>
      <c r="BA386" s="2">
        <v>0.8</v>
      </c>
    </row>
    <row r="387" spans="48:53" x14ac:dyDescent="0.2">
      <c r="AV387" s="2" t="s">
        <v>762</v>
      </c>
      <c r="AW387" s="2" t="s">
        <v>1041</v>
      </c>
      <c r="AX387" s="2" t="str">
        <f t="shared" si="27"/>
        <v>Q49|NIST CSF 2.0</v>
      </c>
      <c r="AY387" s="13" t="s">
        <v>575</v>
      </c>
      <c r="AZ387" s="13" t="s">
        <v>1064</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1042</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1079</v>
      </c>
      <c r="BA390" s="2">
        <v>1</v>
      </c>
    </row>
    <row r="391" spans="48:53" x14ac:dyDescent="0.2">
      <c r="AV391" s="2" t="s">
        <v>762</v>
      </c>
      <c r="AW391" s="2" t="s">
        <v>712</v>
      </c>
      <c r="AX391" s="2" t="str">
        <f t="shared" si="28"/>
        <v>Q49|FedRAMP</v>
      </c>
      <c r="AY391" s="13" t="s">
        <v>577</v>
      </c>
      <c r="AZ391" s="13" t="s">
        <v>1079</v>
      </c>
      <c r="BA391" s="2">
        <v>1</v>
      </c>
    </row>
    <row r="392" spans="48:53" x14ac:dyDescent="0.2">
      <c r="AV392" s="2" t="s">
        <v>762</v>
      </c>
      <c r="AW392" s="2" t="s">
        <v>1043</v>
      </c>
      <c r="AX392" s="2" t="str">
        <f t="shared" si="28"/>
        <v>Q49|ISO 27001</v>
      </c>
      <c r="AY392" s="13" t="s">
        <v>578</v>
      </c>
      <c r="AZ392" s="13" t="s">
        <v>1149</v>
      </c>
      <c r="BA392" s="2">
        <v>1</v>
      </c>
    </row>
    <row r="393" spans="48:53" x14ac:dyDescent="0.2">
      <c r="AV393" s="2" t="s">
        <v>762</v>
      </c>
      <c r="AW393" s="2" t="s">
        <v>713</v>
      </c>
      <c r="AX393" s="2" t="str">
        <f t="shared" si="28"/>
        <v>Q49|SOC2</v>
      </c>
      <c r="AY393" s="13" t="s">
        <v>475</v>
      </c>
      <c r="AZ393" s="13" t="s">
        <v>1193</v>
      </c>
      <c r="BA393" s="2">
        <v>1</v>
      </c>
    </row>
    <row r="394" spans="48:53" x14ac:dyDescent="0.2">
      <c r="AV394" s="2" t="s">
        <v>762</v>
      </c>
      <c r="AW394" s="2" t="s">
        <v>1044</v>
      </c>
      <c r="AX394" s="2" t="str">
        <f t="shared" si="28"/>
        <v>Q49|CIS v8</v>
      </c>
      <c r="AY394" s="13" t="s">
        <v>1853</v>
      </c>
      <c r="AZ394" s="13" t="s">
        <v>1090</v>
      </c>
      <c r="BA394" s="2">
        <v>1</v>
      </c>
    </row>
    <row r="395" spans="48:53" x14ac:dyDescent="0.2">
      <c r="AV395" s="2" t="s">
        <v>763</v>
      </c>
      <c r="AW395" s="2" t="s">
        <v>1041</v>
      </c>
      <c r="AX395" s="2" t="str">
        <f t="shared" si="28"/>
        <v>Q50|NIST CSF 2.0</v>
      </c>
      <c r="AY395" s="13" t="s">
        <v>515</v>
      </c>
      <c r="AZ395" s="13" t="s">
        <v>1064</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1042</v>
      </c>
      <c r="AX397" s="2" t="str">
        <f t="shared" si="28"/>
        <v>Q50|CMMC 2.0</v>
      </c>
      <c r="AY397" s="13" t="s">
        <v>468</v>
      </c>
      <c r="AZ397" s="13" t="s">
        <v>1073</v>
      </c>
      <c r="BA397" s="2">
        <v>0.8</v>
      </c>
    </row>
    <row r="398" spans="48:53" x14ac:dyDescent="0.2">
      <c r="AV398" s="2" t="s">
        <v>763</v>
      </c>
      <c r="AW398" s="2" t="s">
        <v>711</v>
      </c>
      <c r="AX398" s="2" t="str">
        <f t="shared" si="28"/>
        <v>Q50|FISMA</v>
      </c>
      <c r="AY398" s="13" t="s">
        <v>516</v>
      </c>
      <c r="AZ398" s="13" t="s">
        <v>1077</v>
      </c>
      <c r="BA398" s="2">
        <v>1</v>
      </c>
    </row>
    <row r="399" spans="48:53" x14ac:dyDescent="0.2">
      <c r="AV399" s="2" t="s">
        <v>763</v>
      </c>
      <c r="AW399" s="2" t="s">
        <v>712</v>
      </c>
      <c r="AX399" s="2" t="str">
        <f t="shared" si="28"/>
        <v>Q50|FedRAMP</v>
      </c>
      <c r="AY399" s="13" t="s">
        <v>516</v>
      </c>
      <c r="AZ399" s="13" t="s">
        <v>1077</v>
      </c>
      <c r="BA399" s="2">
        <v>1</v>
      </c>
    </row>
    <row r="400" spans="48:53" x14ac:dyDescent="0.2">
      <c r="AV400" s="2" t="s">
        <v>763</v>
      </c>
      <c r="AW400" s="2" t="s">
        <v>1043</v>
      </c>
      <c r="AX400" s="2" t="str">
        <f t="shared" si="28"/>
        <v>Q50|ISO 27001</v>
      </c>
      <c r="AY400" s="13" t="s">
        <v>517</v>
      </c>
      <c r="AZ400" s="13" t="s">
        <v>1138</v>
      </c>
      <c r="BA400" s="2">
        <v>1</v>
      </c>
    </row>
    <row r="401" spans="48:53" x14ac:dyDescent="0.2">
      <c r="AV401" s="2" t="s">
        <v>763</v>
      </c>
      <c r="AW401" s="2" t="s">
        <v>713</v>
      </c>
      <c r="AX401" s="2" t="str">
        <f t="shared" si="28"/>
        <v>Q50|SOC2</v>
      </c>
      <c r="AY401" s="13" t="s">
        <v>470</v>
      </c>
      <c r="AZ401" s="13" t="s">
        <v>1192</v>
      </c>
      <c r="BA401" s="2">
        <v>1</v>
      </c>
    </row>
    <row r="402" spans="48:53" x14ac:dyDescent="0.2">
      <c r="AV402" s="2" t="s">
        <v>763</v>
      </c>
      <c r="AW402" s="2" t="s">
        <v>1044</v>
      </c>
      <c r="AX402" s="2" t="str">
        <f t="shared" si="28"/>
        <v>Q50|CIS v8</v>
      </c>
      <c r="AY402" s="13" t="s">
        <v>1844</v>
      </c>
      <c r="AZ402" s="13" t="s">
        <v>1092</v>
      </c>
      <c r="BA402" s="2">
        <v>0.8</v>
      </c>
    </row>
    <row r="403" spans="48:53" x14ac:dyDescent="0.2">
      <c r="AV403" s="2" t="s">
        <v>764</v>
      </c>
      <c r="AW403" s="2" t="s">
        <v>1041</v>
      </c>
      <c r="AX403" s="2" t="str">
        <f t="shared" si="28"/>
        <v>Q51|NIST CSF 2.0</v>
      </c>
      <c r="AY403" s="13" t="s">
        <v>579</v>
      </c>
      <c r="AZ403" s="13" t="s">
        <v>1067</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1042</v>
      </c>
      <c r="AX405" s="2" t="str">
        <f t="shared" si="28"/>
        <v>Q51|CMMC 2.0</v>
      </c>
      <c r="AY405" s="13" t="s">
        <v>580</v>
      </c>
      <c r="AZ405" s="13" t="s">
        <v>1076</v>
      </c>
      <c r="BA405" s="2">
        <v>1</v>
      </c>
    </row>
    <row r="406" spans="48:53" x14ac:dyDescent="0.2">
      <c r="AV406" s="2" t="s">
        <v>764</v>
      </c>
      <c r="AW406" s="2" t="s">
        <v>711</v>
      </c>
      <c r="AX406" s="2" t="str">
        <f t="shared" si="28"/>
        <v>Q51|FISMA</v>
      </c>
      <c r="AY406" s="13" t="s">
        <v>581</v>
      </c>
      <c r="AZ406" s="13" t="s">
        <v>1076</v>
      </c>
      <c r="BA406" s="2">
        <v>1</v>
      </c>
    </row>
    <row r="407" spans="48:53" x14ac:dyDescent="0.2">
      <c r="AV407" s="2" t="s">
        <v>764</v>
      </c>
      <c r="AW407" s="2" t="s">
        <v>712</v>
      </c>
      <c r="AX407" s="2" t="str">
        <f t="shared" si="28"/>
        <v>Q51|FedRAMP</v>
      </c>
      <c r="AY407" s="13" t="s">
        <v>581</v>
      </c>
      <c r="AZ407" s="13" t="s">
        <v>1076</v>
      </c>
      <c r="BA407" s="2">
        <v>1</v>
      </c>
    </row>
    <row r="408" spans="48:53" x14ac:dyDescent="0.2">
      <c r="AV408" s="2" t="s">
        <v>764</v>
      </c>
      <c r="AW408" s="2" t="s">
        <v>1043</v>
      </c>
      <c r="AX408" s="2" t="str">
        <f t="shared" si="28"/>
        <v>Q51|ISO 27001</v>
      </c>
      <c r="AY408" s="13" t="s">
        <v>582</v>
      </c>
      <c r="AZ408" s="13" t="s">
        <v>1150</v>
      </c>
      <c r="BA408" s="2">
        <v>1</v>
      </c>
    </row>
    <row r="409" spans="48:53" x14ac:dyDescent="0.2">
      <c r="AV409" s="2" t="s">
        <v>764</v>
      </c>
      <c r="AW409" s="2" t="s">
        <v>713</v>
      </c>
      <c r="AX409" s="2" t="str">
        <f t="shared" si="28"/>
        <v>Q51|SOC2</v>
      </c>
      <c r="AY409" s="13" t="s">
        <v>559</v>
      </c>
      <c r="AZ409" s="13" t="s">
        <v>1197</v>
      </c>
      <c r="BA409" s="2">
        <v>1</v>
      </c>
    </row>
    <row r="410" spans="48:53" x14ac:dyDescent="0.2">
      <c r="AV410" s="2" t="s">
        <v>764</v>
      </c>
      <c r="AW410" s="2" t="s">
        <v>1044</v>
      </c>
      <c r="AX410" s="2" t="str">
        <f t="shared" si="28"/>
        <v>Q51|CIS v8</v>
      </c>
      <c r="AY410" s="13" t="s">
        <v>1848</v>
      </c>
      <c r="AZ410" s="13" t="s">
        <v>1092</v>
      </c>
      <c r="BA410" s="2">
        <v>0.8</v>
      </c>
    </row>
    <row r="411" spans="48:53" x14ac:dyDescent="0.2">
      <c r="AV411" s="2" t="s">
        <v>765</v>
      </c>
      <c r="AW411" s="2" t="s">
        <v>1041</v>
      </c>
      <c r="AX411" s="2" t="str">
        <f t="shared" si="28"/>
        <v>Q52|NIST CSF 2.0</v>
      </c>
      <c r="AY411" s="13" t="s">
        <v>583</v>
      </c>
      <c r="AZ411" s="13" t="s">
        <v>1064</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1042</v>
      </c>
      <c r="AX413" s="2" t="str">
        <f t="shared" si="28"/>
        <v>Q52|CMMC 2.0</v>
      </c>
      <c r="AY413" s="13" t="s">
        <v>580</v>
      </c>
      <c r="AZ413" s="13" t="s">
        <v>1076</v>
      </c>
      <c r="BA413" s="2">
        <v>0.8</v>
      </c>
    </row>
    <row r="414" spans="48:53" x14ac:dyDescent="0.2">
      <c r="AV414" s="2" t="s">
        <v>765</v>
      </c>
      <c r="AW414" s="2" t="s">
        <v>711</v>
      </c>
      <c r="AX414" s="2" t="str">
        <f t="shared" si="28"/>
        <v>Q52|FISMA</v>
      </c>
      <c r="AY414" s="13" t="s">
        <v>548</v>
      </c>
      <c r="AZ414" s="13" t="s">
        <v>1084</v>
      </c>
      <c r="BA414" s="2">
        <v>1</v>
      </c>
    </row>
    <row r="415" spans="48:53" x14ac:dyDescent="0.2">
      <c r="AV415" s="2" t="s">
        <v>765</v>
      </c>
      <c r="AW415" s="2" t="s">
        <v>712</v>
      </c>
      <c r="AX415" s="2" t="str">
        <f t="shared" si="28"/>
        <v>Q52|FedRAMP</v>
      </c>
      <c r="AY415" s="13" t="s">
        <v>548</v>
      </c>
      <c r="AZ415" s="13" t="s">
        <v>1084</v>
      </c>
      <c r="BA415" s="2">
        <v>1</v>
      </c>
    </row>
    <row r="416" spans="48:53" x14ac:dyDescent="0.2">
      <c r="AV416" s="2" t="s">
        <v>765</v>
      </c>
      <c r="AW416" s="2" t="s">
        <v>1043</v>
      </c>
      <c r="AX416" s="2" t="str">
        <f t="shared" si="28"/>
        <v>Q52|ISO 27001</v>
      </c>
      <c r="AY416" s="13" t="s">
        <v>582</v>
      </c>
      <c r="AZ416" s="13" t="s">
        <v>1150</v>
      </c>
      <c r="BA416" s="2">
        <v>1</v>
      </c>
    </row>
    <row r="417" spans="48:53" x14ac:dyDescent="0.2">
      <c r="AV417" s="2" t="s">
        <v>765</v>
      </c>
      <c r="AW417" s="2" t="s">
        <v>713</v>
      </c>
      <c r="AX417" s="2" t="str">
        <f t="shared" si="28"/>
        <v>Q52|SOC2</v>
      </c>
      <c r="AY417" s="13" t="s">
        <v>584</v>
      </c>
      <c r="AZ417" s="13" t="s">
        <v>1197</v>
      </c>
      <c r="BA417" s="2">
        <v>1</v>
      </c>
    </row>
    <row r="418" spans="48:53" x14ac:dyDescent="0.2">
      <c r="AV418" s="2" t="s">
        <v>765</v>
      </c>
      <c r="AW418" s="2" t="s">
        <v>1044</v>
      </c>
      <c r="AX418" s="2" t="str">
        <f t="shared" si="28"/>
        <v>Q52|CIS v8</v>
      </c>
      <c r="AY418" s="13" t="s">
        <v>1848</v>
      </c>
      <c r="AZ418" s="13" t="s">
        <v>1092</v>
      </c>
      <c r="BA418" s="2">
        <v>0.8</v>
      </c>
    </row>
    <row r="419" spans="48:53" x14ac:dyDescent="0.2">
      <c r="AV419" s="2" t="s">
        <v>766</v>
      </c>
      <c r="AW419" s="2" t="s">
        <v>1041</v>
      </c>
      <c r="AX419" s="2" t="str">
        <f t="shared" si="28"/>
        <v>Q53|NIST CSF 2.0</v>
      </c>
      <c r="AY419" s="13" t="s">
        <v>585</v>
      </c>
      <c r="AZ419" s="13" t="s">
        <v>1068</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1042</v>
      </c>
      <c r="AX421" s="2" t="str">
        <f t="shared" si="28"/>
        <v>Q53|CMMC 2.0</v>
      </c>
      <c r="AY421" s="13" t="s">
        <v>526</v>
      </c>
      <c r="AZ421" s="13" t="s">
        <v>1076</v>
      </c>
      <c r="BA421" s="2">
        <v>1</v>
      </c>
    </row>
    <row r="422" spans="48:53" x14ac:dyDescent="0.2">
      <c r="AV422" s="2" t="s">
        <v>766</v>
      </c>
      <c r="AW422" s="2" t="s">
        <v>711</v>
      </c>
      <c r="AX422" s="2" t="str">
        <f t="shared" si="28"/>
        <v>Q53|FISMA</v>
      </c>
      <c r="AY422" s="13" t="s">
        <v>569</v>
      </c>
      <c r="AZ422" s="13" t="s">
        <v>1076</v>
      </c>
      <c r="BA422" s="2">
        <v>1</v>
      </c>
    </row>
    <row r="423" spans="48:53" x14ac:dyDescent="0.2">
      <c r="AV423" s="2" t="s">
        <v>766</v>
      </c>
      <c r="AW423" s="2" t="s">
        <v>712</v>
      </c>
      <c r="AX423" s="2" t="str">
        <f t="shared" si="28"/>
        <v>Q53|FedRAMP</v>
      </c>
      <c r="AY423" s="13" t="s">
        <v>569</v>
      </c>
      <c r="AZ423" s="13" t="s">
        <v>1076</v>
      </c>
      <c r="BA423" s="2">
        <v>1</v>
      </c>
    </row>
    <row r="424" spans="48:53" x14ac:dyDescent="0.2">
      <c r="AV424" s="2" t="s">
        <v>766</v>
      </c>
      <c r="AW424" s="2" t="s">
        <v>1043</v>
      </c>
      <c r="AX424" s="2" t="str">
        <f t="shared" si="28"/>
        <v>Q53|ISO 27001</v>
      </c>
      <c r="AY424" s="13" t="s">
        <v>506</v>
      </c>
      <c r="AZ424" s="13" t="s">
        <v>1150</v>
      </c>
      <c r="BA424" s="2">
        <v>1</v>
      </c>
    </row>
    <row r="425" spans="48:53" x14ac:dyDescent="0.2">
      <c r="AV425" s="2" t="s">
        <v>766</v>
      </c>
      <c r="AW425" s="2" t="s">
        <v>713</v>
      </c>
      <c r="AX425" s="2" t="str">
        <f t="shared" si="28"/>
        <v>Q53|SOC2</v>
      </c>
      <c r="AY425" s="13" t="s">
        <v>586</v>
      </c>
      <c r="AZ425" s="13" t="s">
        <v>1198</v>
      </c>
      <c r="BA425" s="2">
        <v>1</v>
      </c>
    </row>
    <row r="426" spans="48:53" x14ac:dyDescent="0.2">
      <c r="AV426" s="2" t="s">
        <v>766</v>
      </c>
      <c r="AW426" s="2" t="s">
        <v>1044</v>
      </c>
      <c r="AX426" s="2" t="str">
        <f t="shared" si="28"/>
        <v>Q53|CIS v8</v>
      </c>
      <c r="AY426" s="13" t="s">
        <v>1854</v>
      </c>
      <c r="AZ426" s="13" t="s">
        <v>1092</v>
      </c>
      <c r="BA426" s="2">
        <v>1</v>
      </c>
    </row>
    <row r="427" spans="48:53" x14ac:dyDescent="0.2">
      <c r="AV427" s="2" t="s">
        <v>767</v>
      </c>
      <c r="AW427" s="2" t="s">
        <v>1041</v>
      </c>
      <c r="AX427" s="2" t="str">
        <f t="shared" si="28"/>
        <v>Q54|NIST CSF 2.0</v>
      </c>
      <c r="AY427" s="13" t="s">
        <v>587</v>
      </c>
      <c r="AZ427" s="13" t="s">
        <v>1068</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1042</v>
      </c>
      <c r="AX429" s="2" t="str">
        <f t="shared" si="28"/>
        <v>Q54|CMMC 2.0</v>
      </c>
      <c r="AY429" s="13" t="s">
        <v>568</v>
      </c>
      <c r="AZ429" s="13" t="s">
        <v>1076</v>
      </c>
      <c r="BA429" s="2">
        <v>1</v>
      </c>
    </row>
    <row r="430" spans="48:53" x14ac:dyDescent="0.2">
      <c r="AV430" s="2" t="s">
        <v>767</v>
      </c>
      <c r="AW430" s="2" t="s">
        <v>711</v>
      </c>
      <c r="AX430" s="2" t="str">
        <f t="shared" si="28"/>
        <v>Q54|FISMA</v>
      </c>
      <c r="AY430" s="13" t="s">
        <v>569</v>
      </c>
      <c r="AZ430" s="13" t="s">
        <v>1076</v>
      </c>
      <c r="BA430" s="2">
        <v>1</v>
      </c>
    </row>
    <row r="431" spans="48:53" x14ac:dyDescent="0.2">
      <c r="AV431" s="2" t="s">
        <v>767</v>
      </c>
      <c r="AW431" s="2" t="s">
        <v>712</v>
      </c>
      <c r="AX431" s="2" t="str">
        <f t="shared" si="28"/>
        <v>Q54|FedRAMP</v>
      </c>
      <c r="AY431" s="13" t="s">
        <v>569</v>
      </c>
      <c r="AZ431" s="13" t="s">
        <v>1076</v>
      </c>
      <c r="BA431" s="2">
        <v>1</v>
      </c>
    </row>
    <row r="432" spans="48:53" x14ac:dyDescent="0.2">
      <c r="AV432" s="2" t="s">
        <v>767</v>
      </c>
      <c r="AW432" s="2" t="s">
        <v>1043</v>
      </c>
      <c r="AX432" s="2" t="str">
        <f t="shared" si="28"/>
        <v>Q54|ISO 27001</v>
      </c>
      <c r="AY432" s="13" t="s">
        <v>588</v>
      </c>
      <c r="AZ432" s="13" t="s">
        <v>1150</v>
      </c>
      <c r="BA432" s="2">
        <v>1</v>
      </c>
    </row>
    <row r="433" spans="48:53" x14ac:dyDescent="0.2">
      <c r="AV433" s="2" t="s">
        <v>767</v>
      </c>
      <c r="AW433" s="2" t="s">
        <v>713</v>
      </c>
      <c r="AX433" s="2" t="str">
        <f t="shared" si="28"/>
        <v>Q54|SOC2</v>
      </c>
      <c r="AY433" s="13" t="s">
        <v>589</v>
      </c>
      <c r="AZ433" s="13" t="s">
        <v>1198</v>
      </c>
      <c r="BA433" s="2">
        <v>1</v>
      </c>
    </row>
    <row r="434" spans="48:53" x14ac:dyDescent="0.2">
      <c r="AV434" s="2" t="s">
        <v>767</v>
      </c>
      <c r="AW434" s="2" t="s">
        <v>1044</v>
      </c>
      <c r="AX434" s="2" t="str">
        <f t="shared" si="28"/>
        <v>Q54|CIS v8</v>
      </c>
      <c r="AY434" s="13" t="s">
        <v>1854</v>
      </c>
      <c r="AZ434" s="13" t="s">
        <v>1092</v>
      </c>
      <c r="BA434" s="2">
        <v>0.8</v>
      </c>
    </row>
    <row r="435" spans="48:53" x14ac:dyDescent="0.2">
      <c r="AV435" s="2" t="s">
        <v>768</v>
      </c>
      <c r="AW435" s="2" t="s">
        <v>1041</v>
      </c>
      <c r="AX435" s="2" t="str">
        <f t="shared" si="28"/>
        <v>Q55|NIST CSF 2.0</v>
      </c>
      <c r="AY435" s="13" t="s">
        <v>518</v>
      </c>
      <c r="AZ435" s="13" t="s">
        <v>1066</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1042</v>
      </c>
      <c r="AX437" s="2" t="str">
        <f t="shared" si="28"/>
        <v>Q55|CMMC 2.0</v>
      </c>
      <c r="AY437" s="13" t="s">
        <v>502</v>
      </c>
      <c r="AZ437" s="13" t="s">
        <v>1076</v>
      </c>
      <c r="BA437" s="2">
        <v>1</v>
      </c>
    </row>
    <row r="438" spans="48:53" x14ac:dyDescent="0.2">
      <c r="AV438" s="2" t="s">
        <v>768</v>
      </c>
      <c r="AW438" s="2" t="s">
        <v>711</v>
      </c>
      <c r="AX438" s="2" t="str">
        <f t="shared" si="28"/>
        <v>Q55|FISMA</v>
      </c>
      <c r="AY438" s="13" t="s">
        <v>520</v>
      </c>
      <c r="AZ438" s="13" t="s">
        <v>1076</v>
      </c>
      <c r="BA438" s="2">
        <v>1</v>
      </c>
    </row>
    <row r="439" spans="48:53" x14ac:dyDescent="0.2">
      <c r="AV439" s="2" t="s">
        <v>768</v>
      </c>
      <c r="AW439" s="2" t="s">
        <v>712</v>
      </c>
      <c r="AX439" s="2" t="str">
        <f t="shared" si="28"/>
        <v>Q55|FedRAMP</v>
      </c>
      <c r="AY439" s="13" t="s">
        <v>520</v>
      </c>
      <c r="AZ439" s="13" t="s">
        <v>1076</v>
      </c>
      <c r="BA439" s="2">
        <v>1</v>
      </c>
    </row>
    <row r="440" spans="48:53" x14ac:dyDescent="0.2">
      <c r="AV440" s="2" t="s">
        <v>768</v>
      </c>
      <c r="AW440" s="2" t="s">
        <v>1043</v>
      </c>
      <c r="AX440" s="2" t="str">
        <f t="shared" si="28"/>
        <v>Q55|ISO 27001</v>
      </c>
      <c r="AY440" s="13" t="s">
        <v>486</v>
      </c>
      <c r="AZ440" s="13" t="s">
        <v>1150</v>
      </c>
      <c r="BA440" s="2">
        <v>1</v>
      </c>
    </row>
    <row r="441" spans="48:53" x14ac:dyDescent="0.2">
      <c r="AV441" s="2" t="s">
        <v>768</v>
      </c>
      <c r="AW441" s="2" t="s">
        <v>713</v>
      </c>
      <c r="AX441" s="2" t="str">
        <f t="shared" si="28"/>
        <v>Q55|SOC2</v>
      </c>
      <c r="AY441" s="13" t="s">
        <v>590</v>
      </c>
      <c r="AZ441" s="13" t="s">
        <v>1198</v>
      </c>
      <c r="BA441" s="2">
        <v>1</v>
      </c>
    </row>
    <row r="442" spans="48:53" x14ac:dyDescent="0.2">
      <c r="AV442" s="2" t="s">
        <v>768</v>
      </c>
      <c r="AW442" s="2" t="s">
        <v>1044</v>
      </c>
      <c r="AX442" s="2" t="str">
        <f t="shared" si="28"/>
        <v>Q55|CIS v8</v>
      </c>
      <c r="AY442" s="13" t="s">
        <v>1855</v>
      </c>
      <c r="AZ442" s="13" t="s">
        <v>1092</v>
      </c>
      <c r="BA442" s="2">
        <v>0.8</v>
      </c>
    </row>
    <row r="443" spans="48:53" x14ac:dyDescent="0.2">
      <c r="AV443" s="2" t="s">
        <v>769</v>
      </c>
      <c r="AW443" s="2" t="s">
        <v>1041</v>
      </c>
      <c r="AX443" s="2" t="str">
        <f t="shared" si="28"/>
        <v>Q56|NIST CSF 2.0</v>
      </c>
      <c r="AY443" s="13" t="s">
        <v>591</v>
      </c>
      <c r="AZ443" s="13" t="s">
        <v>1065</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1042</v>
      </c>
      <c r="AX445" s="2" t="str">
        <f t="shared" si="28"/>
        <v>Q56|CMMC 2.0</v>
      </c>
      <c r="AY445" s="13" t="s">
        <v>526</v>
      </c>
      <c r="AZ445" s="13" t="s">
        <v>1076</v>
      </c>
      <c r="BA445" s="2">
        <v>1</v>
      </c>
    </row>
    <row r="446" spans="48:53" x14ac:dyDescent="0.2">
      <c r="AV446" s="2" t="s">
        <v>769</v>
      </c>
      <c r="AW446" s="2" t="s">
        <v>711</v>
      </c>
      <c r="AX446" s="2" t="str">
        <f t="shared" si="28"/>
        <v>Q56|FISMA</v>
      </c>
      <c r="AY446" s="13" t="s">
        <v>503</v>
      </c>
      <c r="AZ446" s="13" t="s">
        <v>1076</v>
      </c>
      <c r="BA446" s="2">
        <v>1</v>
      </c>
    </row>
    <row r="447" spans="48:53" x14ac:dyDescent="0.2">
      <c r="AV447" s="2" t="s">
        <v>769</v>
      </c>
      <c r="AW447" s="2" t="s">
        <v>712</v>
      </c>
      <c r="AX447" s="2" t="str">
        <f t="shared" si="28"/>
        <v>Q56|FedRAMP</v>
      </c>
      <c r="AY447" s="13" t="s">
        <v>503</v>
      </c>
      <c r="AZ447" s="13" t="s">
        <v>1076</v>
      </c>
      <c r="BA447" s="2">
        <v>1</v>
      </c>
    </row>
    <row r="448" spans="48:53" x14ac:dyDescent="0.2">
      <c r="AV448" s="2" t="s">
        <v>769</v>
      </c>
      <c r="AW448" s="2" t="s">
        <v>1043</v>
      </c>
      <c r="AX448" s="2" t="str">
        <f t="shared" si="28"/>
        <v>Q56|ISO 27001</v>
      </c>
      <c r="AY448" s="13" t="s">
        <v>588</v>
      </c>
      <c r="AZ448" s="13" t="s">
        <v>1150</v>
      </c>
      <c r="BA448" s="2">
        <v>1</v>
      </c>
    </row>
    <row r="449" spans="48:53" x14ac:dyDescent="0.2">
      <c r="AV449" s="2" t="s">
        <v>769</v>
      </c>
      <c r="AW449" s="2" t="s">
        <v>713</v>
      </c>
      <c r="AX449" s="2" t="str">
        <f t="shared" si="28"/>
        <v>Q56|SOC2</v>
      </c>
      <c r="AY449" s="13" t="s">
        <v>589</v>
      </c>
      <c r="AZ449" s="13" t="s">
        <v>1198</v>
      </c>
      <c r="BA449" s="2">
        <v>1</v>
      </c>
    </row>
    <row r="450" spans="48:53" x14ac:dyDescent="0.2">
      <c r="AV450" s="2" t="s">
        <v>769</v>
      </c>
      <c r="AW450" s="2" t="s">
        <v>1044</v>
      </c>
      <c r="AX450" s="2" t="str">
        <f t="shared" si="28"/>
        <v>Q56|CIS v8</v>
      </c>
      <c r="AY450" s="13" t="s">
        <v>1854</v>
      </c>
      <c r="AZ450" s="13" t="s">
        <v>1092</v>
      </c>
      <c r="BA450" s="2">
        <v>0.8</v>
      </c>
    </row>
    <row r="451" spans="48:53" x14ac:dyDescent="0.2">
      <c r="AV451" s="2" t="s">
        <v>770</v>
      </c>
      <c r="AW451" s="2" t="s">
        <v>1041</v>
      </c>
      <c r="AX451" s="2" t="str">
        <f t="shared" si="28"/>
        <v>Q57|NIST CSF 2.0</v>
      </c>
      <c r="AY451" s="13" t="s">
        <v>585</v>
      </c>
      <c r="AZ451" s="13" t="s">
        <v>1068</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1042</v>
      </c>
      <c r="AX453" s="2" t="str">
        <f t="shared" si="29"/>
        <v>Q57|CMMC 2.0</v>
      </c>
      <c r="AY453" s="13" t="s">
        <v>580</v>
      </c>
      <c r="AZ453" s="13" t="s">
        <v>1076</v>
      </c>
      <c r="BA453" s="2">
        <v>0.8</v>
      </c>
    </row>
    <row r="454" spans="48:53" x14ac:dyDescent="0.2">
      <c r="AV454" s="2" t="s">
        <v>770</v>
      </c>
      <c r="AW454" s="2" t="s">
        <v>711</v>
      </c>
      <c r="AX454" s="2" t="str">
        <f t="shared" si="29"/>
        <v>Q57|FISMA</v>
      </c>
      <c r="AY454" s="13" t="s">
        <v>569</v>
      </c>
      <c r="AZ454" s="13" t="s">
        <v>1076</v>
      </c>
      <c r="BA454" s="2">
        <v>1</v>
      </c>
    </row>
    <row r="455" spans="48:53" x14ac:dyDescent="0.2">
      <c r="AV455" s="2" t="s">
        <v>770</v>
      </c>
      <c r="AW455" s="2" t="s">
        <v>712</v>
      </c>
      <c r="AX455" s="2" t="str">
        <f t="shared" si="29"/>
        <v>Q57|FedRAMP</v>
      </c>
      <c r="AY455" s="13" t="s">
        <v>569</v>
      </c>
      <c r="AZ455" s="13" t="s">
        <v>1076</v>
      </c>
      <c r="BA455" s="2">
        <v>1</v>
      </c>
    </row>
    <row r="456" spans="48:53" x14ac:dyDescent="0.2">
      <c r="AV456" s="2" t="s">
        <v>770</v>
      </c>
      <c r="AW456" s="2" t="s">
        <v>1043</v>
      </c>
      <c r="AX456" s="2" t="str">
        <f t="shared" si="29"/>
        <v>Q57|ISO 27001</v>
      </c>
      <c r="AY456" s="13" t="s">
        <v>592</v>
      </c>
      <c r="AZ456" s="13" t="s">
        <v>1150</v>
      </c>
      <c r="BA456" s="2">
        <v>1</v>
      </c>
    </row>
    <row r="457" spans="48:53" x14ac:dyDescent="0.2">
      <c r="AV457" s="2" t="s">
        <v>770</v>
      </c>
      <c r="AW457" s="2" t="s">
        <v>713</v>
      </c>
      <c r="AX457" s="2" t="str">
        <f t="shared" si="29"/>
        <v>Q57|SOC2</v>
      </c>
      <c r="AY457" s="13" t="s">
        <v>590</v>
      </c>
      <c r="AZ457" s="13" t="s">
        <v>1198</v>
      </c>
      <c r="BA457" s="2">
        <v>1</v>
      </c>
    </row>
    <row r="458" spans="48:53" x14ac:dyDescent="0.2">
      <c r="AV458" s="2" t="s">
        <v>770</v>
      </c>
      <c r="AW458" s="2" t="s">
        <v>1044</v>
      </c>
      <c r="AX458" s="2" t="str">
        <f t="shared" si="29"/>
        <v>Q57|CIS v8</v>
      </c>
      <c r="AY458" s="13" t="s">
        <v>1854</v>
      </c>
      <c r="AZ458" s="13" t="s">
        <v>1092</v>
      </c>
      <c r="BA458" s="2">
        <v>0.8</v>
      </c>
    </row>
    <row r="459" spans="48:53" x14ac:dyDescent="0.2">
      <c r="AV459" s="2" t="s">
        <v>771</v>
      </c>
      <c r="AW459" s="2" t="s">
        <v>1041</v>
      </c>
      <c r="AX459" s="2" t="str">
        <f t="shared" si="29"/>
        <v>Q58|NIST CSF 2.0</v>
      </c>
      <c r="AY459" s="13" t="s">
        <v>593</v>
      </c>
      <c r="AZ459" s="13" t="s">
        <v>1067</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1042</v>
      </c>
      <c r="AX461" s="2" t="str">
        <f t="shared" si="29"/>
        <v>Q58|CMMC 2.0</v>
      </c>
      <c r="AY461" s="13" t="s">
        <v>526</v>
      </c>
      <c r="AZ461" s="13" t="s">
        <v>1076</v>
      </c>
      <c r="BA461" s="2">
        <v>0.8</v>
      </c>
    </row>
    <row r="462" spans="48:53" x14ac:dyDescent="0.2">
      <c r="AV462" s="2" t="s">
        <v>771</v>
      </c>
      <c r="AW462" s="2" t="s">
        <v>711</v>
      </c>
      <c r="AX462" s="2" t="str">
        <f t="shared" si="29"/>
        <v>Q58|FISMA</v>
      </c>
      <c r="AY462" s="13" t="s">
        <v>569</v>
      </c>
      <c r="AZ462" s="13" t="s">
        <v>1076</v>
      </c>
      <c r="BA462" s="2">
        <v>1</v>
      </c>
    </row>
    <row r="463" spans="48:53" x14ac:dyDescent="0.2">
      <c r="AV463" s="2" t="s">
        <v>771</v>
      </c>
      <c r="AW463" s="2" t="s">
        <v>712</v>
      </c>
      <c r="AX463" s="2" t="str">
        <f t="shared" si="29"/>
        <v>Q58|FedRAMP</v>
      </c>
      <c r="AY463" s="13" t="s">
        <v>569</v>
      </c>
      <c r="AZ463" s="13" t="s">
        <v>1076</v>
      </c>
      <c r="BA463" s="2">
        <v>1</v>
      </c>
    </row>
    <row r="464" spans="48:53" x14ac:dyDescent="0.2">
      <c r="AV464" s="2" t="s">
        <v>771</v>
      </c>
      <c r="AW464" s="2" t="s">
        <v>1043</v>
      </c>
      <c r="AX464" s="2" t="str">
        <f t="shared" si="29"/>
        <v>Q58|ISO 27001</v>
      </c>
      <c r="AY464" s="13" t="s">
        <v>506</v>
      </c>
      <c r="AZ464" s="13" t="s">
        <v>1150</v>
      </c>
      <c r="BA464" s="2">
        <v>1</v>
      </c>
    </row>
    <row r="465" spans="48:53" x14ac:dyDescent="0.2">
      <c r="AV465" s="2" t="s">
        <v>771</v>
      </c>
      <c r="AW465" s="2" t="s">
        <v>713</v>
      </c>
      <c r="AX465" s="2" t="str">
        <f t="shared" si="29"/>
        <v>Q58|SOC2</v>
      </c>
      <c r="AY465" s="13" t="s">
        <v>586</v>
      </c>
      <c r="AZ465" s="13" t="s">
        <v>1198</v>
      </c>
      <c r="BA465" s="2">
        <v>1</v>
      </c>
    </row>
    <row r="466" spans="48:53" x14ac:dyDescent="0.2">
      <c r="AV466" s="2" t="s">
        <v>771</v>
      </c>
      <c r="AW466" s="2" t="s">
        <v>1044</v>
      </c>
      <c r="AX466" s="2" t="str">
        <f t="shared" si="29"/>
        <v>Q58|CIS v8</v>
      </c>
      <c r="AY466" s="13" t="s">
        <v>1854</v>
      </c>
      <c r="AZ466" s="13" t="s">
        <v>1092</v>
      </c>
      <c r="BA466" s="2">
        <v>0.8</v>
      </c>
    </row>
    <row r="467" spans="48:53" x14ac:dyDescent="0.2">
      <c r="AV467" s="2" t="s">
        <v>772</v>
      </c>
      <c r="AW467" s="2" t="s">
        <v>1041</v>
      </c>
      <c r="AX467" s="2" t="str">
        <f t="shared" si="29"/>
        <v>Q59|NIST CSF 2.0</v>
      </c>
      <c r="AY467" s="13" t="s">
        <v>545</v>
      </c>
      <c r="AZ467" s="13" t="s">
        <v>1067</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1042</v>
      </c>
      <c r="AX469" s="2" t="str">
        <f t="shared" si="29"/>
        <v>Q59|CMMC 2.0</v>
      </c>
      <c r="AY469" s="13" t="s">
        <v>502</v>
      </c>
      <c r="AZ469" s="13" t="s">
        <v>1076</v>
      </c>
      <c r="BA469" s="2">
        <v>1</v>
      </c>
    </row>
    <row r="470" spans="48:53" x14ac:dyDescent="0.2">
      <c r="AV470" s="2" t="s">
        <v>772</v>
      </c>
      <c r="AW470" s="2" t="s">
        <v>711</v>
      </c>
      <c r="AX470" s="2" t="str">
        <f t="shared" si="29"/>
        <v>Q59|FISMA</v>
      </c>
      <c r="AY470" s="13" t="s">
        <v>594</v>
      </c>
      <c r="AZ470" s="13" t="s">
        <v>1076</v>
      </c>
      <c r="BA470" s="2">
        <v>1</v>
      </c>
    </row>
    <row r="471" spans="48:53" x14ac:dyDescent="0.2">
      <c r="AV471" s="2" t="s">
        <v>772</v>
      </c>
      <c r="AW471" s="2" t="s">
        <v>712</v>
      </c>
      <c r="AX471" s="2" t="str">
        <f t="shared" si="29"/>
        <v>Q59|FedRAMP</v>
      </c>
      <c r="AY471" s="13" t="s">
        <v>594</v>
      </c>
      <c r="AZ471" s="13" t="s">
        <v>1076</v>
      </c>
      <c r="BA471" s="2">
        <v>1</v>
      </c>
    </row>
    <row r="472" spans="48:53" x14ac:dyDescent="0.2">
      <c r="AV472" s="2" t="s">
        <v>772</v>
      </c>
      <c r="AW472" s="2" t="s">
        <v>1043</v>
      </c>
      <c r="AX472" s="2" t="str">
        <f t="shared" si="29"/>
        <v>Q59|ISO 27001</v>
      </c>
      <c r="AY472" s="13" t="s">
        <v>595</v>
      </c>
      <c r="AZ472" s="13" t="s">
        <v>1150</v>
      </c>
      <c r="BA472" s="2">
        <v>1</v>
      </c>
    </row>
    <row r="473" spans="48:53" x14ac:dyDescent="0.2">
      <c r="AV473" s="2" t="s">
        <v>772</v>
      </c>
      <c r="AW473" s="2" t="s">
        <v>713</v>
      </c>
      <c r="AX473" s="2" t="str">
        <f t="shared" si="29"/>
        <v>Q59|SOC2</v>
      </c>
      <c r="AY473" s="13" t="s">
        <v>596</v>
      </c>
      <c r="AZ473" s="13" t="s">
        <v>1198</v>
      </c>
      <c r="BA473" s="2">
        <v>1</v>
      </c>
    </row>
    <row r="474" spans="48:53" x14ac:dyDescent="0.2">
      <c r="AV474" s="2" t="s">
        <v>772</v>
      </c>
      <c r="AW474" s="2" t="s">
        <v>1044</v>
      </c>
      <c r="AX474" s="2" t="str">
        <f t="shared" si="29"/>
        <v>Q59|CIS v8</v>
      </c>
      <c r="AY474" s="13" t="s">
        <v>1855</v>
      </c>
      <c r="AZ474" s="13" t="s">
        <v>1092</v>
      </c>
      <c r="BA474" s="2">
        <v>0.8</v>
      </c>
    </row>
    <row r="475" spans="48:53" x14ac:dyDescent="0.2">
      <c r="AV475" s="2" t="s">
        <v>773</v>
      </c>
      <c r="AW475" s="2" t="s">
        <v>1041</v>
      </c>
      <c r="AX475" s="2" t="str">
        <f t="shared" si="29"/>
        <v>Q60|NIST CSF 2.0</v>
      </c>
      <c r="AY475" s="13" t="s">
        <v>597</v>
      </c>
      <c r="AZ475" s="13" t="s">
        <v>1068</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1042</v>
      </c>
      <c r="AX477" s="2" t="str">
        <f t="shared" si="29"/>
        <v>Q60|CMMC 2.0</v>
      </c>
      <c r="AY477" s="13" t="s">
        <v>580</v>
      </c>
      <c r="AZ477" s="13" t="s">
        <v>1076</v>
      </c>
      <c r="BA477" s="2">
        <v>0.8</v>
      </c>
    </row>
    <row r="478" spans="48:53" x14ac:dyDescent="0.2">
      <c r="AV478" s="2" t="s">
        <v>773</v>
      </c>
      <c r="AW478" s="2" t="s">
        <v>711</v>
      </c>
      <c r="AX478" s="2" t="str">
        <f t="shared" si="29"/>
        <v>Q60|FISMA</v>
      </c>
      <c r="AY478" s="13" t="s">
        <v>503</v>
      </c>
      <c r="AZ478" s="13" t="s">
        <v>1076</v>
      </c>
      <c r="BA478" s="2">
        <v>1</v>
      </c>
    </row>
    <row r="479" spans="48:53" x14ac:dyDescent="0.2">
      <c r="AV479" s="2" t="s">
        <v>773</v>
      </c>
      <c r="AW479" s="2" t="s">
        <v>712</v>
      </c>
      <c r="AX479" s="2" t="str">
        <f t="shared" si="29"/>
        <v>Q60|FedRAMP</v>
      </c>
      <c r="AY479" s="13" t="s">
        <v>503</v>
      </c>
      <c r="AZ479" s="13" t="s">
        <v>1076</v>
      </c>
      <c r="BA479" s="2">
        <v>1</v>
      </c>
    </row>
    <row r="480" spans="48:53" x14ac:dyDescent="0.2">
      <c r="AV480" s="2" t="s">
        <v>773</v>
      </c>
      <c r="AW480" s="2" t="s">
        <v>1043</v>
      </c>
      <c r="AX480" s="2" t="str">
        <f t="shared" si="29"/>
        <v>Q60|ISO 27001</v>
      </c>
      <c r="AY480" s="13" t="s">
        <v>486</v>
      </c>
      <c r="AZ480" s="13" t="s">
        <v>1150</v>
      </c>
      <c r="BA480" s="2">
        <v>1</v>
      </c>
    </row>
    <row r="481" spans="48:53" x14ac:dyDescent="0.2">
      <c r="AV481" s="2" t="s">
        <v>773</v>
      </c>
      <c r="AW481" s="2" t="s">
        <v>713</v>
      </c>
      <c r="AX481" s="2" t="str">
        <f t="shared" si="29"/>
        <v>Q60|SOC2</v>
      </c>
      <c r="AY481" s="13" t="s">
        <v>598</v>
      </c>
      <c r="AZ481" s="13" t="s">
        <v>1197</v>
      </c>
      <c r="BA481" s="2">
        <v>1</v>
      </c>
    </row>
    <row r="482" spans="48:53" x14ac:dyDescent="0.2">
      <c r="AV482" s="2" t="s">
        <v>773</v>
      </c>
      <c r="AW482" s="2" t="s">
        <v>1044</v>
      </c>
      <c r="AX482" s="2" t="str">
        <f t="shared" si="29"/>
        <v>Q60|CIS v8</v>
      </c>
      <c r="AY482" s="13" t="s">
        <v>1856</v>
      </c>
      <c r="AZ482" s="13" t="s">
        <v>1092</v>
      </c>
      <c r="BA482" s="2">
        <v>0.8</v>
      </c>
    </row>
    <row r="483" spans="48:53" x14ac:dyDescent="0.2">
      <c r="AV483" s="2" t="s">
        <v>774</v>
      </c>
      <c r="AW483" s="2" t="s">
        <v>1041</v>
      </c>
      <c r="AX483" s="2" t="str">
        <f t="shared" si="29"/>
        <v>Q61|NIST CSF 2.0</v>
      </c>
      <c r="AY483" s="13" t="s">
        <v>599</v>
      </c>
      <c r="AZ483" s="13" t="s">
        <v>1068</v>
      </c>
      <c r="BA483" s="2">
        <v>1</v>
      </c>
    </row>
    <row r="484" spans="48:53" x14ac:dyDescent="0.2">
      <c r="AV484" s="2" t="s">
        <v>774</v>
      </c>
      <c r="AW484" s="2" t="s">
        <v>710</v>
      </c>
      <c r="AX484" s="2" t="str">
        <f t="shared" si="29"/>
        <v>Q61|NIST PQC</v>
      </c>
      <c r="AY484" s="13" t="s">
        <v>600</v>
      </c>
      <c r="AZ484" s="13" t="s">
        <v>1096</v>
      </c>
      <c r="BA484" s="2">
        <v>1</v>
      </c>
    </row>
    <row r="485" spans="48:53" x14ac:dyDescent="0.2">
      <c r="AV485" s="2" t="s">
        <v>774</v>
      </c>
      <c r="AW485" s="2" t="s">
        <v>1042</v>
      </c>
      <c r="AX485" s="2" t="str">
        <f t="shared" si="29"/>
        <v>Q61|CMMC 2.0</v>
      </c>
      <c r="AY485" s="13" t="s">
        <v>601</v>
      </c>
      <c r="AZ485" s="13" t="s">
        <v>1071</v>
      </c>
      <c r="BA485" s="2">
        <v>1</v>
      </c>
    </row>
    <row r="486" spans="48:53" x14ac:dyDescent="0.2">
      <c r="AV486" s="2" t="s">
        <v>774</v>
      </c>
      <c r="AW486" s="2" t="s">
        <v>711</v>
      </c>
      <c r="AX486" s="2" t="str">
        <f t="shared" si="29"/>
        <v>Q61|FISMA</v>
      </c>
      <c r="AY486" s="13" t="s">
        <v>602</v>
      </c>
      <c r="AZ486" s="13" t="s">
        <v>1071</v>
      </c>
      <c r="BA486" s="2">
        <v>1</v>
      </c>
    </row>
    <row r="487" spans="48:53" x14ac:dyDescent="0.2">
      <c r="AV487" s="2" t="s">
        <v>774</v>
      </c>
      <c r="AW487" s="2" t="s">
        <v>712</v>
      </c>
      <c r="AX487" s="2" t="str">
        <f t="shared" si="29"/>
        <v>Q61|FedRAMP</v>
      </c>
      <c r="AY487" s="13" t="s">
        <v>602</v>
      </c>
      <c r="AZ487" s="13" t="s">
        <v>1071</v>
      </c>
      <c r="BA487" s="2">
        <v>1</v>
      </c>
    </row>
    <row r="488" spans="48:53" x14ac:dyDescent="0.2">
      <c r="AV488" s="2" t="s">
        <v>774</v>
      </c>
      <c r="AW488" s="2" t="s">
        <v>1043</v>
      </c>
      <c r="AX488" s="2" t="str">
        <f t="shared" si="29"/>
        <v>Q61|ISO 27001</v>
      </c>
      <c r="AY488" s="13" t="s">
        <v>603</v>
      </c>
      <c r="AZ488" s="13" t="s">
        <v>1140</v>
      </c>
      <c r="BA488" s="2">
        <v>1</v>
      </c>
    </row>
    <row r="489" spans="48:53" x14ac:dyDescent="0.2">
      <c r="AV489" s="2" t="s">
        <v>774</v>
      </c>
      <c r="AW489" s="2" t="s">
        <v>713</v>
      </c>
      <c r="AX489" s="2" t="str">
        <f t="shared" si="29"/>
        <v>Q61|SOC2</v>
      </c>
      <c r="AY489" s="13" t="s">
        <v>444</v>
      </c>
      <c r="AZ489" s="13" t="s">
        <v>1191</v>
      </c>
      <c r="BA489" s="2">
        <v>1</v>
      </c>
    </row>
    <row r="490" spans="48:53" x14ac:dyDescent="0.2">
      <c r="AV490" s="2" t="s">
        <v>774</v>
      </c>
      <c r="AW490" s="2" t="s">
        <v>1044</v>
      </c>
      <c r="AX490" s="2" t="str">
        <f t="shared" si="29"/>
        <v>Q61|CIS v8</v>
      </c>
      <c r="AY490" s="13" t="s">
        <v>1832</v>
      </c>
      <c r="AZ490" s="13" t="s">
        <v>1094</v>
      </c>
      <c r="BA490" s="2">
        <v>1</v>
      </c>
    </row>
    <row r="491" spans="48:53" x14ac:dyDescent="0.2">
      <c r="AV491" s="2" t="s">
        <v>775</v>
      </c>
      <c r="AW491" s="2" t="s">
        <v>1041</v>
      </c>
      <c r="AX491" s="2" t="str">
        <f t="shared" si="29"/>
        <v>Q62|NIST CSF 2.0</v>
      </c>
      <c r="AY491" s="13" t="s">
        <v>604</v>
      </c>
      <c r="AZ491" s="13" t="s">
        <v>1068</v>
      </c>
      <c r="BA491" s="2">
        <v>1</v>
      </c>
    </row>
    <row r="492" spans="48:53" x14ac:dyDescent="0.2">
      <c r="AV492" s="2" t="s">
        <v>775</v>
      </c>
      <c r="AW492" s="2" t="s">
        <v>710</v>
      </c>
      <c r="AX492" s="2" t="str">
        <f t="shared" si="29"/>
        <v>Q62|NIST PQC</v>
      </c>
      <c r="AY492" s="13" t="s">
        <v>605</v>
      </c>
      <c r="AZ492" s="13" t="s">
        <v>1096</v>
      </c>
      <c r="BA492" s="2">
        <v>1</v>
      </c>
    </row>
    <row r="493" spans="48:53" x14ac:dyDescent="0.2">
      <c r="AV493" s="2" t="s">
        <v>775</v>
      </c>
      <c r="AW493" s="2" t="s">
        <v>1042</v>
      </c>
      <c r="AX493" s="2" t="str">
        <f t="shared" si="29"/>
        <v>Q62|CMMC 2.0</v>
      </c>
      <c r="AY493" s="13" t="s">
        <v>463</v>
      </c>
      <c r="AZ493" s="13" t="s">
        <v>1071</v>
      </c>
      <c r="BA493" s="2">
        <v>1</v>
      </c>
    </row>
    <row r="494" spans="48:53" x14ac:dyDescent="0.2">
      <c r="AV494" s="2" t="s">
        <v>775</v>
      </c>
      <c r="AW494" s="2" t="s">
        <v>711</v>
      </c>
      <c r="AX494" s="2" t="str">
        <f t="shared" si="29"/>
        <v>Q62|FISMA</v>
      </c>
      <c r="AY494" s="13" t="s">
        <v>606</v>
      </c>
      <c r="AZ494" s="13" t="s">
        <v>1071</v>
      </c>
      <c r="BA494" s="2">
        <v>1</v>
      </c>
    </row>
    <row r="495" spans="48:53" x14ac:dyDescent="0.2">
      <c r="AV495" s="2" t="s">
        <v>775</v>
      </c>
      <c r="AW495" s="2" t="s">
        <v>712</v>
      </c>
      <c r="AX495" s="2" t="str">
        <f t="shared" si="29"/>
        <v>Q62|FedRAMP</v>
      </c>
      <c r="AY495" s="13" t="s">
        <v>606</v>
      </c>
      <c r="AZ495" s="13" t="s">
        <v>1071</v>
      </c>
      <c r="BA495" s="2">
        <v>1</v>
      </c>
    </row>
    <row r="496" spans="48:53" x14ac:dyDescent="0.2">
      <c r="AV496" s="2" t="s">
        <v>775</v>
      </c>
      <c r="AW496" s="2" t="s">
        <v>1043</v>
      </c>
      <c r="AX496" s="2" t="str">
        <f t="shared" si="29"/>
        <v>Q62|ISO 27001</v>
      </c>
      <c r="AY496" s="13" t="s">
        <v>603</v>
      </c>
      <c r="AZ496" s="13" t="s">
        <v>1140</v>
      </c>
      <c r="BA496" s="2">
        <v>1</v>
      </c>
    </row>
    <row r="497" spans="48:53" x14ac:dyDescent="0.2">
      <c r="AV497" s="2" t="s">
        <v>775</v>
      </c>
      <c r="AW497" s="2" t="s">
        <v>713</v>
      </c>
      <c r="AX497" s="2" t="str">
        <f t="shared" si="29"/>
        <v>Q62|SOC2</v>
      </c>
      <c r="AY497" s="13" t="s">
        <v>444</v>
      </c>
      <c r="AZ497" s="13" t="s">
        <v>1191</v>
      </c>
      <c r="BA497" s="2">
        <v>1</v>
      </c>
    </row>
    <row r="498" spans="48:53" x14ac:dyDescent="0.2">
      <c r="AV498" s="2" t="s">
        <v>775</v>
      </c>
      <c r="AW498" s="2" t="s">
        <v>1044</v>
      </c>
      <c r="AX498" s="2" t="str">
        <f t="shared" si="29"/>
        <v>Q62|CIS v8</v>
      </c>
      <c r="AY498" s="13" t="s">
        <v>1857</v>
      </c>
      <c r="AZ498" s="13" t="s">
        <v>1094</v>
      </c>
      <c r="BA498" s="2">
        <v>1</v>
      </c>
    </row>
    <row r="499" spans="48:53" x14ac:dyDescent="0.2">
      <c r="AV499" s="2" t="s">
        <v>776</v>
      </c>
      <c r="AW499" s="2" t="s">
        <v>1041</v>
      </c>
      <c r="AX499" s="2" t="str">
        <f t="shared" si="29"/>
        <v>Q63|NIST CSF 2.0</v>
      </c>
      <c r="AY499" s="13" t="s">
        <v>599</v>
      </c>
      <c r="AZ499" s="13" t="s">
        <v>1068</v>
      </c>
      <c r="BA499" s="2">
        <v>1</v>
      </c>
    </row>
    <row r="500" spans="48:53" x14ac:dyDescent="0.2">
      <c r="AV500" s="2" t="s">
        <v>776</v>
      </c>
      <c r="AW500" s="2" t="s">
        <v>710</v>
      </c>
      <c r="AX500" s="2" t="str">
        <f t="shared" si="29"/>
        <v>Q63|NIST PQC</v>
      </c>
      <c r="AY500" s="13" t="s">
        <v>607</v>
      </c>
      <c r="AZ500" s="13" t="s">
        <v>1096</v>
      </c>
      <c r="BA500" s="2">
        <v>1</v>
      </c>
    </row>
    <row r="501" spans="48:53" x14ac:dyDescent="0.2">
      <c r="AV501" s="2" t="s">
        <v>776</v>
      </c>
      <c r="AW501" s="2" t="s">
        <v>1042</v>
      </c>
      <c r="AX501" s="2" t="str">
        <f t="shared" si="29"/>
        <v>Q63|CMMC 2.0</v>
      </c>
      <c r="AY501" s="13" t="s">
        <v>452</v>
      </c>
      <c r="AZ501" s="13" t="s">
        <v>1071</v>
      </c>
      <c r="BA501" s="2">
        <v>0.8</v>
      </c>
    </row>
    <row r="502" spans="48:53" x14ac:dyDescent="0.2">
      <c r="AV502" s="2" t="s">
        <v>776</v>
      </c>
      <c r="AW502" s="2" t="s">
        <v>711</v>
      </c>
      <c r="AX502" s="2" t="str">
        <f t="shared" si="29"/>
        <v>Q63|FISMA</v>
      </c>
      <c r="AY502" s="13" t="s">
        <v>453</v>
      </c>
      <c r="AZ502" s="13" t="s">
        <v>1071</v>
      </c>
      <c r="BA502" s="2">
        <v>1</v>
      </c>
    </row>
    <row r="503" spans="48:53" x14ac:dyDescent="0.2">
      <c r="AV503" s="2" t="s">
        <v>776</v>
      </c>
      <c r="AW503" s="2" t="s">
        <v>712</v>
      </c>
      <c r="AX503" s="2" t="str">
        <f t="shared" si="29"/>
        <v>Q63|FedRAMP</v>
      </c>
      <c r="AY503" s="13" t="s">
        <v>453</v>
      </c>
      <c r="AZ503" s="13" t="s">
        <v>1071</v>
      </c>
      <c r="BA503" s="2">
        <v>1</v>
      </c>
    </row>
    <row r="504" spans="48:53" x14ac:dyDescent="0.2">
      <c r="AV504" s="2" t="s">
        <v>776</v>
      </c>
      <c r="AW504" s="2" t="s">
        <v>1043</v>
      </c>
      <c r="AX504" s="2" t="str">
        <f t="shared" si="29"/>
        <v>Q63|ISO 27001</v>
      </c>
      <c r="AY504" s="13" t="s">
        <v>603</v>
      </c>
      <c r="AZ504" s="13" t="s">
        <v>1140</v>
      </c>
      <c r="BA504" s="2">
        <v>0.8</v>
      </c>
    </row>
    <row r="505" spans="48:53" x14ac:dyDescent="0.2">
      <c r="AV505" s="2" t="s">
        <v>776</v>
      </c>
      <c r="AW505" s="2" t="s">
        <v>713</v>
      </c>
      <c r="AX505" s="2" t="str">
        <f t="shared" si="29"/>
        <v>Q63|SOC2</v>
      </c>
      <c r="AY505" s="13" t="s">
        <v>444</v>
      </c>
      <c r="AZ505" s="13" t="s">
        <v>1191</v>
      </c>
      <c r="BA505" s="2">
        <v>0.8</v>
      </c>
    </row>
    <row r="506" spans="48:53" x14ac:dyDescent="0.2">
      <c r="AV506" s="2" t="s">
        <v>776</v>
      </c>
      <c r="AW506" s="2" t="s">
        <v>1044</v>
      </c>
      <c r="AX506" s="2" t="str">
        <f t="shared" si="29"/>
        <v>Q63|CIS v8</v>
      </c>
      <c r="AY506" s="13" t="s">
        <v>1832</v>
      </c>
      <c r="AZ506" s="13" t="s">
        <v>1094</v>
      </c>
      <c r="BA506" s="2">
        <v>0.8</v>
      </c>
    </row>
    <row r="507" spans="48:53" x14ac:dyDescent="0.2">
      <c r="AV507" s="2" t="s">
        <v>777</v>
      </c>
      <c r="AW507" s="2" t="s">
        <v>1041</v>
      </c>
      <c r="AX507" s="2" t="str">
        <f t="shared" si="29"/>
        <v>Q64|NIST CSF 2.0</v>
      </c>
      <c r="AY507" s="13" t="s">
        <v>608</v>
      </c>
      <c r="AZ507" s="13" t="s">
        <v>1068</v>
      </c>
      <c r="BA507" s="2">
        <v>1</v>
      </c>
    </row>
    <row r="508" spans="48:53" x14ac:dyDescent="0.2">
      <c r="AV508" s="2" t="s">
        <v>777</v>
      </c>
      <c r="AW508" s="2" t="s">
        <v>710</v>
      </c>
      <c r="AX508" s="2" t="str">
        <f t="shared" si="29"/>
        <v>Q64|NIST PQC</v>
      </c>
      <c r="AY508" s="13" t="s">
        <v>609</v>
      </c>
      <c r="AZ508" s="13" t="s">
        <v>1096</v>
      </c>
      <c r="BA508" s="2">
        <v>1</v>
      </c>
    </row>
    <row r="509" spans="48:53" x14ac:dyDescent="0.2">
      <c r="AV509" s="2" t="s">
        <v>777</v>
      </c>
      <c r="AW509" s="2" t="s">
        <v>1042</v>
      </c>
      <c r="AX509" s="2" t="str">
        <f t="shared" si="29"/>
        <v>Q64|CMMC 2.0</v>
      </c>
      <c r="AY509" s="13" t="s">
        <v>452</v>
      </c>
      <c r="AZ509" s="13" t="s">
        <v>1071</v>
      </c>
      <c r="BA509" s="2">
        <v>0.8</v>
      </c>
    </row>
    <row r="510" spans="48:53" x14ac:dyDescent="0.2">
      <c r="AV510" s="2" t="s">
        <v>777</v>
      </c>
      <c r="AW510" s="2" t="s">
        <v>711</v>
      </c>
      <c r="AX510" s="2" t="str">
        <f t="shared" si="29"/>
        <v>Q64|FISMA</v>
      </c>
      <c r="AY510" s="13" t="s">
        <v>453</v>
      </c>
      <c r="AZ510" s="13" t="s">
        <v>1071</v>
      </c>
      <c r="BA510" s="2">
        <v>1</v>
      </c>
    </row>
    <row r="511" spans="48:53" x14ac:dyDescent="0.2">
      <c r="AV511" s="2" t="s">
        <v>777</v>
      </c>
      <c r="AW511" s="2" t="s">
        <v>712</v>
      </c>
      <c r="AX511" s="2" t="str">
        <f t="shared" si="29"/>
        <v>Q64|FedRAMP</v>
      </c>
      <c r="AY511" s="13" t="s">
        <v>453</v>
      </c>
      <c r="AZ511" s="13" t="s">
        <v>1071</v>
      </c>
      <c r="BA511" s="2">
        <v>1</v>
      </c>
    </row>
    <row r="512" spans="48:53" x14ac:dyDescent="0.2">
      <c r="AV512" s="2" t="s">
        <v>777</v>
      </c>
      <c r="AW512" s="2" t="s">
        <v>1043</v>
      </c>
      <c r="AX512" s="2" t="str">
        <f t="shared" si="29"/>
        <v>Q64|ISO 27001</v>
      </c>
      <c r="AY512" s="13" t="s">
        <v>603</v>
      </c>
      <c r="AZ512" s="13" t="s">
        <v>1140</v>
      </c>
      <c r="BA512" s="2">
        <v>0.8</v>
      </c>
    </row>
    <row r="513" spans="48:53" x14ac:dyDescent="0.2">
      <c r="AV513" s="2" t="s">
        <v>777</v>
      </c>
      <c r="AW513" s="2" t="s">
        <v>713</v>
      </c>
      <c r="AX513" s="2" t="str">
        <f t="shared" si="29"/>
        <v>Q64|SOC2</v>
      </c>
      <c r="AY513" s="13" t="s">
        <v>610</v>
      </c>
      <c r="AZ513" s="13" t="s">
        <v>1191</v>
      </c>
      <c r="BA513" s="2">
        <v>0.8</v>
      </c>
    </row>
    <row r="514" spans="48:53" x14ac:dyDescent="0.2">
      <c r="AV514" s="2" t="s">
        <v>777</v>
      </c>
      <c r="AW514" s="2" t="s">
        <v>1044</v>
      </c>
      <c r="AX514" s="2" t="str">
        <f t="shared" si="29"/>
        <v>Q64|CIS v8</v>
      </c>
      <c r="AY514" s="13" t="s">
        <v>1832</v>
      </c>
      <c r="AZ514" s="13" t="s">
        <v>1094</v>
      </c>
      <c r="BA514" s="2">
        <v>0.6</v>
      </c>
    </row>
    <row r="515" spans="48:53" x14ac:dyDescent="0.2">
      <c r="AV515" s="2" t="s">
        <v>778</v>
      </c>
      <c r="AW515" s="2" t="s">
        <v>1041</v>
      </c>
      <c r="AX515" s="2" t="str">
        <f t="shared" si="29"/>
        <v>Q65|NIST CSF 2.0</v>
      </c>
      <c r="AY515" s="13" t="s">
        <v>599</v>
      </c>
      <c r="AZ515" s="13" t="s">
        <v>1068</v>
      </c>
      <c r="BA515" s="2">
        <v>1</v>
      </c>
    </row>
    <row r="516" spans="48:53" x14ac:dyDescent="0.2">
      <c r="AV516" s="2" t="s">
        <v>778</v>
      </c>
      <c r="AW516" s="2" t="s">
        <v>710</v>
      </c>
      <c r="AX516" s="2" t="str">
        <f t="shared" ref="AX516:AX579" si="30">_xlfn.CONCAT(AV516,"|",AW516)</f>
        <v>Q65|NIST PQC</v>
      </c>
      <c r="AY516" s="13" t="s">
        <v>611</v>
      </c>
      <c r="AZ516" s="13" t="s">
        <v>1096</v>
      </c>
      <c r="BA516" s="2">
        <v>1</v>
      </c>
    </row>
    <row r="517" spans="48:53" x14ac:dyDescent="0.2">
      <c r="AV517" s="2" t="s">
        <v>778</v>
      </c>
      <c r="AW517" s="2" t="s">
        <v>1042</v>
      </c>
      <c r="AX517" s="2" t="str">
        <f t="shared" si="30"/>
        <v>Q65|CMMC 2.0</v>
      </c>
      <c r="AY517" s="13" t="s">
        <v>452</v>
      </c>
      <c r="AZ517" s="13" t="s">
        <v>1071</v>
      </c>
      <c r="BA517" s="2">
        <v>1</v>
      </c>
    </row>
    <row r="518" spans="48:53" x14ac:dyDescent="0.2">
      <c r="AV518" s="2" t="s">
        <v>778</v>
      </c>
      <c r="AW518" s="2" t="s">
        <v>711</v>
      </c>
      <c r="AX518" s="2" t="str">
        <f t="shared" si="30"/>
        <v>Q65|FISMA</v>
      </c>
      <c r="AY518" s="13" t="s">
        <v>453</v>
      </c>
      <c r="AZ518" s="13" t="s">
        <v>1071</v>
      </c>
      <c r="BA518" s="2">
        <v>1</v>
      </c>
    </row>
    <row r="519" spans="48:53" x14ac:dyDescent="0.2">
      <c r="AV519" s="2" t="s">
        <v>778</v>
      </c>
      <c r="AW519" s="2" t="s">
        <v>712</v>
      </c>
      <c r="AX519" s="2" t="str">
        <f t="shared" si="30"/>
        <v>Q65|FedRAMP</v>
      </c>
      <c r="AY519" s="13" t="s">
        <v>453</v>
      </c>
      <c r="AZ519" s="13" t="s">
        <v>1071</v>
      </c>
      <c r="BA519" s="2">
        <v>1</v>
      </c>
    </row>
    <row r="520" spans="48:53" x14ac:dyDescent="0.2">
      <c r="AV520" s="2" t="s">
        <v>778</v>
      </c>
      <c r="AW520" s="2" t="s">
        <v>1043</v>
      </c>
      <c r="AX520" s="2" t="str">
        <f t="shared" si="30"/>
        <v>Q65|ISO 27001</v>
      </c>
      <c r="AY520" s="13" t="s">
        <v>603</v>
      </c>
      <c r="AZ520" s="13" t="s">
        <v>1140</v>
      </c>
      <c r="BA520" s="2">
        <v>1</v>
      </c>
    </row>
    <row r="521" spans="48:53" x14ac:dyDescent="0.2">
      <c r="AV521" s="2" t="s">
        <v>778</v>
      </c>
      <c r="AW521" s="2" t="s">
        <v>713</v>
      </c>
      <c r="AX521" s="2" t="str">
        <f t="shared" si="30"/>
        <v>Q65|SOC2</v>
      </c>
      <c r="AY521" s="13" t="s">
        <v>444</v>
      </c>
      <c r="AZ521" s="13" t="s">
        <v>1191</v>
      </c>
      <c r="BA521" s="2">
        <v>1</v>
      </c>
    </row>
    <row r="522" spans="48:53" x14ac:dyDescent="0.2">
      <c r="AV522" s="2" t="s">
        <v>778</v>
      </c>
      <c r="AW522" s="2" t="s">
        <v>1044</v>
      </c>
      <c r="AX522" s="2" t="str">
        <f t="shared" si="30"/>
        <v>Q65|CIS v8</v>
      </c>
      <c r="AY522" s="13" t="s">
        <v>1832</v>
      </c>
      <c r="AZ522" s="13" t="s">
        <v>1094</v>
      </c>
      <c r="BA522" s="2">
        <v>1</v>
      </c>
    </row>
    <row r="523" spans="48:53" x14ac:dyDescent="0.2">
      <c r="AV523" s="2" t="s">
        <v>779</v>
      </c>
      <c r="AW523" s="2" t="s">
        <v>1041</v>
      </c>
      <c r="AX523" s="2" t="str">
        <f t="shared" si="30"/>
        <v>Q66|NIST CSF 2.0</v>
      </c>
      <c r="AY523" s="13" t="s">
        <v>612</v>
      </c>
      <c r="AZ523" s="13" t="s">
        <v>1068</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1042</v>
      </c>
      <c r="AX525" s="2" t="str">
        <f t="shared" si="30"/>
        <v>Q66|CMMC 2.0</v>
      </c>
      <c r="AY525" s="13" t="s">
        <v>613</v>
      </c>
      <c r="AZ525" s="13" t="s">
        <v>1080</v>
      </c>
      <c r="BA525" s="2">
        <v>1</v>
      </c>
    </row>
    <row r="526" spans="48:53" x14ac:dyDescent="0.2">
      <c r="AV526" s="2" t="s">
        <v>779</v>
      </c>
      <c r="AW526" s="2" t="s">
        <v>711</v>
      </c>
      <c r="AX526" s="2" t="str">
        <f t="shared" si="30"/>
        <v>Q66|FISMA</v>
      </c>
      <c r="AY526" s="13" t="s">
        <v>614</v>
      </c>
      <c r="AZ526" s="13" t="s">
        <v>1080</v>
      </c>
      <c r="BA526" s="2">
        <v>1</v>
      </c>
    </row>
    <row r="527" spans="48:53" x14ac:dyDescent="0.2">
      <c r="AV527" s="2" t="s">
        <v>779</v>
      </c>
      <c r="AW527" s="2" t="s">
        <v>712</v>
      </c>
      <c r="AX527" s="2" t="str">
        <f t="shared" si="30"/>
        <v>Q66|FedRAMP</v>
      </c>
      <c r="AY527" s="13" t="s">
        <v>614</v>
      </c>
      <c r="AZ527" s="13" t="s">
        <v>1080</v>
      </c>
      <c r="BA527" s="2">
        <v>1</v>
      </c>
    </row>
    <row r="528" spans="48:53" x14ac:dyDescent="0.2">
      <c r="AV528" s="2" t="s">
        <v>779</v>
      </c>
      <c r="AW528" s="2" t="s">
        <v>1043</v>
      </c>
      <c r="AX528" s="2" t="str">
        <f t="shared" si="30"/>
        <v>Q66|ISO 27001</v>
      </c>
      <c r="AY528" s="13" t="s">
        <v>615</v>
      </c>
      <c r="AZ528" s="13" t="s">
        <v>1141</v>
      </c>
      <c r="BA528" s="2">
        <v>1</v>
      </c>
    </row>
    <row r="529" spans="48:53" x14ac:dyDescent="0.2">
      <c r="AV529" s="2" t="s">
        <v>779</v>
      </c>
      <c r="AW529" s="2" t="s">
        <v>713</v>
      </c>
      <c r="AX529" s="2" t="str">
        <f t="shared" si="30"/>
        <v>Q66|SOC2</v>
      </c>
      <c r="AY529" s="13" t="s">
        <v>444</v>
      </c>
      <c r="AZ529" s="13" t="s">
        <v>1191</v>
      </c>
      <c r="BA529" s="2">
        <v>1</v>
      </c>
    </row>
    <row r="530" spans="48:53" x14ac:dyDescent="0.2">
      <c r="AV530" s="2" t="s">
        <v>779</v>
      </c>
      <c r="AW530" s="2" t="s">
        <v>1044</v>
      </c>
      <c r="AX530" s="2" t="str">
        <f t="shared" si="30"/>
        <v>Q66|CIS v8</v>
      </c>
      <c r="AY530" s="13" t="s">
        <v>1858</v>
      </c>
      <c r="AZ530" s="13" t="s">
        <v>1094</v>
      </c>
      <c r="BA530" s="2">
        <v>1</v>
      </c>
    </row>
    <row r="531" spans="48:53" x14ac:dyDescent="0.2">
      <c r="AV531" s="2" t="s">
        <v>780</v>
      </c>
      <c r="AW531" s="2" t="s">
        <v>1041</v>
      </c>
      <c r="AX531" s="2" t="str">
        <f t="shared" si="30"/>
        <v>Q67|NIST CSF 2.0</v>
      </c>
      <c r="AY531" s="13" t="s">
        <v>599</v>
      </c>
      <c r="AZ531" s="13" t="s">
        <v>1068</v>
      </c>
      <c r="BA531" s="2">
        <v>0.8</v>
      </c>
    </row>
    <row r="532" spans="48:53" x14ac:dyDescent="0.2">
      <c r="AV532" s="2" t="s">
        <v>780</v>
      </c>
      <c r="AW532" s="2" t="s">
        <v>710</v>
      </c>
      <c r="AX532" s="2" t="str">
        <f t="shared" si="30"/>
        <v>Q67|NIST PQC</v>
      </c>
      <c r="AY532" s="13" t="s">
        <v>616</v>
      </c>
      <c r="AZ532" s="13" t="s">
        <v>1096</v>
      </c>
      <c r="BA532" s="2">
        <v>0.8</v>
      </c>
    </row>
    <row r="533" spans="48:53" x14ac:dyDescent="0.2">
      <c r="AV533" s="2" t="s">
        <v>780</v>
      </c>
      <c r="AW533" s="2" t="s">
        <v>1042</v>
      </c>
      <c r="AX533" s="2" t="str">
        <f t="shared" si="30"/>
        <v>Q67|CMMC 2.0</v>
      </c>
      <c r="AY533" s="13" t="s">
        <v>452</v>
      </c>
      <c r="AZ533" s="13" t="s">
        <v>1071</v>
      </c>
      <c r="BA533" s="2">
        <v>0.6</v>
      </c>
    </row>
    <row r="534" spans="48:53" x14ac:dyDescent="0.2">
      <c r="AV534" s="2" t="s">
        <v>780</v>
      </c>
      <c r="AW534" s="2" t="s">
        <v>711</v>
      </c>
      <c r="AX534" s="2" t="str">
        <f t="shared" si="30"/>
        <v>Q67|FISMA</v>
      </c>
      <c r="AY534" s="13" t="s">
        <v>453</v>
      </c>
      <c r="AZ534" s="13" t="s">
        <v>1071</v>
      </c>
      <c r="BA534" s="2">
        <v>0.8</v>
      </c>
    </row>
    <row r="535" spans="48:53" x14ac:dyDescent="0.2">
      <c r="AV535" s="2" t="s">
        <v>780</v>
      </c>
      <c r="AW535" s="2" t="s">
        <v>712</v>
      </c>
      <c r="AX535" s="2" t="str">
        <f t="shared" si="30"/>
        <v>Q67|FedRAMP</v>
      </c>
      <c r="AY535" s="13" t="s">
        <v>453</v>
      </c>
      <c r="AZ535" s="13" t="s">
        <v>1071</v>
      </c>
      <c r="BA535" s="2">
        <v>0.8</v>
      </c>
    </row>
    <row r="536" spans="48:53" x14ac:dyDescent="0.2">
      <c r="AV536" s="2" t="s">
        <v>780</v>
      </c>
      <c r="AW536" s="2" t="s">
        <v>1043</v>
      </c>
      <c r="AX536" s="2" t="str">
        <f t="shared" si="30"/>
        <v>Q67|ISO 27001</v>
      </c>
      <c r="AY536" s="13" t="s">
        <v>603</v>
      </c>
      <c r="AZ536" s="13" t="s">
        <v>1140</v>
      </c>
      <c r="BA536" s="2">
        <v>0.6</v>
      </c>
    </row>
    <row r="537" spans="48:53" x14ac:dyDescent="0.2">
      <c r="AV537" s="2" t="s">
        <v>780</v>
      </c>
      <c r="AW537" s="2" t="s">
        <v>713</v>
      </c>
      <c r="AX537" s="2" t="str">
        <f t="shared" si="30"/>
        <v>Q67|SOC2</v>
      </c>
      <c r="AY537" s="13" t="s">
        <v>444</v>
      </c>
      <c r="AZ537" s="13" t="s">
        <v>1191</v>
      </c>
      <c r="BA537" s="2">
        <v>0.6</v>
      </c>
    </row>
    <row r="538" spans="48:53" x14ac:dyDescent="0.2">
      <c r="AV538" s="2" t="s">
        <v>780</v>
      </c>
      <c r="AW538" s="2" t="s">
        <v>1044</v>
      </c>
      <c r="AX538" s="2" t="str">
        <f t="shared" si="30"/>
        <v>Q67|CIS v8</v>
      </c>
      <c r="AY538" s="13" t="s">
        <v>1832</v>
      </c>
      <c r="AZ538" s="13" t="s">
        <v>1094</v>
      </c>
      <c r="BA538" s="2">
        <v>0.6</v>
      </c>
    </row>
    <row r="539" spans="48:53" x14ac:dyDescent="0.2">
      <c r="AV539" s="2" t="s">
        <v>781</v>
      </c>
      <c r="AW539" s="2" t="s">
        <v>1041</v>
      </c>
      <c r="AX539" s="2" t="str">
        <f t="shared" si="30"/>
        <v>Q68|NIST CSF 2.0</v>
      </c>
      <c r="AY539" s="13" t="s">
        <v>599</v>
      </c>
      <c r="AZ539" s="13" t="s">
        <v>1068</v>
      </c>
      <c r="BA539" s="2">
        <v>1</v>
      </c>
    </row>
    <row r="540" spans="48:53" x14ac:dyDescent="0.2">
      <c r="AV540" s="2" t="s">
        <v>781</v>
      </c>
      <c r="AW540" s="2" t="s">
        <v>710</v>
      </c>
      <c r="AX540" s="2" t="str">
        <f t="shared" si="30"/>
        <v>Q68|NIST PQC</v>
      </c>
      <c r="AY540" s="13" t="s">
        <v>617</v>
      </c>
      <c r="AZ540" s="13" t="s">
        <v>1096</v>
      </c>
      <c r="BA540" s="2">
        <v>1</v>
      </c>
    </row>
    <row r="541" spans="48:53" x14ac:dyDescent="0.2">
      <c r="AV541" s="2" t="s">
        <v>781</v>
      </c>
      <c r="AW541" s="2" t="s">
        <v>1042</v>
      </c>
      <c r="AX541" s="2" t="str">
        <f t="shared" si="30"/>
        <v>Q68|CMMC 2.0</v>
      </c>
      <c r="AY541" s="13" t="s">
        <v>601</v>
      </c>
      <c r="AZ541" s="13" t="s">
        <v>1071</v>
      </c>
      <c r="BA541" s="2">
        <v>0.8</v>
      </c>
    </row>
    <row r="542" spans="48:53" x14ac:dyDescent="0.2">
      <c r="AV542" s="2" t="s">
        <v>781</v>
      </c>
      <c r="AW542" s="2" t="s">
        <v>711</v>
      </c>
      <c r="AX542" s="2" t="str">
        <f t="shared" si="30"/>
        <v>Q68|FISMA</v>
      </c>
      <c r="AY542" s="13" t="s">
        <v>602</v>
      </c>
      <c r="AZ542" s="13" t="s">
        <v>1071</v>
      </c>
      <c r="BA542" s="2">
        <v>1</v>
      </c>
    </row>
    <row r="543" spans="48:53" x14ac:dyDescent="0.2">
      <c r="AV543" s="2" t="s">
        <v>781</v>
      </c>
      <c r="AW543" s="2" t="s">
        <v>712</v>
      </c>
      <c r="AX543" s="2" t="str">
        <f t="shared" si="30"/>
        <v>Q68|FedRAMP</v>
      </c>
      <c r="AY543" s="13" t="s">
        <v>602</v>
      </c>
      <c r="AZ543" s="13" t="s">
        <v>1071</v>
      </c>
      <c r="BA543" s="2">
        <v>1</v>
      </c>
    </row>
    <row r="544" spans="48:53" x14ac:dyDescent="0.2">
      <c r="AV544" s="2" t="s">
        <v>781</v>
      </c>
      <c r="AW544" s="2" t="s">
        <v>1043</v>
      </c>
      <c r="AX544" s="2" t="str">
        <f t="shared" si="30"/>
        <v>Q68|ISO 27001</v>
      </c>
      <c r="AY544" s="13" t="s">
        <v>603</v>
      </c>
      <c r="AZ544" s="13" t="s">
        <v>1140</v>
      </c>
      <c r="BA544" s="2">
        <v>0.8</v>
      </c>
    </row>
    <row r="545" spans="48:53" x14ac:dyDescent="0.2">
      <c r="AV545" s="2" t="s">
        <v>781</v>
      </c>
      <c r="AW545" s="2" t="s">
        <v>713</v>
      </c>
      <c r="AX545" s="2" t="str">
        <f t="shared" si="30"/>
        <v>Q68|SOC2</v>
      </c>
      <c r="AY545" s="13" t="s">
        <v>444</v>
      </c>
      <c r="AZ545" s="13" t="s">
        <v>1191</v>
      </c>
      <c r="BA545" s="2">
        <v>0.8</v>
      </c>
    </row>
    <row r="546" spans="48:53" x14ac:dyDescent="0.2">
      <c r="AV546" s="2" t="s">
        <v>781</v>
      </c>
      <c r="AW546" s="2" t="s">
        <v>1044</v>
      </c>
      <c r="AX546" s="2" t="str">
        <f t="shared" si="30"/>
        <v>Q68|CIS v8</v>
      </c>
      <c r="AY546" s="13" t="s">
        <v>1832</v>
      </c>
      <c r="AZ546" s="13" t="s">
        <v>1094</v>
      </c>
      <c r="BA546" s="2">
        <v>0.8</v>
      </c>
    </row>
    <row r="547" spans="48:53" x14ac:dyDescent="0.2">
      <c r="AV547" s="2" t="s">
        <v>782</v>
      </c>
      <c r="AW547" s="2" t="s">
        <v>1041</v>
      </c>
      <c r="AX547" s="2" t="str">
        <f t="shared" si="30"/>
        <v>Q69|NIST CSF 2.0</v>
      </c>
      <c r="AY547" s="13" t="s">
        <v>618</v>
      </c>
      <c r="AZ547" s="13" t="s">
        <v>1065</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1042</v>
      </c>
      <c r="AX549" s="2" t="str">
        <f t="shared" si="30"/>
        <v>Q69|CMMC 2.0</v>
      </c>
      <c r="AY549" s="13" t="s">
        <v>452</v>
      </c>
      <c r="AZ549" s="13" t="s">
        <v>1071</v>
      </c>
      <c r="BA549" s="2">
        <v>0.8</v>
      </c>
    </row>
    <row r="550" spans="48:53" x14ac:dyDescent="0.2">
      <c r="AV550" s="2" t="s">
        <v>782</v>
      </c>
      <c r="AW550" s="2" t="s">
        <v>711</v>
      </c>
      <c r="AX550" s="2" t="str">
        <f t="shared" si="30"/>
        <v>Q69|FISMA</v>
      </c>
      <c r="AY550" s="13" t="s">
        <v>619</v>
      </c>
      <c r="AZ550" s="13" t="s">
        <v>1075</v>
      </c>
      <c r="BA550" s="2">
        <v>1</v>
      </c>
    </row>
    <row r="551" spans="48:53" x14ac:dyDescent="0.2">
      <c r="AV551" s="2" t="s">
        <v>782</v>
      </c>
      <c r="AW551" s="2" t="s">
        <v>712</v>
      </c>
      <c r="AX551" s="2" t="str">
        <f t="shared" si="30"/>
        <v>Q69|FedRAMP</v>
      </c>
      <c r="AY551" s="13" t="s">
        <v>619</v>
      </c>
      <c r="AZ551" s="13" t="s">
        <v>1075</v>
      </c>
      <c r="BA551" s="2">
        <v>1</v>
      </c>
    </row>
    <row r="552" spans="48:53" x14ac:dyDescent="0.2">
      <c r="AV552" s="2" t="s">
        <v>782</v>
      </c>
      <c r="AW552" s="2" t="s">
        <v>1043</v>
      </c>
      <c r="AX552" s="2" t="str">
        <f t="shared" si="30"/>
        <v>Q69|ISO 27001</v>
      </c>
      <c r="AY552" s="13" t="s">
        <v>620</v>
      </c>
      <c r="AZ552" s="13" t="s">
        <v>1144</v>
      </c>
      <c r="BA552" s="2">
        <v>1</v>
      </c>
    </row>
    <row r="553" spans="48:53" x14ac:dyDescent="0.2">
      <c r="AV553" s="2" t="s">
        <v>782</v>
      </c>
      <c r="AW553" s="2" t="s">
        <v>713</v>
      </c>
      <c r="AX553" s="2" t="str">
        <f t="shared" si="30"/>
        <v>Q69|SOC2</v>
      </c>
      <c r="AY553" s="13" t="s">
        <v>484</v>
      </c>
      <c r="AZ553" s="13" t="s">
        <v>1194</v>
      </c>
      <c r="BA553" s="2">
        <v>1</v>
      </c>
    </row>
    <row r="554" spans="48:53" x14ac:dyDescent="0.2">
      <c r="AV554" s="2" t="s">
        <v>782</v>
      </c>
      <c r="AW554" s="2" t="s">
        <v>1044</v>
      </c>
      <c r="AX554" s="2" t="str">
        <f t="shared" si="30"/>
        <v>Q69|CIS v8</v>
      </c>
      <c r="AY554" s="13" t="s">
        <v>1859</v>
      </c>
      <c r="AZ554" s="13" t="s">
        <v>1100</v>
      </c>
      <c r="BA554" s="2">
        <v>0.8</v>
      </c>
    </row>
    <row r="555" spans="48:53" x14ac:dyDescent="0.2">
      <c r="AV555" s="2" t="s">
        <v>783</v>
      </c>
      <c r="AW555" s="2" t="s">
        <v>1041</v>
      </c>
      <c r="AX555" s="2" t="str">
        <f t="shared" si="30"/>
        <v>Q70|NIST CSF 2.0</v>
      </c>
      <c r="AY555" s="13" t="s">
        <v>599</v>
      </c>
      <c r="AZ555" s="13" t="s">
        <v>1068</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1042</v>
      </c>
      <c r="AX557" s="2" t="str">
        <f t="shared" si="30"/>
        <v>Q70|CMMC 2.0</v>
      </c>
      <c r="AY557" s="13" t="s">
        <v>452</v>
      </c>
      <c r="AZ557" s="13" t="s">
        <v>1071</v>
      </c>
      <c r="BA557" s="2">
        <v>0.8</v>
      </c>
    </row>
    <row r="558" spans="48:53" x14ac:dyDescent="0.2">
      <c r="AV558" s="2" t="s">
        <v>783</v>
      </c>
      <c r="AW558" s="2" t="s">
        <v>711</v>
      </c>
      <c r="AX558" s="2" t="str">
        <f t="shared" si="30"/>
        <v>Q70|FISMA</v>
      </c>
      <c r="AY558" s="13" t="s">
        <v>453</v>
      </c>
      <c r="AZ558" s="13" t="s">
        <v>1071</v>
      </c>
      <c r="BA558" s="2">
        <v>1</v>
      </c>
    </row>
    <row r="559" spans="48:53" x14ac:dyDescent="0.2">
      <c r="AV559" s="2" t="s">
        <v>783</v>
      </c>
      <c r="AW559" s="2" t="s">
        <v>712</v>
      </c>
      <c r="AX559" s="2" t="str">
        <f t="shared" si="30"/>
        <v>Q70|FedRAMP</v>
      </c>
      <c r="AY559" s="13" t="s">
        <v>453</v>
      </c>
      <c r="AZ559" s="13" t="s">
        <v>1071</v>
      </c>
      <c r="BA559" s="2">
        <v>1</v>
      </c>
    </row>
    <row r="560" spans="48:53" x14ac:dyDescent="0.2">
      <c r="AV560" s="2" t="s">
        <v>783</v>
      </c>
      <c r="AW560" s="2" t="s">
        <v>1043</v>
      </c>
      <c r="AX560" s="2" t="str">
        <f t="shared" si="30"/>
        <v>Q70|ISO 27001</v>
      </c>
      <c r="AY560" s="13" t="s">
        <v>603</v>
      </c>
      <c r="AZ560" s="13" t="s">
        <v>1140</v>
      </c>
      <c r="BA560" s="2">
        <v>0.8</v>
      </c>
    </row>
    <row r="561" spans="48:53" x14ac:dyDescent="0.2">
      <c r="AV561" s="2" t="s">
        <v>783</v>
      </c>
      <c r="AW561" s="2" t="s">
        <v>713</v>
      </c>
      <c r="AX561" s="2" t="str">
        <f t="shared" si="30"/>
        <v>Q70|SOC2</v>
      </c>
      <c r="AY561" s="13" t="s">
        <v>444</v>
      </c>
      <c r="AZ561" s="13" t="s">
        <v>1191</v>
      </c>
      <c r="BA561" s="2">
        <v>0.8</v>
      </c>
    </row>
    <row r="562" spans="48:53" x14ac:dyDescent="0.2">
      <c r="AV562" s="2" t="s">
        <v>783</v>
      </c>
      <c r="AW562" s="2" t="s">
        <v>1044</v>
      </c>
      <c r="AX562" s="2" t="str">
        <f t="shared" si="30"/>
        <v>Q70|CIS v8</v>
      </c>
      <c r="AY562" s="13" t="s">
        <v>1832</v>
      </c>
      <c r="AZ562" s="13" t="s">
        <v>1094</v>
      </c>
      <c r="BA562" s="2">
        <v>0.8</v>
      </c>
    </row>
    <row r="563" spans="48:53" x14ac:dyDescent="0.2">
      <c r="AV563" s="2" t="s">
        <v>784</v>
      </c>
      <c r="AW563" s="2" t="s">
        <v>1041</v>
      </c>
      <c r="AX563" s="2" t="str">
        <f t="shared" si="30"/>
        <v>Q71|NIST CSF 2.0</v>
      </c>
      <c r="AY563" s="13" t="s">
        <v>621</v>
      </c>
      <c r="AZ563" s="13" t="s">
        <v>1068</v>
      </c>
      <c r="BA563" s="2">
        <v>1</v>
      </c>
    </row>
    <row r="564" spans="48:53" x14ac:dyDescent="0.2">
      <c r="AV564" s="2" t="s">
        <v>784</v>
      </c>
      <c r="AW564" s="2" t="s">
        <v>710</v>
      </c>
      <c r="AX564" s="2" t="str">
        <f t="shared" si="30"/>
        <v>Q71|NIST PQC</v>
      </c>
      <c r="AY564" s="13" t="s">
        <v>622</v>
      </c>
      <c r="AZ564" s="13" t="s">
        <v>1096</v>
      </c>
      <c r="BA564" s="2">
        <v>1</v>
      </c>
    </row>
    <row r="565" spans="48:53" x14ac:dyDescent="0.2">
      <c r="AV565" s="2" t="s">
        <v>784</v>
      </c>
      <c r="AW565" s="2" t="s">
        <v>1042</v>
      </c>
      <c r="AX565" s="2" t="str">
        <f t="shared" si="30"/>
        <v>Q71|CMMC 2.0</v>
      </c>
      <c r="AY565" s="13" t="s">
        <v>623</v>
      </c>
      <c r="AZ565" s="13" t="s">
        <v>1071</v>
      </c>
      <c r="BA565" s="2">
        <v>1</v>
      </c>
    </row>
    <row r="566" spans="48:53" x14ac:dyDescent="0.2">
      <c r="AV566" s="2" t="s">
        <v>784</v>
      </c>
      <c r="AW566" s="2" t="s">
        <v>711</v>
      </c>
      <c r="AX566" s="2" t="str">
        <f t="shared" si="30"/>
        <v>Q71|FISMA</v>
      </c>
      <c r="AY566" s="13" t="s">
        <v>624</v>
      </c>
      <c r="AZ566" s="13" t="s">
        <v>1071</v>
      </c>
      <c r="BA566" s="2">
        <v>1</v>
      </c>
    </row>
    <row r="567" spans="48:53" x14ac:dyDescent="0.2">
      <c r="AV567" s="2" t="s">
        <v>784</v>
      </c>
      <c r="AW567" s="2" t="s">
        <v>712</v>
      </c>
      <c r="AX567" s="2" t="str">
        <f t="shared" si="30"/>
        <v>Q71|FedRAMP</v>
      </c>
      <c r="AY567" s="13" t="s">
        <v>624</v>
      </c>
      <c r="AZ567" s="13" t="s">
        <v>1071</v>
      </c>
      <c r="BA567" s="2">
        <v>1</v>
      </c>
    </row>
    <row r="568" spans="48:53" x14ac:dyDescent="0.2">
      <c r="AV568" s="2" t="s">
        <v>784</v>
      </c>
      <c r="AW568" s="2" t="s">
        <v>1043</v>
      </c>
      <c r="AX568" s="2" t="str">
        <f t="shared" si="30"/>
        <v>Q71|ISO 27001</v>
      </c>
      <c r="AY568" s="13" t="s">
        <v>625</v>
      </c>
      <c r="AZ568" s="13" t="s">
        <v>1142</v>
      </c>
      <c r="BA568" s="2">
        <v>1</v>
      </c>
    </row>
    <row r="569" spans="48:53" x14ac:dyDescent="0.2">
      <c r="AV569" s="2" t="s">
        <v>784</v>
      </c>
      <c r="AW569" s="2" t="s">
        <v>713</v>
      </c>
      <c r="AX569" s="2" t="str">
        <f t="shared" si="30"/>
        <v>Q71|SOC2</v>
      </c>
      <c r="AY569" s="13" t="s">
        <v>444</v>
      </c>
      <c r="AZ569" s="13" t="s">
        <v>1191</v>
      </c>
      <c r="BA569" s="2">
        <v>1</v>
      </c>
    </row>
    <row r="570" spans="48:53" x14ac:dyDescent="0.2">
      <c r="AV570" s="2" t="s">
        <v>784</v>
      </c>
      <c r="AW570" s="2" t="s">
        <v>1044</v>
      </c>
      <c r="AX570" s="2" t="str">
        <f t="shared" si="30"/>
        <v>Q71|CIS v8</v>
      </c>
      <c r="AY570" s="13" t="s">
        <v>1832</v>
      </c>
      <c r="AZ570" s="13" t="s">
        <v>1094</v>
      </c>
      <c r="BA570" s="2">
        <v>1</v>
      </c>
    </row>
    <row r="571" spans="48:53" x14ac:dyDescent="0.2">
      <c r="AV571" s="2" t="s">
        <v>785</v>
      </c>
      <c r="AW571" s="2" t="s">
        <v>1041</v>
      </c>
      <c r="AX571" s="2" t="str">
        <f t="shared" si="30"/>
        <v>Q72|NIST CSF 2.0</v>
      </c>
      <c r="AY571" s="13" t="s">
        <v>599</v>
      </c>
      <c r="AZ571" s="13" t="s">
        <v>1068</v>
      </c>
      <c r="BA571" s="2">
        <v>1</v>
      </c>
    </row>
    <row r="572" spans="48:53" x14ac:dyDescent="0.2">
      <c r="AV572" s="2" t="s">
        <v>785</v>
      </c>
      <c r="AW572" s="2" t="s">
        <v>710</v>
      </c>
      <c r="AX572" s="2" t="str">
        <f t="shared" si="30"/>
        <v>Q72|NIST PQC</v>
      </c>
      <c r="AY572" s="13" t="s">
        <v>626</v>
      </c>
      <c r="AZ572" s="13" t="s">
        <v>1096</v>
      </c>
      <c r="BA572" s="2">
        <v>1</v>
      </c>
    </row>
    <row r="573" spans="48:53" x14ac:dyDescent="0.2">
      <c r="AV573" s="2" t="s">
        <v>785</v>
      </c>
      <c r="AW573" s="2" t="s">
        <v>1042</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1071</v>
      </c>
      <c r="BA574" s="2">
        <v>1</v>
      </c>
    </row>
    <row r="575" spans="48:53" x14ac:dyDescent="0.2">
      <c r="AV575" s="2" t="s">
        <v>785</v>
      </c>
      <c r="AW575" s="2" t="s">
        <v>712</v>
      </c>
      <c r="AX575" s="2" t="str">
        <f t="shared" si="30"/>
        <v>Q72|FedRAMP</v>
      </c>
      <c r="AY575" s="13" t="s">
        <v>453</v>
      </c>
      <c r="AZ575" s="13" t="s">
        <v>1071</v>
      </c>
      <c r="BA575" s="2">
        <v>1</v>
      </c>
    </row>
    <row r="576" spans="48:53" x14ac:dyDescent="0.2">
      <c r="AV576" s="2" t="s">
        <v>785</v>
      </c>
      <c r="AW576" s="2" t="s">
        <v>1043</v>
      </c>
      <c r="AX576" s="2" t="str">
        <f t="shared" si="30"/>
        <v>Q72|ISO 27001</v>
      </c>
      <c r="AY576" s="13" t="s">
        <v>625</v>
      </c>
      <c r="AZ576" s="13" t="s">
        <v>1142</v>
      </c>
      <c r="BA576" s="2">
        <v>1</v>
      </c>
    </row>
    <row r="577" spans="48:53" x14ac:dyDescent="0.2">
      <c r="AV577" s="2" t="s">
        <v>785</v>
      </c>
      <c r="AW577" s="2" t="s">
        <v>713</v>
      </c>
      <c r="AX577" s="2" t="str">
        <f t="shared" si="30"/>
        <v>Q72|SOC2</v>
      </c>
      <c r="AY577" s="13" t="s">
        <v>444</v>
      </c>
      <c r="AZ577" s="13" t="s">
        <v>1191</v>
      </c>
      <c r="BA577" s="2">
        <v>1</v>
      </c>
    </row>
    <row r="578" spans="48:53" x14ac:dyDescent="0.2">
      <c r="AV578" s="2" t="s">
        <v>785</v>
      </c>
      <c r="AW578" s="2" t="s">
        <v>1044</v>
      </c>
      <c r="AX578" s="2" t="str">
        <f t="shared" si="30"/>
        <v>Q72|CIS v8</v>
      </c>
      <c r="AY578" s="13" t="s">
        <v>1832</v>
      </c>
      <c r="AZ578" s="13" t="s">
        <v>1094</v>
      </c>
      <c r="BA578" s="2">
        <v>0.8</v>
      </c>
    </row>
    <row r="579" spans="48:53" x14ac:dyDescent="0.2">
      <c r="AV579" s="2" t="s">
        <v>786</v>
      </c>
      <c r="AW579" s="2" t="s">
        <v>1041</v>
      </c>
      <c r="AX579" s="2" t="str">
        <f t="shared" si="30"/>
        <v>Q73|NIST CSF 2.0</v>
      </c>
      <c r="AY579" s="13" t="s">
        <v>621</v>
      </c>
      <c r="AZ579" s="13" t="s">
        <v>1068</v>
      </c>
      <c r="BA579" s="2">
        <v>1</v>
      </c>
    </row>
    <row r="580" spans="48:53" x14ac:dyDescent="0.2">
      <c r="AV580" s="2" t="s">
        <v>786</v>
      </c>
      <c r="AW580" s="2" t="s">
        <v>710</v>
      </c>
      <c r="AX580" s="2" t="str">
        <f t="shared" ref="AX580:AX643" si="31">_xlfn.CONCAT(AV580,"|",AW580)</f>
        <v>Q73|NIST PQC</v>
      </c>
      <c r="AY580" s="13" t="s">
        <v>628</v>
      </c>
      <c r="AZ580" s="13" t="s">
        <v>1096</v>
      </c>
      <c r="BA580" s="2">
        <v>1</v>
      </c>
    </row>
    <row r="581" spans="48:53" x14ac:dyDescent="0.2">
      <c r="AV581" s="2" t="s">
        <v>786</v>
      </c>
      <c r="AW581" s="2" t="s">
        <v>1042</v>
      </c>
      <c r="AX581" s="2" t="str">
        <f t="shared" si="31"/>
        <v>Q73|CMMC 2.0</v>
      </c>
      <c r="AY581" s="13" t="s">
        <v>623</v>
      </c>
      <c r="AZ581" s="13" t="s">
        <v>1071</v>
      </c>
      <c r="BA581" s="2">
        <v>1</v>
      </c>
    </row>
    <row r="582" spans="48:53" x14ac:dyDescent="0.2">
      <c r="AV582" s="2" t="s">
        <v>786</v>
      </c>
      <c r="AW582" s="2" t="s">
        <v>711</v>
      </c>
      <c r="AX582" s="2" t="str">
        <f t="shared" si="31"/>
        <v>Q73|FISMA</v>
      </c>
      <c r="AY582" s="13" t="s">
        <v>624</v>
      </c>
      <c r="AZ582" s="13" t="s">
        <v>1071</v>
      </c>
      <c r="BA582" s="2">
        <v>1</v>
      </c>
    </row>
    <row r="583" spans="48:53" x14ac:dyDescent="0.2">
      <c r="AV583" s="2" t="s">
        <v>786</v>
      </c>
      <c r="AW583" s="2" t="s">
        <v>712</v>
      </c>
      <c r="AX583" s="2" t="str">
        <f t="shared" si="31"/>
        <v>Q73|FedRAMP</v>
      </c>
      <c r="AY583" s="13" t="s">
        <v>624</v>
      </c>
      <c r="AZ583" s="13" t="s">
        <v>1071</v>
      </c>
      <c r="BA583" s="2">
        <v>1</v>
      </c>
    </row>
    <row r="584" spans="48:53" x14ac:dyDescent="0.2">
      <c r="AV584" s="2" t="s">
        <v>786</v>
      </c>
      <c r="AW584" s="2" t="s">
        <v>1043</v>
      </c>
      <c r="AX584" s="2" t="str">
        <f t="shared" si="31"/>
        <v>Q73|ISO 27001</v>
      </c>
      <c r="AY584" s="13" t="s">
        <v>625</v>
      </c>
      <c r="AZ584" s="13" t="s">
        <v>1142</v>
      </c>
      <c r="BA584" s="2">
        <v>1</v>
      </c>
    </row>
    <row r="585" spans="48:53" x14ac:dyDescent="0.2">
      <c r="AV585" s="2" t="s">
        <v>786</v>
      </c>
      <c r="AW585" s="2" t="s">
        <v>713</v>
      </c>
      <c r="AX585" s="2" t="str">
        <f t="shared" si="31"/>
        <v>Q73|SOC2</v>
      </c>
      <c r="AY585" s="13" t="s">
        <v>444</v>
      </c>
      <c r="AZ585" s="13" t="s">
        <v>1191</v>
      </c>
      <c r="BA585" s="2">
        <v>1</v>
      </c>
    </row>
    <row r="586" spans="48:53" x14ac:dyDescent="0.2">
      <c r="AV586" s="2" t="s">
        <v>786</v>
      </c>
      <c r="AW586" s="2" t="s">
        <v>1044</v>
      </c>
      <c r="AX586" s="2" t="str">
        <f t="shared" si="31"/>
        <v>Q73|CIS v8</v>
      </c>
      <c r="AY586" s="13" t="s">
        <v>1832</v>
      </c>
      <c r="AZ586" s="13" t="s">
        <v>1094</v>
      </c>
      <c r="BA586" s="2">
        <v>1</v>
      </c>
    </row>
    <row r="587" spans="48:53" x14ac:dyDescent="0.2">
      <c r="AV587" s="2" t="s">
        <v>787</v>
      </c>
      <c r="AW587" s="2" t="s">
        <v>1041</v>
      </c>
      <c r="AX587" s="2" t="str">
        <f t="shared" si="31"/>
        <v>Q74|NIST CSF 2.0</v>
      </c>
      <c r="AY587" s="13" t="s">
        <v>599</v>
      </c>
      <c r="AZ587" s="13" t="s">
        <v>1068</v>
      </c>
      <c r="BA587" s="2">
        <v>0.8</v>
      </c>
    </row>
    <row r="588" spans="48:53" x14ac:dyDescent="0.2">
      <c r="AV588" s="2" t="s">
        <v>787</v>
      </c>
      <c r="AW588" s="2" t="s">
        <v>710</v>
      </c>
      <c r="AX588" s="2" t="str">
        <f t="shared" si="31"/>
        <v>Q74|NIST PQC</v>
      </c>
      <c r="AY588" s="13" t="s">
        <v>629</v>
      </c>
      <c r="AZ588" s="13" t="s">
        <v>1096</v>
      </c>
      <c r="BA588" s="2">
        <v>1</v>
      </c>
    </row>
    <row r="589" spans="48:53" x14ac:dyDescent="0.2">
      <c r="AV589" s="2" t="s">
        <v>787</v>
      </c>
      <c r="AW589" s="2" t="s">
        <v>1042</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1071</v>
      </c>
      <c r="BA590" s="2">
        <v>0.8</v>
      </c>
    </row>
    <row r="591" spans="48:53" x14ac:dyDescent="0.2">
      <c r="AV591" s="2" t="s">
        <v>787</v>
      </c>
      <c r="AW591" s="2" t="s">
        <v>712</v>
      </c>
      <c r="AX591" s="2" t="str">
        <f t="shared" si="31"/>
        <v>Q74|FedRAMP</v>
      </c>
      <c r="AY591" s="13" t="s">
        <v>453</v>
      </c>
      <c r="AZ591" s="13" t="s">
        <v>1071</v>
      </c>
      <c r="BA591" s="2">
        <v>0.8</v>
      </c>
    </row>
    <row r="592" spans="48:53" x14ac:dyDescent="0.2">
      <c r="AV592" s="2" t="s">
        <v>787</v>
      </c>
      <c r="AW592" s="2" t="s">
        <v>1043</v>
      </c>
      <c r="AX592" s="2" t="str">
        <f t="shared" si="31"/>
        <v>Q74|ISO 27001</v>
      </c>
      <c r="AY592" s="13" t="s">
        <v>625</v>
      </c>
      <c r="AZ592" s="13" t="s">
        <v>1142</v>
      </c>
      <c r="BA592" s="2">
        <v>0.6</v>
      </c>
    </row>
    <row r="593" spans="48:53" x14ac:dyDescent="0.2">
      <c r="AV593" s="2" t="s">
        <v>787</v>
      </c>
      <c r="AW593" s="2" t="s">
        <v>713</v>
      </c>
      <c r="AX593" s="2" t="str">
        <f t="shared" si="31"/>
        <v>Q74|SOC2</v>
      </c>
      <c r="AY593" s="13" t="s">
        <v>444</v>
      </c>
      <c r="AZ593" s="13" t="s">
        <v>1191</v>
      </c>
      <c r="BA593" s="2">
        <v>0.6</v>
      </c>
    </row>
    <row r="594" spans="48:53" x14ac:dyDescent="0.2">
      <c r="AV594" s="2" t="s">
        <v>787</v>
      </c>
      <c r="AW594" s="2" t="s">
        <v>1044</v>
      </c>
      <c r="AX594" s="2" t="str">
        <f t="shared" si="31"/>
        <v>Q74|CIS v8</v>
      </c>
      <c r="AY594" s="13" t="s">
        <v>1832</v>
      </c>
      <c r="AZ594" s="13" t="s">
        <v>1094</v>
      </c>
      <c r="BA594" s="2">
        <v>0.6</v>
      </c>
    </row>
    <row r="595" spans="48:53" x14ac:dyDescent="0.2">
      <c r="AV595" s="2" t="s">
        <v>788</v>
      </c>
      <c r="AW595" s="2" t="s">
        <v>1041</v>
      </c>
      <c r="AX595" s="2" t="str">
        <f t="shared" si="31"/>
        <v>Q75|NIST CSF 2.0</v>
      </c>
      <c r="AY595" s="13" t="s">
        <v>621</v>
      </c>
      <c r="AZ595" s="13" t="s">
        <v>1068</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1042</v>
      </c>
      <c r="AX597" s="2" t="str">
        <f t="shared" si="31"/>
        <v>Q75|CMMC 2.0</v>
      </c>
      <c r="AY597" s="13" t="s">
        <v>623</v>
      </c>
      <c r="AZ597" s="13" t="s">
        <v>1071</v>
      </c>
      <c r="BA597" s="2">
        <v>1</v>
      </c>
    </row>
    <row r="598" spans="48:53" x14ac:dyDescent="0.2">
      <c r="AV598" s="2" t="s">
        <v>788</v>
      </c>
      <c r="AW598" s="2" t="s">
        <v>711</v>
      </c>
      <c r="AX598" s="2" t="str">
        <f t="shared" si="31"/>
        <v>Q75|FISMA</v>
      </c>
      <c r="AY598" s="13" t="s">
        <v>624</v>
      </c>
      <c r="AZ598" s="13" t="s">
        <v>1071</v>
      </c>
      <c r="BA598" s="2">
        <v>1</v>
      </c>
    </row>
    <row r="599" spans="48:53" x14ac:dyDescent="0.2">
      <c r="AV599" s="2" t="s">
        <v>788</v>
      </c>
      <c r="AW599" s="2" t="s">
        <v>712</v>
      </c>
      <c r="AX599" s="2" t="str">
        <f t="shared" si="31"/>
        <v>Q75|FedRAMP</v>
      </c>
      <c r="AY599" s="13" t="s">
        <v>624</v>
      </c>
      <c r="AZ599" s="13" t="s">
        <v>1071</v>
      </c>
      <c r="BA599" s="2">
        <v>1</v>
      </c>
    </row>
    <row r="600" spans="48:53" x14ac:dyDescent="0.2">
      <c r="AV600" s="2" t="s">
        <v>788</v>
      </c>
      <c r="AW600" s="2" t="s">
        <v>1043</v>
      </c>
      <c r="AX600" s="2" t="str">
        <f t="shared" si="31"/>
        <v>Q75|ISO 27001</v>
      </c>
      <c r="AY600" s="13" t="s">
        <v>625</v>
      </c>
      <c r="AZ600" s="13" t="s">
        <v>1142</v>
      </c>
      <c r="BA600" s="2">
        <v>1</v>
      </c>
    </row>
    <row r="601" spans="48:53" x14ac:dyDescent="0.2">
      <c r="AV601" s="2" t="s">
        <v>788</v>
      </c>
      <c r="AW601" s="2" t="s">
        <v>713</v>
      </c>
      <c r="AX601" s="2" t="str">
        <f t="shared" si="31"/>
        <v>Q75|SOC2</v>
      </c>
      <c r="AY601" s="13" t="s">
        <v>444</v>
      </c>
      <c r="AZ601" s="13" t="s">
        <v>1191</v>
      </c>
      <c r="BA601" s="2">
        <v>1</v>
      </c>
    </row>
    <row r="602" spans="48:53" x14ac:dyDescent="0.2">
      <c r="AV602" s="2" t="s">
        <v>788</v>
      </c>
      <c r="AW602" s="2" t="s">
        <v>1044</v>
      </c>
      <c r="AX602" s="2" t="str">
        <f t="shared" si="31"/>
        <v>Q75|CIS v8</v>
      </c>
      <c r="AY602" s="13" t="s">
        <v>1832</v>
      </c>
      <c r="AZ602" s="13" t="s">
        <v>1094</v>
      </c>
      <c r="BA602" s="2">
        <v>0.8</v>
      </c>
    </row>
    <row r="603" spans="48:53" x14ac:dyDescent="0.2">
      <c r="AV603" s="2" t="s">
        <v>789</v>
      </c>
      <c r="AW603" s="2" t="s">
        <v>1041</v>
      </c>
      <c r="AX603" s="2" t="str">
        <f t="shared" si="31"/>
        <v>Q76|NIST CSF 2.0</v>
      </c>
      <c r="AY603" s="13" t="s">
        <v>630</v>
      </c>
      <c r="AZ603" s="13" t="s">
        <v>1068</v>
      </c>
      <c r="BA603" s="2">
        <v>1</v>
      </c>
    </row>
    <row r="604" spans="48:53" x14ac:dyDescent="0.2">
      <c r="AV604" s="2" t="s">
        <v>789</v>
      </c>
      <c r="AW604" s="2" t="s">
        <v>710</v>
      </c>
      <c r="AX604" s="2" t="str">
        <f t="shared" si="31"/>
        <v>Q76|NIST PQC</v>
      </c>
      <c r="AY604" s="13" t="s">
        <v>631</v>
      </c>
      <c r="AZ604" s="13" t="s">
        <v>1096</v>
      </c>
      <c r="BA604" s="2">
        <v>0.8</v>
      </c>
    </row>
    <row r="605" spans="48:53" x14ac:dyDescent="0.2">
      <c r="AV605" s="2" t="s">
        <v>789</v>
      </c>
      <c r="AW605" s="2" t="s">
        <v>1042</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1071</v>
      </c>
      <c r="BA606" s="2">
        <v>1</v>
      </c>
    </row>
    <row r="607" spans="48:53" x14ac:dyDescent="0.2">
      <c r="AV607" s="2" t="s">
        <v>789</v>
      </c>
      <c r="AW607" s="2" t="s">
        <v>712</v>
      </c>
      <c r="AX607" s="2" t="str">
        <f t="shared" si="31"/>
        <v>Q76|FedRAMP</v>
      </c>
      <c r="AY607" s="13" t="s">
        <v>624</v>
      </c>
      <c r="AZ607" s="13" t="s">
        <v>1071</v>
      </c>
      <c r="BA607" s="2">
        <v>1</v>
      </c>
    </row>
    <row r="608" spans="48:53" x14ac:dyDescent="0.2">
      <c r="AV608" s="2" t="s">
        <v>789</v>
      </c>
      <c r="AW608" s="2" t="s">
        <v>1043</v>
      </c>
      <c r="AX608" s="2" t="str">
        <f t="shared" si="31"/>
        <v>Q76|ISO 27001</v>
      </c>
      <c r="AY608" s="13" t="s">
        <v>625</v>
      </c>
      <c r="AZ608" s="13" t="s">
        <v>1142</v>
      </c>
      <c r="BA608" s="2">
        <v>0.8</v>
      </c>
    </row>
    <row r="609" spans="48:53" x14ac:dyDescent="0.2">
      <c r="AV609" s="2" t="s">
        <v>789</v>
      </c>
      <c r="AW609" s="2" t="s">
        <v>713</v>
      </c>
      <c r="AX609" s="2" t="str">
        <f t="shared" si="31"/>
        <v>Q76|SOC2</v>
      </c>
      <c r="AY609" s="13" t="s">
        <v>633</v>
      </c>
      <c r="AZ609" s="13" t="s">
        <v>1191</v>
      </c>
      <c r="BA609" s="2">
        <v>0.8</v>
      </c>
    </row>
    <row r="610" spans="48:53" x14ac:dyDescent="0.2">
      <c r="AV610" s="2" t="s">
        <v>789</v>
      </c>
      <c r="AW610" s="2" t="s">
        <v>1044</v>
      </c>
      <c r="AX610" s="2" t="str">
        <f t="shared" si="31"/>
        <v>Q76|CIS v8</v>
      </c>
      <c r="AY610" s="13" t="s">
        <v>1832</v>
      </c>
      <c r="AZ610" s="13" t="s">
        <v>1094</v>
      </c>
      <c r="BA610" s="2">
        <v>0.6</v>
      </c>
    </row>
    <row r="611" spans="48:53" x14ac:dyDescent="0.2">
      <c r="AV611" s="2" t="s">
        <v>790</v>
      </c>
      <c r="AW611" s="2" t="s">
        <v>1041</v>
      </c>
      <c r="AX611" s="2" t="str">
        <f t="shared" si="31"/>
        <v>Q77|NIST CSF 2.0</v>
      </c>
      <c r="AY611" s="13" t="s">
        <v>634</v>
      </c>
      <c r="AZ611" s="13" t="s">
        <v>1065</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1042</v>
      </c>
      <c r="AX613" s="2" t="str">
        <f t="shared" si="31"/>
        <v>Q77|CMMC 2.0</v>
      </c>
      <c r="AY613" s="13" t="s">
        <v>635</v>
      </c>
      <c r="AZ613" s="13" t="s">
        <v>1081</v>
      </c>
      <c r="BA613" s="2">
        <v>1</v>
      </c>
    </row>
    <row r="614" spans="48:53" x14ac:dyDescent="0.2">
      <c r="AV614" s="2" t="s">
        <v>790</v>
      </c>
      <c r="AW614" s="2" t="s">
        <v>711</v>
      </c>
      <c r="AX614" s="2" t="str">
        <f t="shared" si="31"/>
        <v>Q77|FISMA</v>
      </c>
      <c r="AY614" s="13" t="s">
        <v>636</v>
      </c>
      <c r="AZ614" s="13" t="s">
        <v>1081</v>
      </c>
      <c r="BA614" s="2">
        <v>1</v>
      </c>
    </row>
    <row r="615" spans="48:53" x14ac:dyDescent="0.2">
      <c r="AV615" s="2" t="s">
        <v>790</v>
      </c>
      <c r="AW615" s="2" t="s">
        <v>712</v>
      </c>
      <c r="AX615" s="2" t="str">
        <f t="shared" si="31"/>
        <v>Q77|FedRAMP</v>
      </c>
      <c r="AY615" s="13" t="s">
        <v>636</v>
      </c>
      <c r="AZ615" s="13" t="s">
        <v>1081</v>
      </c>
      <c r="BA615" s="2">
        <v>1</v>
      </c>
    </row>
    <row r="616" spans="48:53" x14ac:dyDescent="0.2">
      <c r="AV616" s="2" t="s">
        <v>790</v>
      </c>
      <c r="AW616" s="2" t="s">
        <v>1043</v>
      </c>
      <c r="AX616" s="2" t="str">
        <f t="shared" si="31"/>
        <v>Q77|ISO 27001</v>
      </c>
      <c r="AY616" s="13" t="s">
        <v>620</v>
      </c>
      <c r="AZ616" s="13" t="s">
        <v>1144</v>
      </c>
      <c r="BA616" s="2">
        <v>1</v>
      </c>
    </row>
    <row r="617" spans="48:53" x14ac:dyDescent="0.2">
      <c r="AV617" s="2" t="s">
        <v>790</v>
      </c>
      <c r="AW617" s="2" t="s">
        <v>713</v>
      </c>
      <c r="AX617" s="2" t="str">
        <f t="shared" si="31"/>
        <v>Q77|SOC2</v>
      </c>
      <c r="AY617" s="13" t="s">
        <v>484</v>
      </c>
      <c r="AZ617" s="13" t="s">
        <v>1194</v>
      </c>
      <c r="BA617" s="2">
        <v>1</v>
      </c>
    </row>
    <row r="618" spans="48:53" x14ac:dyDescent="0.2">
      <c r="AV618" s="2" t="s">
        <v>790</v>
      </c>
      <c r="AW618" s="2" t="s">
        <v>1044</v>
      </c>
      <c r="AX618" s="2" t="str">
        <f t="shared" si="31"/>
        <v>Q77|CIS v8</v>
      </c>
      <c r="AY618" s="13" t="s">
        <v>1860</v>
      </c>
      <c r="AZ618" s="13" t="s">
        <v>1100</v>
      </c>
      <c r="BA618" s="2">
        <v>1</v>
      </c>
    </row>
    <row r="619" spans="48:53" x14ac:dyDescent="0.2">
      <c r="AV619" s="2" t="s">
        <v>791</v>
      </c>
      <c r="AW619" s="2" t="s">
        <v>1041</v>
      </c>
      <c r="AX619" s="2" t="str">
        <f t="shared" si="31"/>
        <v>Q78|NIST CSF 2.0</v>
      </c>
      <c r="AY619" s="13" t="s">
        <v>621</v>
      </c>
      <c r="AZ619" s="13" t="s">
        <v>1068</v>
      </c>
      <c r="BA619" s="2">
        <v>1</v>
      </c>
    </row>
    <row r="620" spans="48:53" x14ac:dyDescent="0.2">
      <c r="AV620" s="2" t="s">
        <v>791</v>
      </c>
      <c r="AW620" s="2" t="s">
        <v>710</v>
      </c>
      <c r="AX620" s="2" t="str">
        <f t="shared" si="31"/>
        <v>Q78|NIST PQC</v>
      </c>
      <c r="AY620" s="13" t="s">
        <v>637</v>
      </c>
      <c r="AZ620" s="13" t="s">
        <v>1096</v>
      </c>
      <c r="BA620" s="2">
        <v>1</v>
      </c>
    </row>
    <row r="621" spans="48:53" x14ac:dyDescent="0.2">
      <c r="AV621" s="2" t="s">
        <v>791</v>
      </c>
      <c r="AW621" s="2" t="s">
        <v>1042</v>
      </c>
      <c r="AX621" s="2" t="str">
        <f t="shared" si="31"/>
        <v>Q78|CMMC 2.0</v>
      </c>
      <c r="AY621" s="13" t="s">
        <v>623</v>
      </c>
      <c r="AZ621" s="13" t="s">
        <v>1071</v>
      </c>
      <c r="BA621" s="2">
        <v>1</v>
      </c>
    </row>
    <row r="622" spans="48:53" x14ac:dyDescent="0.2">
      <c r="AV622" s="2" t="s">
        <v>791</v>
      </c>
      <c r="AW622" s="2" t="s">
        <v>711</v>
      </c>
      <c r="AX622" s="2" t="str">
        <f t="shared" si="31"/>
        <v>Q78|FISMA</v>
      </c>
      <c r="AY622" s="13" t="s">
        <v>624</v>
      </c>
      <c r="AZ622" s="13" t="s">
        <v>1071</v>
      </c>
      <c r="BA622" s="2">
        <v>1</v>
      </c>
    </row>
    <row r="623" spans="48:53" x14ac:dyDescent="0.2">
      <c r="AV623" s="2" t="s">
        <v>791</v>
      </c>
      <c r="AW623" s="2" t="s">
        <v>712</v>
      </c>
      <c r="AX623" s="2" t="str">
        <f t="shared" si="31"/>
        <v>Q78|FedRAMP</v>
      </c>
      <c r="AY623" s="13" t="s">
        <v>624</v>
      </c>
      <c r="AZ623" s="13" t="s">
        <v>1071</v>
      </c>
      <c r="BA623" s="2">
        <v>1</v>
      </c>
    </row>
    <row r="624" spans="48:53" x14ac:dyDescent="0.2">
      <c r="AV624" s="2" t="s">
        <v>791</v>
      </c>
      <c r="AW624" s="2" t="s">
        <v>1043</v>
      </c>
      <c r="AX624" s="2" t="str">
        <f t="shared" si="31"/>
        <v>Q78|ISO 27001</v>
      </c>
      <c r="AY624" s="13" t="s">
        <v>625</v>
      </c>
      <c r="AZ624" s="13" t="s">
        <v>1142</v>
      </c>
      <c r="BA624" s="2">
        <v>1</v>
      </c>
    </row>
    <row r="625" spans="48:53" x14ac:dyDescent="0.2">
      <c r="AV625" s="2" t="s">
        <v>791</v>
      </c>
      <c r="AW625" s="2" t="s">
        <v>713</v>
      </c>
      <c r="AX625" s="2" t="str">
        <f t="shared" si="31"/>
        <v>Q78|SOC2</v>
      </c>
      <c r="AY625" s="13" t="s">
        <v>444</v>
      </c>
      <c r="AZ625" s="13" t="s">
        <v>1191</v>
      </c>
      <c r="BA625" s="2">
        <v>1</v>
      </c>
    </row>
    <row r="626" spans="48:53" x14ac:dyDescent="0.2">
      <c r="AV626" s="2" t="s">
        <v>791</v>
      </c>
      <c r="AW626" s="2" t="s">
        <v>1044</v>
      </c>
      <c r="AX626" s="2" t="str">
        <f t="shared" si="31"/>
        <v>Q78|CIS v8</v>
      </c>
      <c r="AY626" s="13" t="s">
        <v>1832</v>
      </c>
      <c r="AZ626" s="13" t="s">
        <v>1094</v>
      </c>
      <c r="BA626" s="2">
        <v>0.8</v>
      </c>
    </row>
    <row r="627" spans="48:53" x14ac:dyDescent="0.2">
      <c r="AV627" s="2" t="s">
        <v>792</v>
      </c>
      <c r="AW627" s="2" t="s">
        <v>1041</v>
      </c>
      <c r="AX627" s="2" t="str">
        <f t="shared" si="31"/>
        <v>Q79|NIST CSF 2.0</v>
      </c>
      <c r="AY627" s="13" t="s">
        <v>518</v>
      </c>
      <c r="AZ627" s="13" t="s">
        <v>1066</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1042</v>
      </c>
      <c r="AX629" s="2" t="str">
        <f t="shared" si="31"/>
        <v>Q79|CMMC 2.0</v>
      </c>
      <c r="AY629" s="13" t="s">
        <v>638</v>
      </c>
      <c r="AZ629" s="13" t="s">
        <v>1078</v>
      </c>
      <c r="BA629" s="2">
        <v>1</v>
      </c>
    </row>
    <row r="630" spans="48:53" x14ac:dyDescent="0.2">
      <c r="AV630" s="2" t="s">
        <v>792</v>
      </c>
      <c r="AW630" s="2" t="s">
        <v>711</v>
      </c>
      <c r="AX630" s="2" t="str">
        <f t="shared" si="31"/>
        <v>Q79|FISMA</v>
      </c>
      <c r="AY630" s="13" t="s">
        <v>573</v>
      </c>
      <c r="AZ630" s="13" t="s">
        <v>1078</v>
      </c>
      <c r="BA630" s="2">
        <v>1</v>
      </c>
    </row>
    <row r="631" spans="48:53" x14ac:dyDescent="0.2">
      <c r="AV631" s="2" t="s">
        <v>792</v>
      </c>
      <c r="AW631" s="2" t="s">
        <v>712</v>
      </c>
      <c r="AX631" s="2" t="str">
        <f t="shared" si="31"/>
        <v>Q79|FedRAMP</v>
      </c>
      <c r="AY631" s="13" t="s">
        <v>573</v>
      </c>
      <c r="AZ631" s="13" t="s">
        <v>1078</v>
      </c>
      <c r="BA631" s="2">
        <v>1</v>
      </c>
    </row>
    <row r="632" spans="48:53" x14ac:dyDescent="0.2">
      <c r="AV632" s="2" t="s">
        <v>792</v>
      </c>
      <c r="AW632" s="2" t="s">
        <v>1043</v>
      </c>
      <c r="AX632" s="2" t="str">
        <f t="shared" si="31"/>
        <v>Q79|ISO 27001</v>
      </c>
      <c r="AY632" s="13" t="s">
        <v>639</v>
      </c>
      <c r="AZ632" s="13" t="s">
        <v>1148</v>
      </c>
      <c r="BA632" s="2">
        <v>1</v>
      </c>
    </row>
    <row r="633" spans="48:53" x14ac:dyDescent="0.2">
      <c r="AV633" s="2" t="s">
        <v>792</v>
      </c>
      <c r="AW633" s="2" t="s">
        <v>713</v>
      </c>
      <c r="AX633" s="2" t="str">
        <f t="shared" si="31"/>
        <v>Q79|SOC2</v>
      </c>
      <c r="AY633" s="13" t="s">
        <v>522</v>
      </c>
      <c r="AZ633" s="13" t="s">
        <v>1194</v>
      </c>
      <c r="BA633" s="2">
        <v>1</v>
      </c>
    </row>
    <row r="634" spans="48:53" x14ac:dyDescent="0.2">
      <c r="AV634" s="2" t="s">
        <v>792</v>
      </c>
      <c r="AW634" s="2" t="s">
        <v>1044</v>
      </c>
      <c r="AX634" s="2" t="str">
        <f t="shared" si="31"/>
        <v>Q79|CIS v8</v>
      </c>
      <c r="AY634" s="13" t="s">
        <v>1861</v>
      </c>
      <c r="AZ634" s="13" t="s">
        <v>1089</v>
      </c>
      <c r="BA634" s="2">
        <v>0.8</v>
      </c>
    </row>
    <row r="635" spans="48:53" x14ac:dyDescent="0.2">
      <c r="AV635" s="2" t="s">
        <v>793</v>
      </c>
      <c r="AW635" s="2" t="s">
        <v>1041</v>
      </c>
      <c r="AX635" s="2" t="str">
        <f t="shared" si="31"/>
        <v>Q80|NIST CSF 2.0</v>
      </c>
      <c r="AY635" s="13" t="s">
        <v>599</v>
      </c>
      <c r="AZ635" s="13" t="s">
        <v>1068</v>
      </c>
      <c r="BA635" s="2">
        <v>1</v>
      </c>
    </row>
    <row r="636" spans="48:53" x14ac:dyDescent="0.2">
      <c r="AV636" s="2" t="s">
        <v>793</v>
      </c>
      <c r="AW636" s="2" t="s">
        <v>710</v>
      </c>
      <c r="AX636" s="2" t="str">
        <f t="shared" si="31"/>
        <v>Q80|NIST PQC</v>
      </c>
      <c r="AY636" s="13" t="s">
        <v>640</v>
      </c>
      <c r="AZ636" s="13" t="s">
        <v>1096</v>
      </c>
      <c r="BA636" s="2">
        <v>1</v>
      </c>
    </row>
    <row r="637" spans="48:53" x14ac:dyDescent="0.2">
      <c r="AV637" s="2" t="s">
        <v>793</v>
      </c>
      <c r="AW637" s="2" t="s">
        <v>1042</v>
      </c>
      <c r="AX637" s="2" t="str">
        <f t="shared" si="31"/>
        <v>Q80|CMMC 2.0</v>
      </c>
      <c r="AY637" s="13" t="s">
        <v>623</v>
      </c>
      <c r="AZ637" s="13" t="s">
        <v>1071</v>
      </c>
      <c r="BA637" s="2">
        <v>1</v>
      </c>
    </row>
    <row r="638" spans="48:53" x14ac:dyDescent="0.2">
      <c r="AV638" s="2" t="s">
        <v>793</v>
      </c>
      <c r="AW638" s="2" t="s">
        <v>711</v>
      </c>
      <c r="AX638" s="2" t="str">
        <f t="shared" si="31"/>
        <v>Q80|FISMA</v>
      </c>
      <c r="AY638" s="13" t="s">
        <v>624</v>
      </c>
      <c r="AZ638" s="13" t="s">
        <v>1071</v>
      </c>
      <c r="BA638" s="2">
        <v>1</v>
      </c>
    </row>
    <row r="639" spans="48:53" x14ac:dyDescent="0.2">
      <c r="AV639" s="2" t="s">
        <v>793</v>
      </c>
      <c r="AW639" s="2" t="s">
        <v>712</v>
      </c>
      <c r="AX639" s="2" t="str">
        <f t="shared" si="31"/>
        <v>Q80|FedRAMP</v>
      </c>
      <c r="AY639" s="13" t="s">
        <v>624</v>
      </c>
      <c r="AZ639" s="13" t="s">
        <v>1071</v>
      </c>
      <c r="BA639" s="2">
        <v>1</v>
      </c>
    </row>
    <row r="640" spans="48:53" x14ac:dyDescent="0.2">
      <c r="AV640" s="2" t="s">
        <v>793</v>
      </c>
      <c r="AW640" s="2" t="s">
        <v>1043</v>
      </c>
      <c r="AX640" s="2" t="str">
        <f t="shared" si="31"/>
        <v>Q80|ISO 27001</v>
      </c>
      <c r="AY640" s="13" t="s">
        <v>625</v>
      </c>
      <c r="AZ640" s="13" t="s">
        <v>1142</v>
      </c>
      <c r="BA640" s="2">
        <v>1</v>
      </c>
    </row>
    <row r="641" spans="48:53" x14ac:dyDescent="0.2">
      <c r="AV641" s="2" t="s">
        <v>793</v>
      </c>
      <c r="AW641" s="2" t="s">
        <v>713</v>
      </c>
      <c r="AX641" s="2" t="str">
        <f t="shared" si="31"/>
        <v>Q80|SOC2</v>
      </c>
      <c r="AY641" s="13" t="s">
        <v>444</v>
      </c>
      <c r="AZ641" s="13" t="s">
        <v>1191</v>
      </c>
      <c r="BA641" s="2">
        <v>1</v>
      </c>
    </row>
    <row r="642" spans="48:53" x14ac:dyDescent="0.2">
      <c r="AV642" s="2" t="s">
        <v>793</v>
      </c>
      <c r="AW642" s="2" t="s">
        <v>1044</v>
      </c>
      <c r="AX642" s="2" t="str">
        <f t="shared" si="31"/>
        <v>Q80|CIS v8</v>
      </c>
      <c r="AY642" s="13" t="s">
        <v>1832</v>
      </c>
      <c r="AZ642" s="13" t="s">
        <v>1094</v>
      </c>
      <c r="BA642" s="2">
        <v>1</v>
      </c>
    </row>
    <row r="643" spans="48:53" x14ac:dyDescent="0.2">
      <c r="AV643" s="2" t="s">
        <v>794</v>
      </c>
      <c r="AW643" s="2" t="s">
        <v>1041</v>
      </c>
      <c r="AX643" s="2" t="str">
        <f t="shared" si="31"/>
        <v>Q81|NIST CSF 2.0</v>
      </c>
      <c r="AY643" s="13" t="s">
        <v>445</v>
      </c>
      <c r="AZ643" s="13" t="s">
        <v>1064</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1042</v>
      </c>
      <c r="AX645" s="2" t="str">
        <f t="shared" si="32"/>
        <v>Q81|CMMC 2.0</v>
      </c>
      <c r="AY645" s="13" t="s">
        <v>641</v>
      </c>
      <c r="AZ645" s="13" t="s">
        <v>1082</v>
      </c>
      <c r="BA645" s="2">
        <v>1</v>
      </c>
    </row>
    <row r="646" spans="48:53" x14ac:dyDescent="0.2">
      <c r="AV646" s="2" t="s">
        <v>794</v>
      </c>
      <c r="AW646" s="2" t="s">
        <v>711</v>
      </c>
      <c r="AX646" s="2" t="str">
        <f t="shared" si="32"/>
        <v>Q81|FISMA</v>
      </c>
      <c r="AY646" s="13" t="s">
        <v>447</v>
      </c>
      <c r="AZ646" s="13" t="s">
        <v>1073</v>
      </c>
      <c r="BA646" s="2">
        <v>1</v>
      </c>
    </row>
    <row r="647" spans="48:53" x14ac:dyDescent="0.2">
      <c r="AV647" s="2" t="s">
        <v>794</v>
      </c>
      <c r="AW647" s="2" t="s">
        <v>712</v>
      </c>
      <c r="AX647" s="2" t="str">
        <f t="shared" si="32"/>
        <v>Q81|FedRAMP</v>
      </c>
      <c r="AY647" s="13" t="s">
        <v>447</v>
      </c>
      <c r="AZ647" s="13" t="s">
        <v>1073</v>
      </c>
      <c r="BA647" s="2">
        <v>1</v>
      </c>
    </row>
    <row r="648" spans="48:53" x14ac:dyDescent="0.2">
      <c r="AV648" s="2" t="s">
        <v>794</v>
      </c>
      <c r="AW648" s="2" t="s">
        <v>1043</v>
      </c>
      <c r="AX648" s="2" t="str">
        <f t="shared" si="32"/>
        <v>Q81|ISO 27001</v>
      </c>
      <c r="AY648" s="13" t="s">
        <v>448</v>
      </c>
      <c r="AZ648" s="13" t="s">
        <v>1140</v>
      </c>
      <c r="BA648" s="2">
        <v>1</v>
      </c>
    </row>
    <row r="649" spans="48:53" x14ac:dyDescent="0.2">
      <c r="AV649" s="2" t="s">
        <v>794</v>
      </c>
      <c r="AW649" s="2" t="s">
        <v>713</v>
      </c>
      <c r="AX649" s="2" t="str">
        <f t="shared" si="32"/>
        <v>Q81|SOC2</v>
      </c>
      <c r="AY649" s="13" t="s">
        <v>449</v>
      </c>
      <c r="AZ649" s="13" t="s">
        <v>1191</v>
      </c>
      <c r="BA649" s="2">
        <v>1</v>
      </c>
    </row>
    <row r="650" spans="48:53" x14ac:dyDescent="0.2">
      <c r="AV650" s="2" t="s">
        <v>794</v>
      </c>
      <c r="AW650" s="2" t="s">
        <v>1044</v>
      </c>
      <c r="AX650" s="2" t="str">
        <f t="shared" si="32"/>
        <v>Q81|CIS v8</v>
      </c>
      <c r="AY650" s="13" t="s">
        <v>1862</v>
      </c>
      <c r="AZ650" s="13" t="s">
        <v>1094</v>
      </c>
      <c r="BA650" s="2">
        <v>1</v>
      </c>
    </row>
    <row r="651" spans="48:53" x14ac:dyDescent="0.2">
      <c r="AV651" s="2" t="s">
        <v>795</v>
      </c>
      <c r="AW651" s="2" t="s">
        <v>1041</v>
      </c>
      <c r="AX651" s="2" t="str">
        <f t="shared" si="32"/>
        <v>Q82|NIST CSF 2.0</v>
      </c>
      <c r="AY651" s="13" t="s">
        <v>445</v>
      </c>
      <c r="AZ651" s="13" t="s">
        <v>1064</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1042</v>
      </c>
      <c r="AX653" s="2" t="str">
        <f t="shared" si="32"/>
        <v>Q82|CMMC 2.0</v>
      </c>
      <c r="AY653" s="13" t="s">
        <v>641</v>
      </c>
      <c r="AZ653" s="13" t="s">
        <v>1082</v>
      </c>
      <c r="BA653" s="2">
        <v>0.8</v>
      </c>
    </row>
    <row r="654" spans="48:53" x14ac:dyDescent="0.2">
      <c r="AV654" s="2" t="s">
        <v>795</v>
      </c>
      <c r="AW654" s="2" t="s">
        <v>711</v>
      </c>
      <c r="AX654" s="2" t="str">
        <f t="shared" si="32"/>
        <v>Q82|FISMA</v>
      </c>
      <c r="AY654" s="13" t="s">
        <v>447</v>
      </c>
      <c r="AZ654" s="13" t="s">
        <v>1073</v>
      </c>
      <c r="BA654" s="2">
        <v>1</v>
      </c>
    </row>
    <row r="655" spans="48:53" x14ac:dyDescent="0.2">
      <c r="AV655" s="2" t="s">
        <v>795</v>
      </c>
      <c r="AW655" s="2" t="s">
        <v>712</v>
      </c>
      <c r="AX655" s="2" t="str">
        <f t="shared" si="32"/>
        <v>Q82|FedRAMP</v>
      </c>
      <c r="AY655" s="13" t="s">
        <v>447</v>
      </c>
      <c r="AZ655" s="13" t="s">
        <v>1073</v>
      </c>
      <c r="BA655" s="2">
        <v>1</v>
      </c>
    </row>
    <row r="656" spans="48:53" x14ac:dyDescent="0.2">
      <c r="AV656" s="2" t="s">
        <v>795</v>
      </c>
      <c r="AW656" s="2" t="s">
        <v>1043</v>
      </c>
      <c r="AX656" s="2" t="str">
        <f t="shared" si="32"/>
        <v>Q82|ISO 27001</v>
      </c>
      <c r="AY656" s="13" t="s">
        <v>448</v>
      </c>
      <c r="AZ656" s="13" t="s">
        <v>1140</v>
      </c>
      <c r="BA656" s="2">
        <v>0.8</v>
      </c>
    </row>
    <row r="657" spans="48:53" x14ac:dyDescent="0.2">
      <c r="AV657" s="2" t="s">
        <v>795</v>
      </c>
      <c r="AW657" s="2" t="s">
        <v>713</v>
      </c>
      <c r="AX657" s="2" t="str">
        <f t="shared" si="32"/>
        <v>Q82|SOC2</v>
      </c>
      <c r="AY657" s="13" t="s">
        <v>449</v>
      </c>
      <c r="AZ657" s="13" t="s">
        <v>1191</v>
      </c>
      <c r="BA657" s="2">
        <v>0.8</v>
      </c>
    </row>
    <row r="658" spans="48:53" x14ac:dyDescent="0.2">
      <c r="AV658" s="2" t="s">
        <v>795</v>
      </c>
      <c r="AW658" s="2" t="s">
        <v>1044</v>
      </c>
      <c r="AX658" s="2" t="str">
        <f t="shared" si="32"/>
        <v>Q82|CIS v8</v>
      </c>
      <c r="AY658" s="13" t="s">
        <v>1862</v>
      </c>
      <c r="AZ658" s="13" t="s">
        <v>1094</v>
      </c>
      <c r="BA658" s="2">
        <v>0.8</v>
      </c>
    </row>
    <row r="659" spans="48:53" x14ac:dyDescent="0.2">
      <c r="AV659" s="2" t="s">
        <v>796</v>
      </c>
      <c r="AW659" s="2" t="s">
        <v>1041</v>
      </c>
      <c r="AX659" s="2" t="str">
        <f t="shared" si="32"/>
        <v>Q83|NIST CSF 2.0</v>
      </c>
      <c r="AY659" s="13" t="s">
        <v>612</v>
      </c>
      <c r="AZ659" s="13" t="s">
        <v>1068</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1042</v>
      </c>
      <c r="AX661" s="2" t="str">
        <f t="shared" si="32"/>
        <v>Q83|CMMC 2.0</v>
      </c>
      <c r="AY661" s="13" t="s">
        <v>642</v>
      </c>
      <c r="AZ661" s="13" t="s">
        <v>1082</v>
      </c>
      <c r="BA661" s="2">
        <v>1</v>
      </c>
    </row>
    <row r="662" spans="48:53" x14ac:dyDescent="0.2">
      <c r="AV662" s="2" t="s">
        <v>796</v>
      </c>
      <c r="AW662" s="2" t="s">
        <v>711</v>
      </c>
      <c r="AX662" s="2" t="str">
        <f t="shared" si="32"/>
        <v>Q83|FISMA</v>
      </c>
      <c r="AY662" s="13" t="s">
        <v>643</v>
      </c>
      <c r="AZ662" s="13" t="s">
        <v>1082</v>
      </c>
      <c r="BA662" s="2">
        <v>1</v>
      </c>
    </row>
    <row r="663" spans="48:53" x14ac:dyDescent="0.2">
      <c r="AV663" s="2" t="s">
        <v>796</v>
      </c>
      <c r="AW663" s="2" t="s">
        <v>712</v>
      </c>
      <c r="AX663" s="2" t="str">
        <f t="shared" si="32"/>
        <v>Q83|FedRAMP</v>
      </c>
      <c r="AY663" s="13" t="s">
        <v>643</v>
      </c>
      <c r="AZ663" s="13" t="s">
        <v>1082</v>
      </c>
      <c r="BA663" s="2">
        <v>1</v>
      </c>
    </row>
    <row r="664" spans="48:53" x14ac:dyDescent="0.2">
      <c r="AV664" s="2" t="s">
        <v>796</v>
      </c>
      <c r="AW664" s="2" t="s">
        <v>1043</v>
      </c>
      <c r="AX664" s="2" t="str">
        <f t="shared" si="32"/>
        <v>Q83|ISO 27001</v>
      </c>
      <c r="AY664" s="13" t="s">
        <v>644</v>
      </c>
      <c r="AZ664" s="13" t="s">
        <v>1140</v>
      </c>
      <c r="BA664" s="2">
        <v>1</v>
      </c>
    </row>
    <row r="665" spans="48:53" x14ac:dyDescent="0.2">
      <c r="AV665" s="2" t="s">
        <v>796</v>
      </c>
      <c r="AW665" s="2" t="s">
        <v>713</v>
      </c>
      <c r="AX665" s="2" t="str">
        <f t="shared" si="32"/>
        <v>Q83|SOC2</v>
      </c>
      <c r="AY665" s="13" t="s">
        <v>449</v>
      </c>
      <c r="AZ665" s="13" t="s">
        <v>1191</v>
      </c>
      <c r="BA665" s="2">
        <v>1</v>
      </c>
    </row>
    <row r="666" spans="48:53" x14ac:dyDescent="0.2">
      <c r="AV666" s="2" t="s">
        <v>796</v>
      </c>
      <c r="AW666" s="2" t="s">
        <v>1044</v>
      </c>
      <c r="AX666" s="2" t="str">
        <f t="shared" si="32"/>
        <v>Q83|CIS v8</v>
      </c>
      <c r="AY666" s="13" t="s">
        <v>1863</v>
      </c>
      <c r="AZ666" s="13" t="s">
        <v>1094</v>
      </c>
      <c r="BA666" s="2">
        <v>0.8</v>
      </c>
    </row>
    <row r="667" spans="48:53" x14ac:dyDescent="0.2">
      <c r="AV667" s="2" t="s">
        <v>797</v>
      </c>
      <c r="AW667" s="2" t="s">
        <v>1041</v>
      </c>
      <c r="AX667" s="2" t="str">
        <f t="shared" si="32"/>
        <v>Q84|NIST CSF 2.0</v>
      </c>
      <c r="AY667" s="13" t="s">
        <v>612</v>
      </c>
      <c r="AZ667" s="13" t="s">
        <v>1068</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1042</v>
      </c>
      <c r="AX669" s="2" t="str">
        <f t="shared" si="32"/>
        <v>Q84|CMMC 2.0</v>
      </c>
      <c r="AY669" s="13" t="s">
        <v>645</v>
      </c>
      <c r="AZ669" s="13" t="s">
        <v>1082</v>
      </c>
      <c r="BA669" s="2">
        <v>1</v>
      </c>
    </row>
    <row r="670" spans="48:53" x14ac:dyDescent="0.2">
      <c r="AV670" s="2" t="s">
        <v>797</v>
      </c>
      <c r="AW670" s="2" t="s">
        <v>711</v>
      </c>
      <c r="AX670" s="2" t="str">
        <f t="shared" si="32"/>
        <v>Q84|FISMA</v>
      </c>
      <c r="AY670" s="13" t="s">
        <v>646</v>
      </c>
      <c r="AZ670" s="13" t="s">
        <v>1082</v>
      </c>
      <c r="BA670" s="2">
        <v>1</v>
      </c>
    </row>
    <row r="671" spans="48:53" x14ac:dyDescent="0.2">
      <c r="AV671" s="2" t="s">
        <v>797</v>
      </c>
      <c r="AW671" s="2" t="s">
        <v>712</v>
      </c>
      <c r="AX671" s="2" t="str">
        <f t="shared" si="32"/>
        <v>Q84|FedRAMP</v>
      </c>
      <c r="AY671" s="13" t="s">
        <v>646</v>
      </c>
      <c r="AZ671" s="13" t="s">
        <v>1082</v>
      </c>
      <c r="BA671" s="2">
        <v>1</v>
      </c>
    </row>
    <row r="672" spans="48:53" x14ac:dyDescent="0.2">
      <c r="AV672" s="2" t="s">
        <v>797</v>
      </c>
      <c r="AW672" s="2" t="s">
        <v>1043</v>
      </c>
      <c r="AX672" s="2" t="str">
        <f t="shared" si="32"/>
        <v>Q84|ISO 27001</v>
      </c>
      <c r="AY672" s="13" t="s">
        <v>603</v>
      </c>
      <c r="AZ672" s="13" t="s">
        <v>1140</v>
      </c>
      <c r="BA672" s="2">
        <v>1</v>
      </c>
    </row>
    <row r="673" spans="48:53" x14ac:dyDescent="0.2">
      <c r="AV673" s="2" t="s">
        <v>797</v>
      </c>
      <c r="AW673" s="2" t="s">
        <v>713</v>
      </c>
      <c r="AX673" s="2" t="str">
        <f t="shared" si="32"/>
        <v>Q84|SOC2</v>
      </c>
      <c r="AY673" s="13" t="s">
        <v>449</v>
      </c>
      <c r="AZ673" s="13" t="s">
        <v>1191</v>
      </c>
      <c r="BA673" s="2">
        <v>1</v>
      </c>
    </row>
    <row r="674" spans="48:53" x14ac:dyDescent="0.2">
      <c r="AV674" s="2" t="s">
        <v>797</v>
      </c>
      <c r="AW674" s="2" t="s">
        <v>1044</v>
      </c>
      <c r="AX674" s="2" t="str">
        <f t="shared" si="32"/>
        <v>Q84|CIS v8</v>
      </c>
      <c r="AY674" s="13" t="s">
        <v>1864</v>
      </c>
      <c r="AZ674" s="13" t="s">
        <v>1094</v>
      </c>
      <c r="BA674" s="2">
        <v>1</v>
      </c>
    </row>
    <row r="675" spans="48:53" x14ac:dyDescent="0.2">
      <c r="AV675" s="2" t="s">
        <v>798</v>
      </c>
      <c r="AW675" s="2" t="s">
        <v>1041</v>
      </c>
      <c r="AX675" s="2" t="str">
        <f t="shared" si="32"/>
        <v>Q85|NIST CSF 2.0</v>
      </c>
      <c r="AY675" s="13" t="s">
        <v>647</v>
      </c>
      <c r="AZ675" s="13" t="s">
        <v>1068</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1042</v>
      </c>
      <c r="AX677" s="2" t="str">
        <f t="shared" si="32"/>
        <v>Q85|CMMC 2.0</v>
      </c>
      <c r="AY677" s="13" t="s">
        <v>641</v>
      </c>
      <c r="AZ677" s="13" t="s">
        <v>1082</v>
      </c>
      <c r="BA677" s="2">
        <v>0.8</v>
      </c>
    </row>
    <row r="678" spans="48:53" x14ac:dyDescent="0.2">
      <c r="AV678" s="2" t="s">
        <v>798</v>
      </c>
      <c r="AW678" s="2" t="s">
        <v>711</v>
      </c>
      <c r="AX678" s="2" t="str">
        <f t="shared" si="32"/>
        <v>Q85|FISMA</v>
      </c>
      <c r="AY678" s="13" t="s">
        <v>648</v>
      </c>
      <c r="AZ678" s="13" t="s">
        <v>1082</v>
      </c>
      <c r="BA678" s="2">
        <v>1</v>
      </c>
    </row>
    <row r="679" spans="48:53" x14ac:dyDescent="0.2">
      <c r="AV679" s="2" t="s">
        <v>798</v>
      </c>
      <c r="AW679" s="2" t="s">
        <v>712</v>
      </c>
      <c r="AX679" s="2" t="str">
        <f t="shared" si="32"/>
        <v>Q85|FedRAMP</v>
      </c>
      <c r="AY679" s="13" t="s">
        <v>648</v>
      </c>
      <c r="AZ679" s="13" t="s">
        <v>1082</v>
      </c>
      <c r="BA679" s="2">
        <v>1</v>
      </c>
    </row>
    <row r="680" spans="48:53" x14ac:dyDescent="0.2">
      <c r="AV680" s="2" t="s">
        <v>798</v>
      </c>
      <c r="AW680" s="2" t="s">
        <v>1043</v>
      </c>
      <c r="AX680" s="2" t="str">
        <f t="shared" si="32"/>
        <v>Q85|ISO 27001</v>
      </c>
      <c r="AY680" s="13" t="s">
        <v>649</v>
      </c>
      <c r="AZ680" s="13" t="s">
        <v>1140</v>
      </c>
      <c r="BA680" s="2">
        <v>1</v>
      </c>
    </row>
    <row r="681" spans="48:53" x14ac:dyDescent="0.2">
      <c r="AV681" s="2" t="s">
        <v>798</v>
      </c>
      <c r="AW681" s="2" t="s">
        <v>713</v>
      </c>
      <c r="AX681" s="2" t="str">
        <f t="shared" si="32"/>
        <v>Q85|SOC2</v>
      </c>
      <c r="AY681" s="13" t="s">
        <v>650</v>
      </c>
      <c r="AZ681" s="13" t="s">
        <v>1191</v>
      </c>
      <c r="BA681" s="2">
        <v>1</v>
      </c>
    </row>
    <row r="682" spans="48:53" x14ac:dyDescent="0.2">
      <c r="AV682" s="2" t="s">
        <v>798</v>
      </c>
      <c r="AW682" s="2" t="s">
        <v>1044</v>
      </c>
      <c r="AX682" s="2" t="str">
        <f t="shared" si="32"/>
        <v>Q85|CIS v8</v>
      </c>
      <c r="AY682" s="13" t="s">
        <v>1865</v>
      </c>
      <c r="AZ682" s="13" t="s">
        <v>1094</v>
      </c>
      <c r="BA682" s="2">
        <v>0.8</v>
      </c>
    </row>
    <row r="683" spans="48:53" x14ac:dyDescent="0.2">
      <c r="AV683" s="2" t="s">
        <v>799</v>
      </c>
      <c r="AW683" s="2" t="s">
        <v>1041</v>
      </c>
      <c r="AX683" s="2" t="str">
        <f t="shared" si="32"/>
        <v>Q86|NIST CSF 2.0</v>
      </c>
      <c r="AY683" s="13" t="s">
        <v>647</v>
      </c>
      <c r="AZ683" s="13" t="s">
        <v>1068</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1042</v>
      </c>
      <c r="AX685" s="2" t="str">
        <f t="shared" si="32"/>
        <v>Q86|CMMC 2.0</v>
      </c>
      <c r="AY685" s="13" t="s">
        <v>645</v>
      </c>
      <c r="AZ685" s="13" t="s">
        <v>1082</v>
      </c>
      <c r="BA685" s="2">
        <v>1</v>
      </c>
    </row>
    <row r="686" spans="48:53" x14ac:dyDescent="0.2">
      <c r="AV686" s="2" t="s">
        <v>799</v>
      </c>
      <c r="AW686" s="2" t="s">
        <v>711</v>
      </c>
      <c r="AX686" s="2" t="str">
        <f t="shared" si="32"/>
        <v>Q86|FISMA</v>
      </c>
      <c r="AY686" s="13" t="s">
        <v>648</v>
      </c>
      <c r="AZ686" s="13" t="s">
        <v>1082</v>
      </c>
      <c r="BA686" s="2">
        <v>1</v>
      </c>
    </row>
    <row r="687" spans="48:53" x14ac:dyDescent="0.2">
      <c r="AV687" s="2" t="s">
        <v>799</v>
      </c>
      <c r="AW687" s="2" t="s">
        <v>712</v>
      </c>
      <c r="AX687" s="2" t="str">
        <f t="shared" si="32"/>
        <v>Q86|FedRAMP</v>
      </c>
      <c r="AY687" s="13" t="s">
        <v>648</v>
      </c>
      <c r="AZ687" s="13" t="s">
        <v>1082</v>
      </c>
      <c r="BA687" s="2">
        <v>1</v>
      </c>
    </row>
    <row r="688" spans="48:53" x14ac:dyDescent="0.2">
      <c r="AV688" s="2" t="s">
        <v>799</v>
      </c>
      <c r="AW688" s="2" t="s">
        <v>1043</v>
      </c>
      <c r="AX688" s="2" t="str">
        <f t="shared" si="32"/>
        <v>Q86|ISO 27001</v>
      </c>
      <c r="AY688" s="13" t="s">
        <v>651</v>
      </c>
      <c r="AZ688" s="13" t="s">
        <v>1140</v>
      </c>
      <c r="BA688" s="2">
        <v>1</v>
      </c>
    </row>
    <row r="689" spans="48:53" x14ac:dyDescent="0.2">
      <c r="AV689" s="2" t="s">
        <v>799</v>
      </c>
      <c r="AW689" s="2" t="s">
        <v>713</v>
      </c>
      <c r="AX689" s="2" t="str">
        <f t="shared" si="32"/>
        <v>Q86|SOC2</v>
      </c>
      <c r="AY689" s="13" t="s">
        <v>650</v>
      </c>
      <c r="AZ689" s="13" t="s">
        <v>1191</v>
      </c>
      <c r="BA689" s="2">
        <v>1</v>
      </c>
    </row>
    <row r="690" spans="48:53" x14ac:dyDescent="0.2">
      <c r="AV690" s="2" t="s">
        <v>799</v>
      </c>
      <c r="AW690" s="2" t="s">
        <v>1044</v>
      </c>
      <c r="AX690" s="2" t="str">
        <f t="shared" si="32"/>
        <v>Q86|CIS v8</v>
      </c>
      <c r="AY690" s="13" t="s">
        <v>1866</v>
      </c>
      <c r="AZ690" s="13" t="s">
        <v>1094</v>
      </c>
      <c r="BA690" s="2">
        <v>1</v>
      </c>
    </row>
    <row r="691" spans="48:53" x14ac:dyDescent="0.2">
      <c r="AV691" s="2" t="s">
        <v>800</v>
      </c>
      <c r="AW691" s="2" t="s">
        <v>1041</v>
      </c>
      <c r="AX691" s="2" t="str">
        <f t="shared" si="32"/>
        <v>Q87|NIST CSF 2.0</v>
      </c>
      <c r="AY691" s="13" t="s">
        <v>652</v>
      </c>
      <c r="AZ691" s="13" t="s">
        <v>1068</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1042</v>
      </c>
      <c r="AX693" s="2" t="str">
        <f t="shared" si="32"/>
        <v>Q87|CMMC 2.0</v>
      </c>
      <c r="AY693" s="13" t="s">
        <v>653</v>
      </c>
      <c r="AZ693" s="13" t="s">
        <v>1082</v>
      </c>
      <c r="BA693" s="2">
        <v>0.8</v>
      </c>
    </row>
    <row r="694" spans="48:53" x14ac:dyDescent="0.2">
      <c r="AV694" s="2" t="s">
        <v>800</v>
      </c>
      <c r="AW694" s="2" t="s">
        <v>711</v>
      </c>
      <c r="AX694" s="2" t="str">
        <f t="shared" si="32"/>
        <v>Q87|FISMA</v>
      </c>
      <c r="AY694" s="13" t="s">
        <v>654</v>
      </c>
      <c r="AZ694" s="13" t="s">
        <v>1082</v>
      </c>
      <c r="BA694" s="2">
        <v>1</v>
      </c>
    </row>
    <row r="695" spans="48:53" x14ac:dyDescent="0.2">
      <c r="AV695" s="2" t="s">
        <v>800</v>
      </c>
      <c r="AW695" s="2" t="s">
        <v>712</v>
      </c>
      <c r="AX695" s="2" t="str">
        <f t="shared" si="32"/>
        <v>Q87|FedRAMP</v>
      </c>
      <c r="AY695" s="13" t="s">
        <v>654</v>
      </c>
      <c r="AZ695" s="13" t="s">
        <v>1082</v>
      </c>
      <c r="BA695" s="2">
        <v>1</v>
      </c>
    </row>
    <row r="696" spans="48:53" x14ac:dyDescent="0.2">
      <c r="AV696" s="2" t="s">
        <v>800</v>
      </c>
      <c r="AW696" s="2" t="s">
        <v>1043</v>
      </c>
      <c r="AX696" s="2" t="str">
        <f t="shared" si="32"/>
        <v>Q87|ISO 27001</v>
      </c>
      <c r="AY696" s="13" t="s">
        <v>603</v>
      </c>
      <c r="AZ696" s="13" t="s">
        <v>1140</v>
      </c>
      <c r="BA696" s="2">
        <v>0.8</v>
      </c>
    </row>
    <row r="697" spans="48:53" x14ac:dyDescent="0.2">
      <c r="AV697" s="2" t="s">
        <v>800</v>
      </c>
      <c r="AW697" s="2" t="s">
        <v>713</v>
      </c>
      <c r="AX697" s="2" t="str">
        <f t="shared" si="32"/>
        <v>Q87|SOC2</v>
      </c>
      <c r="AY697" s="13" t="s">
        <v>655</v>
      </c>
      <c r="AZ697" s="13" t="s">
        <v>1191</v>
      </c>
      <c r="BA697" s="2">
        <v>1</v>
      </c>
    </row>
    <row r="698" spans="48:53" x14ac:dyDescent="0.2">
      <c r="AV698" s="2" t="s">
        <v>800</v>
      </c>
      <c r="AW698" s="2" t="s">
        <v>1044</v>
      </c>
      <c r="AX698" s="2" t="str">
        <f t="shared" si="32"/>
        <v>Q87|CIS v8</v>
      </c>
      <c r="AY698" s="13" t="s">
        <v>1864</v>
      </c>
      <c r="AZ698" s="13" t="s">
        <v>1094</v>
      </c>
      <c r="BA698" s="2">
        <v>0.6</v>
      </c>
    </row>
    <row r="699" spans="48:53" x14ac:dyDescent="0.2">
      <c r="AV699" s="2" t="s">
        <v>801</v>
      </c>
      <c r="AW699" s="2" t="s">
        <v>1041</v>
      </c>
      <c r="AX699" s="2" t="str">
        <f t="shared" si="32"/>
        <v>Q88|NIST CSF 2.0</v>
      </c>
      <c r="AY699" s="13" t="s">
        <v>608</v>
      </c>
      <c r="AZ699" s="13" t="s">
        <v>1068</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1042</v>
      </c>
      <c r="AX701" s="2" t="str">
        <f t="shared" si="32"/>
        <v>Q88|CMMC 2.0</v>
      </c>
      <c r="AY701" s="13" t="s">
        <v>656</v>
      </c>
      <c r="AZ701" s="13" t="s">
        <v>1071</v>
      </c>
      <c r="BA701" s="2">
        <v>1</v>
      </c>
    </row>
    <row r="702" spans="48:53" x14ac:dyDescent="0.2">
      <c r="AV702" s="2" t="s">
        <v>801</v>
      </c>
      <c r="AW702" s="2" t="s">
        <v>711</v>
      </c>
      <c r="AX702" s="2" t="str">
        <f t="shared" si="32"/>
        <v>Q88|FISMA</v>
      </c>
      <c r="AY702" s="13" t="s">
        <v>464</v>
      </c>
      <c r="AZ702" s="13" t="s">
        <v>1071</v>
      </c>
      <c r="BA702" s="2">
        <v>1</v>
      </c>
    </row>
    <row r="703" spans="48:53" x14ac:dyDescent="0.2">
      <c r="AV703" s="2" t="s">
        <v>801</v>
      </c>
      <c r="AW703" s="2" t="s">
        <v>712</v>
      </c>
      <c r="AX703" s="2" t="str">
        <f t="shared" si="32"/>
        <v>Q88|FedRAMP</v>
      </c>
      <c r="AY703" s="13" t="s">
        <v>464</v>
      </c>
      <c r="AZ703" s="13" t="s">
        <v>1071</v>
      </c>
      <c r="BA703" s="2">
        <v>1</v>
      </c>
    </row>
    <row r="704" spans="48:53" x14ac:dyDescent="0.2">
      <c r="AV704" s="2" t="s">
        <v>801</v>
      </c>
      <c r="AW704" s="2" t="s">
        <v>1043</v>
      </c>
      <c r="AX704" s="2" t="str">
        <f t="shared" si="32"/>
        <v>Q88|ISO 27001</v>
      </c>
      <c r="AY704" s="13" t="s">
        <v>649</v>
      </c>
      <c r="AZ704" s="13" t="s">
        <v>1140</v>
      </c>
      <c r="BA704" s="2">
        <v>1</v>
      </c>
    </row>
    <row r="705" spans="48:53" x14ac:dyDescent="0.2">
      <c r="AV705" s="2" t="s">
        <v>801</v>
      </c>
      <c r="AW705" s="2" t="s">
        <v>713</v>
      </c>
      <c r="AX705" s="2" t="str">
        <f t="shared" si="32"/>
        <v>Q88|SOC2</v>
      </c>
      <c r="AY705" s="13" t="s">
        <v>462</v>
      </c>
      <c r="AZ705" s="13" t="s">
        <v>1191</v>
      </c>
      <c r="BA705" s="2">
        <v>1</v>
      </c>
    </row>
    <row r="706" spans="48:53" x14ac:dyDescent="0.2">
      <c r="AV706" s="2" t="s">
        <v>801</v>
      </c>
      <c r="AW706" s="2" t="s">
        <v>1044</v>
      </c>
      <c r="AX706" s="2" t="str">
        <f t="shared" si="32"/>
        <v>Q88|CIS v8</v>
      </c>
      <c r="AY706" s="13" t="s">
        <v>1867</v>
      </c>
      <c r="AZ706" s="13" t="s">
        <v>1094</v>
      </c>
      <c r="BA706" s="2">
        <v>1</v>
      </c>
    </row>
    <row r="707" spans="48:53" x14ac:dyDescent="0.2">
      <c r="AV707" s="2" t="s">
        <v>802</v>
      </c>
      <c r="AW707" s="2" t="s">
        <v>1041</v>
      </c>
      <c r="AX707" s="2" t="str">
        <f t="shared" si="32"/>
        <v>Q89|NIST CSF 2.0</v>
      </c>
      <c r="AY707" s="13" t="s">
        <v>657</v>
      </c>
      <c r="AZ707" s="13" t="s">
        <v>1068</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1042</v>
      </c>
      <c r="AX709" s="2" t="str">
        <f t="shared" si="33"/>
        <v>Q89|CMMC 2.0</v>
      </c>
      <c r="AY709" s="13" t="s">
        <v>641</v>
      </c>
      <c r="AZ709" s="13" t="s">
        <v>1082</v>
      </c>
      <c r="BA709" s="2">
        <v>0.8</v>
      </c>
    </row>
    <row r="710" spans="48:53" x14ac:dyDescent="0.2">
      <c r="AV710" s="2" t="s">
        <v>802</v>
      </c>
      <c r="AW710" s="2" t="s">
        <v>711</v>
      </c>
      <c r="AX710" s="2" t="str">
        <f t="shared" si="33"/>
        <v>Q89|FISMA</v>
      </c>
      <c r="AY710" s="13" t="s">
        <v>658</v>
      </c>
      <c r="AZ710" s="13" t="s">
        <v>1070</v>
      </c>
      <c r="BA710" s="2">
        <v>1</v>
      </c>
    </row>
    <row r="711" spans="48:53" x14ac:dyDescent="0.2">
      <c r="AV711" s="2" t="s">
        <v>802</v>
      </c>
      <c r="AW711" s="2" t="s">
        <v>712</v>
      </c>
      <c r="AX711" s="2" t="str">
        <f t="shared" si="33"/>
        <v>Q89|FedRAMP</v>
      </c>
      <c r="AY711" s="13" t="s">
        <v>658</v>
      </c>
      <c r="AZ711" s="13" t="s">
        <v>1070</v>
      </c>
      <c r="BA711" s="2">
        <v>1</v>
      </c>
    </row>
    <row r="712" spans="48:53" x14ac:dyDescent="0.2">
      <c r="AV712" s="2" t="s">
        <v>802</v>
      </c>
      <c r="AW712" s="2" t="s">
        <v>1043</v>
      </c>
      <c r="AX712" s="2" t="str">
        <f t="shared" si="33"/>
        <v>Q89|ISO 27001</v>
      </c>
      <c r="AY712" s="13" t="s">
        <v>595</v>
      </c>
      <c r="AZ712" s="13" t="s">
        <v>1150</v>
      </c>
      <c r="BA712" s="2">
        <v>1</v>
      </c>
    </row>
    <row r="713" spans="48:53" x14ac:dyDescent="0.2">
      <c r="AV713" s="2" t="s">
        <v>802</v>
      </c>
      <c r="AW713" s="2" t="s">
        <v>713</v>
      </c>
      <c r="AX713" s="2" t="str">
        <f t="shared" si="33"/>
        <v>Q89|SOC2</v>
      </c>
      <c r="AY713" s="13" t="s">
        <v>659</v>
      </c>
      <c r="AZ713" s="13" t="s">
        <v>1165</v>
      </c>
      <c r="BA713" s="2">
        <v>1</v>
      </c>
    </row>
    <row r="714" spans="48:53" x14ac:dyDescent="0.2">
      <c r="AV714" s="2" t="s">
        <v>802</v>
      </c>
      <c r="AW714" s="2" t="s">
        <v>1044</v>
      </c>
      <c r="AX714" s="2" t="str">
        <f t="shared" si="33"/>
        <v>Q89|CIS v8</v>
      </c>
      <c r="AY714" s="13" t="s">
        <v>1868</v>
      </c>
      <c r="AZ714" s="13" t="s">
        <v>1094</v>
      </c>
      <c r="BA714" s="2">
        <v>0.8</v>
      </c>
    </row>
    <row r="715" spans="48:53" x14ac:dyDescent="0.2">
      <c r="AV715" s="2" t="s">
        <v>803</v>
      </c>
      <c r="AW715" s="2" t="s">
        <v>1041</v>
      </c>
      <c r="AX715" s="2" t="str">
        <f t="shared" si="33"/>
        <v>Q90|NIST CSF 2.0</v>
      </c>
      <c r="AY715" s="13" t="s">
        <v>652</v>
      </c>
      <c r="AZ715" s="13" t="s">
        <v>1068</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1042</v>
      </c>
      <c r="AX717" s="2" t="str">
        <f t="shared" si="33"/>
        <v>Q90|CMMC 2.0</v>
      </c>
      <c r="AY717" s="13" t="s">
        <v>653</v>
      </c>
      <c r="AZ717" s="13" t="s">
        <v>1082</v>
      </c>
      <c r="BA717" s="2">
        <v>0.8</v>
      </c>
    </row>
    <row r="718" spans="48:53" x14ac:dyDescent="0.2">
      <c r="AV718" s="2" t="s">
        <v>803</v>
      </c>
      <c r="AW718" s="2" t="s">
        <v>711</v>
      </c>
      <c r="AX718" s="2" t="str">
        <f t="shared" si="33"/>
        <v>Q90|FISMA</v>
      </c>
      <c r="AY718" s="13" t="s">
        <v>654</v>
      </c>
      <c r="AZ718" s="13" t="s">
        <v>1082</v>
      </c>
      <c r="BA718" s="2">
        <v>1</v>
      </c>
    </row>
    <row r="719" spans="48:53" x14ac:dyDescent="0.2">
      <c r="AV719" s="2" t="s">
        <v>803</v>
      </c>
      <c r="AW719" s="2" t="s">
        <v>712</v>
      </c>
      <c r="AX719" s="2" t="str">
        <f t="shared" si="33"/>
        <v>Q90|FedRAMP</v>
      </c>
      <c r="AY719" s="13" t="s">
        <v>654</v>
      </c>
      <c r="AZ719" s="13" t="s">
        <v>1082</v>
      </c>
      <c r="BA719" s="2">
        <v>1</v>
      </c>
    </row>
    <row r="720" spans="48:53" x14ac:dyDescent="0.2">
      <c r="AV720" s="2" t="s">
        <v>803</v>
      </c>
      <c r="AW720" s="2" t="s">
        <v>1043</v>
      </c>
      <c r="AX720" s="2" t="str">
        <f t="shared" si="33"/>
        <v>Q90|ISO 27001</v>
      </c>
      <c r="AY720" s="13" t="s">
        <v>595</v>
      </c>
      <c r="AZ720" s="13" t="s">
        <v>1150</v>
      </c>
      <c r="BA720" s="2">
        <v>1</v>
      </c>
    </row>
    <row r="721" spans="48:53" x14ac:dyDescent="0.2">
      <c r="AV721" s="2" t="s">
        <v>803</v>
      </c>
      <c r="AW721" s="2" t="s">
        <v>713</v>
      </c>
      <c r="AX721" s="2" t="str">
        <f t="shared" si="33"/>
        <v>Q90|SOC2</v>
      </c>
      <c r="AY721" s="13" t="s">
        <v>655</v>
      </c>
      <c r="AZ721" s="13" t="s">
        <v>1191</v>
      </c>
      <c r="BA721" s="2">
        <v>1</v>
      </c>
    </row>
    <row r="722" spans="48:53" x14ac:dyDescent="0.2">
      <c r="AV722" s="2" t="s">
        <v>803</v>
      </c>
      <c r="AW722" s="2" t="s">
        <v>1044</v>
      </c>
      <c r="AX722" s="2" t="str">
        <f t="shared" si="33"/>
        <v>Q90|CIS v8</v>
      </c>
      <c r="AY722" s="13" t="s">
        <v>1864</v>
      </c>
      <c r="AZ722" s="13" t="s">
        <v>1094</v>
      </c>
      <c r="BA722" s="2">
        <v>0.6</v>
      </c>
    </row>
    <row r="723" spans="48:53" x14ac:dyDescent="0.2">
      <c r="AV723" s="2" t="s">
        <v>804</v>
      </c>
      <c r="AW723" s="2" t="s">
        <v>1041</v>
      </c>
      <c r="AX723" s="2" t="str">
        <f t="shared" si="33"/>
        <v>Q91|NIST CSF 2.0</v>
      </c>
      <c r="AY723" s="13" t="s">
        <v>660</v>
      </c>
      <c r="AZ723" s="13" t="s">
        <v>1068</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1042</v>
      </c>
      <c r="AX725" s="2" t="str">
        <f t="shared" si="33"/>
        <v>Q91|CMMC 2.0</v>
      </c>
      <c r="AY725" s="13" t="s">
        <v>661</v>
      </c>
      <c r="AZ725" s="13" t="s">
        <v>1071</v>
      </c>
      <c r="BA725" s="2">
        <v>1</v>
      </c>
    </row>
    <row r="726" spans="48:53" x14ac:dyDescent="0.2">
      <c r="AV726" s="2" t="s">
        <v>804</v>
      </c>
      <c r="AW726" s="2" t="s">
        <v>711</v>
      </c>
      <c r="AX726" s="2" t="str">
        <f t="shared" si="33"/>
        <v>Q91|FISMA</v>
      </c>
      <c r="AY726" s="13" t="s">
        <v>464</v>
      </c>
      <c r="AZ726" s="13" t="s">
        <v>1071</v>
      </c>
      <c r="BA726" s="2">
        <v>1</v>
      </c>
    </row>
    <row r="727" spans="48:53" x14ac:dyDescent="0.2">
      <c r="AV727" s="2" t="s">
        <v>804</v>
      </c>
      <c r="AW727" s="2" t="s">
        <v>712</v>
      </c>
      <c r="AX727" s="2" t="str">
        <f t="shared" si="33"/>
        <v>Q91|FedRAMP</v>
      </c>
      <c r="AY727" s="13" t="s">
        <v>464</v>
      </c>
      <c r="AZ727" s="13" t="s">
        <v>1071</v>
      </c>
      <c r="BA727" s="2">
        <v>1</v>
      </c>
    </row>
    <row r="728" spans="48:53" x14ac:dyDescent="0.2">
      <c r="AV728" s="2" t="s">
        <v>804</v>
      </c>
      <c r="AW728" s="2" t="s">
        <v>1043</v>
      </c>
      <c r="AX728" s="2" t="str">
        <f t="shared" si="33"/>
        <v>Q91|ISO 27001</v>
      </c>
      <c r="AY728" s="13" t="s">
        <v>662</v>
      </c>
      <c r="AZ728" s="13" t="s">
        <v>1145</v>
      </c>
      <c r="BA728" s="2">
        <v>1</v>
      </c>
    </row>
    <row r="729" spans="48:53" x14ac:dyDescent="0.2">
      <c r="AV729" s="2" t="s">
        <v>804</v>
      </c>
      <c r="AW729" s="2" t="s">
        <v>713</v>
      </c>
      <c r="AX729" s="2" t="str">
        <f t="shared" si="33"/>
        <v>Q91|SOC2</v>
      </c>
      <c r="AY729" s="13" t="s">
        <v>462</v>
      </c>
      <c r="AZ729" s="13" t="s">
        <v>1191</v>
      </c>
      <c r="BA729" s="2">
        <v>1</v>
      </c>
    </row>
    <row r="730" spans="48:53" x14ac:dyDescent="0.2">
      <c r="AV730" s="2" t="s">
        <v>804</v>
      </c>
      <c r="AW730" s="2" t="s">
        <v>1044</v>
      </c>
      <c r="AX730" s="2" t="str">
        <f t="shared" si="33"/>
        <v>Q91|CIS v8</v>
      </c>
      <c r="AY730" s="13" t="s">
        <v>1869</v>
      </c>
      <c r="AZ730" s="13" t="s">
        <v>1085</v>
      </c>
      <c r="BA730" s="2">
        <v>1</v>
      </c>
    </row>
    <row r="731" spans="48:53" x14ac:dyDescent="0.2">
      <c r="AV731" s="2" t="s">
        <v>805</v>
      </c>
      <c r="AW731" s="2" t="s">
        <v>1041</v>
      </c>
      <c r="AX731" s="2" t="str">
        <f t="shared" si="33"/>
        <v>Q92|NIST CSF 2.0</v>
      </c>
      <c r="AY731" s="13" t="s">
        <v>630</v>
      </c>
      <c r="AZ731" s="13" t="s">
        <v>1068</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1042</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1070</v>
      </c>
      <c r="BA734" s="2">
        <v>1</v>
      </c>
    </row>
    <row r="735" spans="48:53" x14ac:dyDescent="0.2">
      <c r="AV735" s="2" t="s">
        <v>805</v>
      </c>
      <c r="AW735" s="2" t="s">
        <v>712</v>
      </c>
      <c r="AX735" s="2" t="str">
        <f t="shared" si="33"/>
        <v>Q92|FedRAMP</v>
      </c>
      <c r="AY735" s="13" t="s">
        <v>664</v>
      </c>
      <c r="AZ735" s="13" t="s">
        <v>1070</v>
      </c>
      <c r="BA735" s="2">
        <v>1</v>
      </c>
    </row>
    <row r="736" spans="48:53" x14ac:dyDescent="0.2">
      <c r="AV736" s="2" t="s">
        <v>805</v>
      </c>
      <c r="AW736" s="2" t="s">
        <v>1043</v>
      </c>
      <c r="AX736" s="2" t="str">
        <f t="shared" si="33"/>
        <v>Q92|ISO 27001</v>
      </c>
      <c r="AY736" s="13" t="s">
        <v>662</v>
      </c>
      <c r="AZ736" s="13" t="s">
        <v>1145</v>
      </c>
      <c r="BA736" s="2">
        <v>0.8</v>
      </c>
    </row>
    <row r="737" spans="48:53" x14ac:dyDescent="0.2">
      <c r="AV737" s="2" t="s">
        <v>805</v>
      </c>
      <c r="AW737" s="2" t="s">
        <v>713</v>
      </c>
      <c r="AX737" s="2" t="str">
        <f t="shared" si="33"/>
        <v>Q92|SOC2</v>
      </c>
      <c r="AY737" s="13" t="s">
        <v>633</v>
      </c>
      <c r="AZ737" s="13" t="s">
        <v>1191</v>
      </c>
      <c r="BA737" s="2">
        <v>1</v>
      </c>
    </row>
    <row r="738" spans="48:53" x14ac:dyDescent="0.2">
      <c r="AV738" s="2" t="s">
        <v>805</v>
      </c>
      <c r="AW738" s="2" t="s">
        <v>1044</v>
      </c>
      <c r="AX738" s="2" t="str">
        <f t="shared" si="33"/>
        <v>Q92|CIS v8</v>
      </c>
      <c r="AY738" s="13" t="s">
        <v>1870</v>
      </c>
      <c r="AZ738" s="13" t="s">
        <v>1091</v>
      </c>
      <c r="BA738" s="2">
        <v>0.8</v>
      </c>
    </row>
    <row r="739" spans="48:53" x14ac:dyDescent="0.2">
      <c r="AV739" s="2" t="s">
        <v>806</v>
      </c>
      <c r="AW739" s="2" t="s">
        <v>1041</v>
      </c>
      <c r="AX739" s="2" t="str">
        <f t="shared" si="33"/>
        <v>Q93|NIST CSF 2.0</v>
      </c>
      <c r="AY739" s="13" t="s">
        <v>660</v>
      </c>
      <c r="AZ739" s="13" t="s">
        <v>1068</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1042</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1071</v>
      </c>
      <c r="BA742" s="2">
        <v>1</v>
      </c>
    </row>
    <row r="743" spans="48:53" x14ac:dyDescent="0.2">
      <c r="AV743" s="2" t="s">
        <v>806</v>
      </c>
      <c r="AW743" s="2" t="s">
        <v>712</v>
      </c>
      <c r="AX743" s="2" t="str">
        <f t="shared" si="33"/>
        <v>Q93|FedRAMP</v>
      </c>
      <c r="AY743" s="13" t="s">
        <v>464</v>
      </c>
      <c r="AZ743" s="13" t="s">
        <v>1071</v>
      </c>
      <c r="BA743" s="2">
        <v>1</v>
      </c>
    </row>
    <row r="744" spans="48:53" x14ac:dyDescent="0.2">
      <c r="AV744" s="2" t="s">
        <v>806</v>
      </c>
      <c r="AW744" s="2" t="s">
        <v>1043</v>
      </c>
      <c r="AX744" s="2" t="str">
        <f t="shared" si="33"/>
        <v>Q93|ISO 27001</v>
      </c>
      <c r="AY744" s="13" t="s">
        <v>662</v>
      </c>
      <c r="AZ744" s="13" t="s">
        <v>1145</v>
      </c>
      <c r="BA744" s="2">
        <v>1</v>
      </c>
    </row>
    <row r="745" spans="48:53" x14ac:dyDescent="0.2">
      <c r="AV745" s="2" t="s">
        <v>806</v>
      </c>
      <c r="AW745" s="2" t="s">
        <v>713</v>
      </c>
      <c r="AX745" s="2" t="str">
        <f t="shared" si="33"/>
        <v>Q93|SOC2</v>
      </c>
      <c r="AY745" s="13" t="s">
        <v>462</v>
      </c>
      <c r="AZ745" s="13" t="s">
        <v>1191</v>
      </c>
      <c r="BA745" s="2">
        <v>1</v>
      </c>
    </row>
    <row r="746" spans="48:53" x14ac:dyDescent="0.2">
      <c r="AV746" s="2" t="s">
        <v>806</v>
      </c>
      <c r="AW746" s="2" t="s">
        <v>1044</v>
      </c>
      <c r="AX746" s="2" t="str">
        <f t="shared" si="33"/>
        <v>Q93|CIS v8</v>
      </c>
      <c r="AY746" s="13" t="s">
        <v>1869</v>
      </c>
      <c r="AZ746" s="13" t="s">
        <v>1085</v>
      </c>
      <c r="BA746" s="2">
        <v>0.8</v>
      </c>
    </row>
    <row r="747" spans="48:53" x14ac:dyDescent="0.2">
      <c r="AV747" s="2" t="s">
        <v>807</v>
      </c>
      <c r="AW747" s="2" t="s">
        <v>1041</v>
      </c>
      <c r="AX747" s="2" t="str">
        <f t="shared" si="33"/>
        <v>Q94|NIST CSF 2.0</v>
      </c>
      <c r="AY747" s="13" t="s">
        <v>525</v>
      </c>
      <c r="AZ747" s="13" t="s">
        <v>1065</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1042</v>
      </c>
      <c r="AX749" s="2" t="str">
        <f t="shared" si="33"/>
        <v>Q94|CMMC 2.0</v>
      </c>
      <c r="AY749" s="13" t="s">
        <v>635</v>
      </c>
      <c r="AZ749" s="13" t="s">
        <v>1081</v>
      </c>
      <c r="BA749" s="2">
        <v>1</v>
      </c>
    </row>
    <row r="750" spans="48:53" x14ac:dyDescent="0.2">
      <c r="AV750" s="2" t="s">
        <v>807</v>
      </c>
      <c r="AW750" s="2" t="s">
        <v>711</v>
      </c>
      <c r="AX750" s="2" t="str">
        <f t="shared" si="33"/>
        <v>Q94|FISMA</v>
      </c>
      <c r="AY750" s="13" t="s">
        <v>619</v>
      </c>
      <c r="AZ750" s="13" t="s">
        <v>1075</v>
      </c>
      <c r="BA750" s="2">
        <v>1</v>
      </c>
    </row>
    <row r="751" spans="48:53" x14ac:dyDescent="0.2">
      <c r="AV751" s="2" t="s">
        <v>807</v>
      </c>
      <c r="AW751" s="2" t="s">
        <v>712</v>
      </c>
      <c r="AX751" s="2" t="str">
        <f t="shared" si="33"/>
        <v>Q94|FedRAMP</v>
      </c>
      <c r="AY751" s="13" t="s">
        <v>619</v>
      </c>
      <c r="AZ751" s="13" t="s">
        <v>1075</v>
      </c>
      <c r="BA751" s="2">
        <v>1</v>
      </c>
    </row>
    <row r="752" spans="48:53" x14ac:dyDescent="0.2">
      <c r="AV752" s="2" t="s">
        <v>807</v>
      </c>
      <c r="AW752" s="2" t="s">
        <v>1043</v>
      </c>
      <c r="AX752" s="2" t="str">
        <f t="shared" si="33"/>
        <v>Q94|ISO 27001</v>
      </c>
      <c r="AY752" s="13" t="s">
        <v>620</v>
      </c>
      <c r="AZ752" s="13" t="s">
        <v>1144</v>
      </c>
      <c r="BA752" s="2">
        <v>1</v>
      </c>
    </row>
    <row r="753" spans="48:53" x14ac:dyDescent="0.2">
      <c r="AV753" s="2" t="s">
        <v>807</v>
      </c>
      <c r="AW753" s="2" t="s">
        <v>713</v>
      </c>
      <c r="AX753" s="2" t="str">
        <f t="shared" si="33"/>
        <v>Q94|SOC2</v>
      </c>
      <c r="AY753" s="13" t="s">
        <v>484</v>
      </c>
      <c r="AZ753" s="13" t="s">
        <v>1194</v>
      </c>
      <c r="BA753" s="2">
        <v>1</v>
      </c>
    </row>
    <row r="754" spans="48:53" x14ac:dyDescent="0.2">
      <c r="AV754" s="2" t="s">
        <v>807</v>
      </c>
      <c r="AW754" s="2" t="s">
        <v>1044</v>
      </c>
      <c r="AX754" s="2" t="str">
        <f t="shared" si="33"/>
        <v>Q94|CIS v8</v>
      </c>
      <c r="AY754" s="13" t="s">
        <v>1834</v>
      </c>
      <c r="AZ754" s="13" t="s">
        <v>1086</v>
      </c>
      <c r="BA754" s="2">
        <v>1</v>
      </c>
    </row>
    <row r="755" spans="48:53" x14ac:dyDescent="0.2">
      <c r="AV755" s="2" t="s">
        <v>808</v>
      </c>
      <c r="AW755" s="2" t="s">
        <v>1041</v>
      </c>
      <c r="AX755" s="2" t="str">
        <f t="shared" si="33"/>
        <v>Q95|NIST CSF 2.0</v>
      </c>
      <c r="AY755" s="13" t="s">
        <v>660</v>
      </c>
      <c r="AZ755" s="13" t="s">
        <v>1068</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1042</v>
      </c>
      <c r="AX757" s="2" t="str">
        <f t="shared" si="33"/>
        <v>Q95|CMMC 2.0</v>
      </c>
      <c r="AY757" s="13" t="s">
        <v>1827</v>
      </c>
      <c r="AZ757" s="13" t="s">
        <v>1071</v>
      </c>
      <c r="BA757" s="2">
        <v>1</v>
      </c>
    </row>
    <row r="758" spans="48:53" x14ac:dyDescent="0.2">
      <c r="AV758" s="2" t="s">
        <v>808</v>
      </c>
      <c r="AW758" s="2" t="s">
        <v>711</v>
      </c>
      <c r="AX758" s="2" t="str">
        <f t="shared" si="33"/>
        <v>Q95|FISMA</v>
      </c>
      <c r="AY758" s="13" t="s">
        <v>464</v>
      </c>
      <c r="AZ758" s="13" t="s">
        <v>1071</v>
      </c>
      <c r="BA758" s="2">
        <v>1</v>
      </c>
    </row>
    <row r="759" spans="48:53" x14ac:dyDescent="0.2">
      <c r="AV759" s="2" t="s">
        <v>808</v>
      </c>
      <c r="AW759" s="2" t="s">
        <v>712</v>
      </c>
      <c r="AX759" s="2" t="str">
        <f t="shared" si="33"/>
        <v>Q95|FedRAMP</v>
      </c>
      <c r="AY759" s="13" t="s">
        <v>464</v>
      </c>
      <c r="AZ759" s="13" t="s">
        <v>1071</v>
      </c>
      <c r="BA759" s="2">
        <v>1</v>
      </c>
    </row>
    <row r="760" spans="48:53" x14ac:dyDescent="0.2">
      <c r="AV760" s="2" t="s">
        <v>808</v>
      </c>
      <c r="AW760" s="2" t="s">
        <v>1043</v>
      </c>
      <c r="AX760" s="2" t="str">
        <f t="shared" si="33"/>
        <v>Q95|ISO 27001</v>
      </c>
      <c r="AY760" s="13" t="s">
        <v>461</v>
      </c>
      <c r="AZ760" s="13" t="s">
        <v>1145</v>
      </c>
      <c r="BA760" s="2">
        <v>1</v>
      </c>
    </row>
    <row r="761" spans="48:53" x14ac:dyDescent="0.2">
      <c r="AV761" s="2" t="s">
        <v>808</v>
      </c>
      <c r="AW761" s="2" t="s">
        <v>713</v>
      </c>
      <c r="AX761" s="2" t="str">
        <f t="shared" si="33"/>
        <v>Q95|SOC2</v>
      </c>
      <c r="AY761" s="13" t="s">
        <v>462</v>
      </c>
      <c r="AZ761" s="13" t="s">
        <v>1191</v>
      </c>
      <c r="BA761" s="2">
        <v>1</v>
      </c>
    </row>
    <row r="762" spans="48:53" x14ac:dyDescent="0.2">
      <c r="AV762" s="2" t="s">
        <v>808</v>
      </c>
      <c r="AW762" s="2" t="s">
        <v>1044</v>
      </c>
      <c r="AX762" s="2" t="str">
        <f t="shared" si="33"/>
        <v>Q95|CIS v8</v>
      </c>
      <c r="AY762" s="13" t="s">
        <v>1833</v>
      </c>
      <c r="AZ762" s="13" t="s">
        <v>1085</v>
      </c>
      <c r="BA762" s="2">
        <v>1</v>
      </c>
    </row>
    <row r="763" spans="48:53" x14ac:dyDescent="0.2">
      <c r="AV763" s="2" t="s">
        <v>809</v>
      </c>
      <c r="AW763" s="2" t="s">
        <v>1041</v>
      </c>
      <c r="AX763" s="2" t="str">
        <f t="shared" si="33"/>
        <v>Q96|NIST CSF 2.0</v>
      </c>
      <c r="AY763" s="13" t="s">
        <v>525</v>
      </c>
      <c r="AZ763" s="13" t="s">
        <v>1065</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1042</v>
      </c>
      <c r="AX765" s="2" t="str">
        <f t="shared" si="33"/>
        <v>Q96|CMMC 2.0</v>
      </c>
      <c r="AY765" s="13" t="s">
        <v>667</v>
      </c>
      <c r="AZ765" s="13" t="s">
        <v>1075</v>
      </c>
      <c r="BA765" s="2">
        <v>1</v>
      </c>
    </row>
    <row r="766" spans="48:53" x14ac:dyDescent="0.2">
      <c r="AV766" s="2" t="s">
        <v>809</v>
      </c>
      <c r="AW766" s="2" t="s">
        <v>711</v>
      </c>
      <c r="AX766" s="2" t="str">
        <f t="shared" si="33"/>
        <v>Q96|FISMA</v>
      </c>
      <c r="AY766" s="13" t="s">
        <v>619</v>
      </c>
      <c r="AZ766" s="13" t="s">
        <v>1075</v>
      </c>
      <c r="BA766" s="2">
        <v>1</v>
      </c>
    </row>
    <row r="767" spans="48:53" x14ac:dyDescent="0.2">
      <c r="AV767" s="2" t="s">
        <v>809</v>
      </c>
      <c r="AW767" s="2" t="s">
        <v>712</v>
      </c>
      <c r="AX767" s="2" t="str">
        <f t="shared" si="33"/>
        <v>Q96|FedRAMP</v>
      </c>
      <c r="AY767" s="13" t="s">
        <v>619</v>
      </c>
      <c r="AZ767" s="13" t="s">
        <v>1075</v>
      </c>
      <c r="BA767" s="2">
        <v>1</v>
      </c>
    </row>
    <row r="768" spans="48:53" x14ac:dyDescent="0.2">
      <c r="AV768" s="2" t="s">
        <v>809</v>
      </c>
      <c r="AW768" s="2" t="s">
        <v>1043</v>
      </c>
      <c r="AX768" s="2" t="str">
        <f t="shared" si="33"/>
        <v>Q96|ISO 27001</v>
      </c>
      <c r="AY768" s="13" t="s">
        <v>620</v>
      </c>
      <c r="AZ768" s="13" t="s">
        <v>1144</v>
      </c>
      <c r="BA768" s="2">
        <v>1</v>
      </c>
    </row>
    <row r="769" spans="48:53" x14ac:dyDescent="0.2">
      <c r="AV769" s="2" t="s">
        <v>809</v>
      </c>
      <c r="AW769" s="2" t="s">
        <v>713</v>
      </c>
      <c r="AX769" s="2" t="str">
        <f t="shared" si="33"/>
        <v>Q96|SOC2</v>
      </c>
      <c r="AY769" s="13" t="s">
        <v>484</v>
      </c>
      <c r="AZ769" s="13" t="s">
        <v>1194</v>
      </c>
      <c r="BA769" s="2">
        <v>1</v>
      </c>
    </row>
    <row r="770" spans="48:53" x14ac:dyDescent="0.2">
      <c r="AV770" s="2" t="s">
        <v>809</v>
      </c>
      <c r="AW770" s="2" t="s">
        <v>1044</v>
      </c>
      <c r="AX770" s="2" t="str">
        <f t="shared" si="33"/>
        <v>Q96|CIS v8</v>
      </c>
      <c r="AY770" s="13" t="s">
        <v>1871</v>
      </c>
      <c r="AZ770" s="13" t="s">
        <v>1086</v>
      </c>
      <c r="BA770" s="2">
        <v>1</v>
      </c>
    </row>
    <row r="771" spans="48:53" x14ac:dyDescent="0.2">
      <c r="AV771" s="2" t="s">
        <v>810</v>
      </c>
      <c r="AW771" s="2" t="s">
        <v>1041</v>
      </c>
      <c r="AX771" s="2" t="str">
        <f t="shared" si="33"/>
        <v>Q97|NIST CSF 2.0</v>
      </c>
      <c r="AY771" s="13" t="s">
        <v>668</v>
      </c>
      <c r="AZ771" s="13" t="s">
        <v>1068</v>
      </c>
      <c r="BA771" s="2">
        <v>1</v>
      </c>
    </row>
    <row r="772" spans="48:53" x14ac:dyDescent="0.2">
      <c r="AV772" s="2" t="s">
        <v>810</v>
      </c>
      <c r="AW772" s="2" t="s">
        <v>710</v>
      </c>
      <c r="AX772" s="2" t="str">
        <f t="shared" ref="AX772:AX835" si="34">_xlfn.CONCAT(AV772,"|",AW772)</f>
        <v>Q97|NIST PQC</v>
      </c>
      <c r="AY772" s="13" t="s">
        <v>669</v>
      </c>
      <c r="AZ772" s="13" t="s">
        <v>1097</v>
      </c>
      <c r="BA772" s="2">
        <v>0.8</v>
      </c>
    </row>
    <row r="773" spans="48:53" x14ac:dyDescent="0.2">
      <c r="AV773" s="2" t="s">
        <v>810</v>
      </c>
      <c r="AW773" s="2" t="s">
        <v>1042</v>
      </c>
      <c r="AX773" s="2" t="str">
        <f t="shared" si="34"/>
        <v>Q97|CMMC 2.0</v>
      </c>
      <c r="AY773" s="13" t="s">
        <v>670</v>
      </c>
      <c r="AZ773" s="13" t="s">
        <v>1070</v>
      </c>
      <c r="BA773" s="2">
        <v>1</v>
      </c>
    </row>
    <row r="774" spans="48:53" x14ac:dyDescent="0.2">
      <c r="AV774" s="2" t="s">
        <v>810</v>
      </c>
      <c r="AW774" s="2" t="s">
        <v>711</v>
      </c>
      <c r="AX774" s="2" t="str">
        <f t="shared" si="34"/>
        <v>Q97|FISMA</v>
      </c>
      <c r="AY774" s="13" t="s">
        <v>671</v>
      </c>
      <c r="AZ774" s="13" t="s">
        <v>1070</v>
      </c>
      <c r="BA774" s="2">
        <v>1</v>
      </c>
    </row>
    <row r="775" spans="48:53" x14ac:dyDescent="0.2">
      <c r="AV775" s="2" t="s">
        <v>810</v>
      </c>
      <c r="AW775" s="2" t="s">
        <v>712</v>
      </c>
      <c r="AX775" s="2" t="str">
        <f t="shared" si="34"/>
        <v>Q97|FedRAMP</v>
      </c>
      <c r="AY775" s="13" t="s">
        <v>671</v>
      </c>
      <c r="AZ775" s="13" t="s">
        <v>1070</v>
      </c>
      <c r="BA775" s="2">
        <v>1</v>
      </c>
    </row>
    <row r="776" spans="48:53" x14ac:dyDescent="0.2">
      <c r="AV776" s="2" t="s">
        <v>810</v>
      </c>
      <c r="AW776" s="2" t="s">
        <v>1043</v>
      </c>
      <c r="AX776" s="2" t="str">
        <f t="shared" si="34"/>
        <v>Q97|ISO 27001</v>
      </c>
      <c r="AY776" s="13" t="s">
        <v>461</v>
      </c>
      <c r="AZ776" s="13" t="s">
        <v>1145</v>
      </c>
      <c r="BA776" s="2">
        <v>1</v>
      </c>
    </row>
    <row r="777" spans="48:53" x14ac:dyDescent="0.2">
      <c r="AV777" s="2" t="s">
        <v>810</v>
      </c>
      <c r="AW777" s="2" t="s">
        <v>713</v>
      </c>
      <c r="AX777" s="2" t="str">
        <f t="shared" si="34"/>
        <v>Q97|SOC2</v>
      </c>
      <c r="AY777" s="13" t="s">
        <v>462</v>
      </c>
      <c r="AZ777" s="13" t="s">
        <v>1191</v>
      </c>
      <c r="BA777" s="2">
        <v>1</v>
      </c>
    </row>
    <row r="778" spans="48:53" x14ac:dyDescent="0.2">
      <c r="AV778" s="2" t="s">
        <v>810</v>
      </c>
      <c r="AW778" s="2" t="s">
        <v>1044</v>
      </c>
      <c r="AX778" s="2" t="str">
        <f t="shared" si="34"/>
        <v>Q97|CIS v8</v>
      </c>
      <c r="AY778" s="13" t="s">
        <v>1872</v>
      </c>
      <c r="AZ778" s="13" t="s">
        <v>1085</v>
      </c>
      <c r="BA778" s="2">
        <v>1</v>
      </c>
    </row>
    <row r="779" spans="48:53" x14ac:dyDescent="0.2">
      <c r="AV779" s="2" t="s">
        <v>811</v>
      </c>
      <c r="AW779" s="2" t="s">
        <v>1041</v>
      </c>
      <c r="AX779" s="2" t="str">
        <f t="shared" si="34"/>
        <v>Q98|NIST CSF 2.0</v>
      </c>
      <c r="AY779" s="13" t="s">
        <v>660</v>
      </c>
      <c r="AZ779" s="13" t="s">
        <v>1068</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1042</v>
      </c>
      <c r="AX781" s="2" t="str">
        <f t="shared" si="34"/>
        <v>Q98|CMMC 2.0</v>
      </c>
      <c r="AY781" s="13" t="s">
        <v>661</v>
      </c>
      <c r="AZ781" s="13" t="s">
        <v>1071</v>
      </c>
      <c r="BA781" s="2">
        <v>0.8</v>
      </c>
    </row>
    <row r="782" spans="48:53" x14ac:dyDescent="0.2">
      <c r="AV782" s="2" t="s">
        <v>811</v>
      </c>
      <c r="AW782" s="2" t="s">
        <v>711</v>
      </c>
      <c r="AX782" s="2" t="str">
        <f t="shared" si="34"/>
        <v>Q98|FISMA</v>
      </c>
      <c r="AY782" s="13" t="s">
        <v>464</v>
      </c>
      <c r="AZ782" s="13" t="s">
        <v>1071</v>
      </c>
      <c r="BA782" s="2">
        <v>1</v>
      </c>
    </row>
    <row r="783" spans="48:53" x14ac:dyDescent="0.2">
      <c r="AV783" s="2" t="s">
        <v>811</v>
      </c>
      <c r="AW783" s="2" t="s">
        <v>712</v>
      </c>
      <c r="AX783" s="2" t="str">
        <f t="shared" si="34"/>
        <v>Q98|FedRAMP</v>
      </c>
      <c r="AY783" s="13" t="s">
        <v>464</v>
      </c>
      <c r="AZ783" s="13" t="s">
        <v>1071</v>
      </c>
      <c r="BA783" s="2">
        <v>1</v>
      </c>
    </row>
    <row r="784" spans="48:53" x14ac:dyDescent="0.2">
      <c r="AV784" s="2" t="s">
        <v>811</v>
      </c>
      <c r="AW784" s="2" t="s">
        <v>1043</v>
      </c>
      <c r="AX784" s="2" t="str">
        <f t="shared" si="34"/>
        <v>Q98|ISO 27001</v>
      </c>
      <c r="AY784" s="13" t="s">
        <v>662</v>
      </c>
      <c r="AZ784" s="13" t="s">
        <v>1145</v>
      </c>
      <c r="BA784" s="2">
        <v>0.8</v>
      </c>
    </row>
    <row r="785" spans="48:53" x14ac:dyDescent="0.2">
      <c r="AV785" s="2" t="s">
        <v>811</v>
      </c>
      <c r="AW785" s="2" t="s">
        <v>713</v>
      </c>
      <c r="AX785" s="2" t="str">
        <f t="shared" si="34"/>
        <v>Q98|SOC2</v>
      </c>
      <c r="AY785" s="13" t="s">
        <v>462</v>
      </c>
      <c r="AZ785" s="13" t="s">
        <v>1191</v>
      </c>
      <c r="BA785" s="2">
        <v>0.8</v>
      </c>
    </row>
    <row r="786" spans="48:53" x14ac:dyDescent="0.2">
      <c r="AV786" s="2" t="s">
        <v>811</v>
      </c>
      <c r="AW786" s="2" t="s">
        <v>1044</v>
      </c>
      <c r="AX786" s="2" t="str">
        <f t="shared" si="34"/>
        <v>Q98|CIS v8</v>
      </c>
      <c r="AY786" s="13" t="s">
        <v>1873</v>
      </c>
      <c r="AZ786" s="13" t="s">
        <v>1085</v>
      </c>
      <c r="BA786" s="2">
        <v>0.8</v>
      </c>
    </row>
    <row r="787" spans="48:53" x14ac:dyDescent="0.2">
      <c r="AV787" s="2" t="s">
        <v>812</v>
      </c>
      <c r="AW787" s="2" t="s">
        <v>1041</v>
      </c>
      <c r="AX787" s="2" t="str">
        <f t="shared" si="34"/>
        <v>Q99|NIST CSF 2.0</v>
      </c>
      <c r="AY787" s="13" t="s">
        <v>660</v>
      </c>
      <c r="AZ787" s="13" t="s">
        <v>1068</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1042</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1071</v>
      </c>
      <c r="BA790" s="2">
        <v>0.8</v>
      </c>
    </row>
    <row r="791" spans="48:53" x14ac:dyDescent="0.2">
      <c r="AV791" s="2" t="s">
        <v>812</v>
      </c>
      <c r="AW791" s="2" t="s">
        <v>712</v>
      </c>
      <c r="AX791" s="2" t="str">
        <f t="shared" si="34"/>
        <v>Q99|FedRAMP</v>
      </c>
      <c r="AY791" s="13" t="s">
        <v>464</v>
      </c>
      <c r="AZ791" s="13" t="s">
        <v>1071</v>
      </c>
      <c r="BA791" s="2">
        <v>0.8</v>
      </c>
    </row>
    <row r="792" spans="48:53" x14ac:dyDescent="0.2">
      <c r="AV792" s="2" t="s">
        <v>812</v>
      </c>
      <c r="AW792" s="2" t="s">
        <v>1043</v>
      </c>
      <c r="AX792" s="2" t="str">
        <f t="shared" si="34"/>
        <v>Q99|ISO 27001</v>
      </c>
      <c r="AY792" s="13" t="s">
        <v>662</v>
      </c>
      <c r="AZ792" s="13" t="s">
        <v>1145</v>
      </c>
      <c r="BA792" s="2">
        <v>0.8</v>
      </c>
    </row>
    <row r="793" spans="48:53" x14ac:dyDescent="0.2">
      <c r="AV793" s="2" t="s">
        <v>812</v>
      </c>
      <c r="AW793" s="2" t="s">
        <v>713</v>
      </c>
      <c r="AX793" s="2" t="str">
        <f t="shared" si="34"/>
        <v>Q99|SOC2</v>
      </c>
      <c r="AY793" s="13" t="s">
        <v>462</v>
      </c>
      <c r="AZ793" s="13" t="s">
        <v>1191</v>
      </c>
      <c r="BA793" s="2">
        <v>0.8</v>
      </c>
    </row>
    <row r="794" spans="48:53" x14ac:dyDescent="0.2">
      <c r="AV794" s="2" t="s">
        <v>812</v>
      </c>
      <c r="AW794" s="2" t="s">
        <v>1044</v>
      </c>
      <c r="AX794" s="2" t="str">
        <f t="shared" si="34"/>
        <v>Q99|CIS v8</v>
      </c>
      <c r="AY794" s="13" t="s">
        <v>1869</v>
      </c>
      <c r="AZ794" s="13" t="s">
        <v>1085</v>
      </c>
      <c r="BA794" s="2">
        <v>0.6</v>
      </c>
    </row>
    <row r="795" spans="48:53" x14ac:dyDescent="0.2">
      <c r="AV795" s="2" t="s">
        <v>813</v>
      </c>
      <c r="AW795" s="2" t="s">
        <v>1041</v>
      </c>
      <c r="AX795" s="2" t="str">
        <f t="shared" si="34"/>
        <v>Q100|NIST CSF 2.0</v>
      </c>
      <c r="AY795" s="13" t="s">
        <v>668</v>
      </c>
      <c r="AZ795" s="13" t="s">
        <v>1068</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1042</v>
      </c>
      <c r="AX797" s="2" t="str">
        <f t="shared" si="34"/>
        <v>Q100|CMMC 2.0</v>
      </c>
      <c r="AY797" s="13" t="s">
        <v>1824</v>
      </c>
      <c r="AZ797" s="13" t="s">
        <v>1070</v>
      </c>
      <c r="BA797" s="2">
        <v>1</v>
      </c>
    </row>
    <row r="798" spans="48:53" x14ac:dyDescent="0.2">
      <c r="AV798" s="2" t="s">
        <v>813</v>
      </c>
      <c r="AW798" s="2" t="s">
        <v>711</v>
      </c>
      <c r="AX798" s="2" t="str">
        <f t="shared" si="34"/>
        <v>Q100|FISMA</v>
      </c>
      <c r="AY798" s="13" t="s">
        <v>672</v>
      </c>
      <c r="AZ798" s="13" t="s">
        <v>1070</v>
      </c>
      <c r="BA798" s="2">
        <v>1</v>
      </c>
    </row>
    <row r="799" spans="48:53" x14ac:dyDescent="0.2">
      <c r="AV799" s="2" t="s">
        <v>813</v>
      </c>
      <c r="AW799" s="2" t="s">
        <v>712</v>
      </c>
      <c r="AX799" s="2" t="str">
        <f t="shared" si="34"/>
        <v>Q100|FedRAMP</v>
      </c>
      <c r="AY799" s="13" t="s">
        <v>672</v>
      </c>
      <c r="AZ799" s="13" t="s">
        <v>1070</v>
      </c>
      <c r="BA799" s="2">
        <v>1</v>
      </c>
    </row>
    <row r="800" spans="48:53" x14ac:dyDescent="0.2">
      <c r="AV800" s="2" t="s">
        <v>813</v>
      </c>
      <c r="AW800" s="2" t="s">
        <v>1043</v>
      </c>
      <c r="AX800" s="2" t="str">
        <f t="shared" si="34"/>
        <v>Q100|ISO 27001</v>
      </c>
      <c r="AY800" s="13" t="s">
        <v>615</v>
      </c>
      <c r="AZ800" s="13" t="s">
        <v>1141</v>
      </c>
      <c r="BA800" s="2">
        <v>1</v>
      </c>
    </row>
    <row r="801" spans="48:53" x14ac:dyDescent="0.2">
      <c r="AV801" s="2" t="s">
        <v>813</v>
      </c>
      <c r="AW801" s="2" t="s">
        <v>713</v>
      </c>
      <c r="AX801" s="2" t="str">
        <f t="shared" si="34"/>
        <v>Q100|SOC2</v>
      </c>
      <c r="AY801" s="13" t="s">
        <v>633</v>
      </c>
      <c r="AZ801" s="13" t="s">
        <v>1191</v>
      </c>
      <c r="BA801" s="2">
        <v>1</v>
      </c>
    </row>
    <row r="802" spans="48:53" x14ac:dyDescent="0.2">
      <c r="AV802" s="2" t="s">
        <v>813</v>
      </c>
      <c r="AW802" s="2" t="s">
        <v>1044</v>
      </c>
      <c r="AX802" s="2" t="str">
        <f t="shared" si="34"/>
        <v>Q100|CIS v8</v>
      </c>
      <c r="AY802" s="13" t="s">
        <v>1874</v>
      </c>
      <c r="AZ802" s="13" t="s">
        <v>1091</v>
      </c>
      <c r="BA802" s="2">
        <v>1</v>
      </c>
    </row>
    <row r="803" spans="48:53" x14ac:dyDescent="0.2">
      <c r="AV803" s="2" t="s">
        <v>814</v>
      </c>
      <c r="AW803" s="2" t="s">
        <v>1041</v>
      </c>
      <c r="AX803" s="2" t="str">
        <f t="shared" si="34"/>
        <v>Q101|NIST CSF 2.0</v>
      </c>
      <c r="AY803" s="13" t="s">
        <v>585</v>
      </c>
      <c r="AZ803" s="13" t="s">
        <v>1068</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1042</v>
      </c>
      <c r="AX805" s="2" t="str">
        <f t="shared" si="34"/>
        <v>Q101|CMMC 2.0</v>
      </c>
      <c r="AY805" s="13" t="s">
        <v>455</v>
      </c>
      <c r="AZ805" s="13" t="s">
        <v>1072</v>
      </c>
      <c r="BA805" s="2">
        <v>1</v>
      </c>
    </row>
    <row r="806" spans="48:53" x14ac:dyDescent="0.2">
      <c r="AV806" s="2" t="s">
        <v>814</v>
      </c>
      <c r="AW806" s="2" t="s">
        <v>711</v>
      </c>
      <c r="AX806" s="2" t="str">
        <f t="shared" si="34"/>
        <v>Q101|FISMA</v>
      </c>
      <c r="AY806" s="13" t="s">
        <v>673</v>
      </c>
      <c r="AZ806" s="13" t="s">
        <v>1072</v>
      </c>
      <c r="BA806" s="2">
        <v>1</v>
      </c>
    </row>
    <row r="807" spans="48:53" x14ac:dyDescent="0.2">
      <c r="AV807" s="2" t="s">
        <v>814</v>
      </c>
      <c r="AW807" s="2" t="s">
        <v>712</v>
      </c>
      <c r="AX807" s="2" t="str">
        <f t="shared" si="34"/>
        <v>Q101|FedRAMP</v>
      </c>
      <c r="AY807" s="13" t="s">
        <v>673</v>
      </c>
      <c r="AZ807" s="13" t="s">
        <v>1072</v>
      </c>
      <c r="BA807" s="2">
        <v>1</v>
      </c>
    </row>
    <row r="808" spans="48:53" x14ac:dyDescent="0.2">
      <c r="AV808" s="2" t="s">
        <v>814</v>
      </c>
      <c r="AW808" s="2" t="s">
        <v>1043</v>
      </c>
      <c r="AX808" s="2" t="str">
        <f t="shared" si="34"/>
        <v>Q101|ISO 27001</v>
      </c>
      <c r="AY808" s="13" t="s">
        <v>674</v>
      </c>
      <c r="AZ808" s="13" t="s">
        <v>1144</v>
      </c>
      <c r="BA808" s="2">
        <v>1</v>
      </c>
    </row>
    <row r="809" spans="48:53" x14ac:dyDescent="0.2">
      <c r="AV809" s="2" t="s">
        <v>814</v>
      </c>
      <c r="AW809" s="2" t="s">
        <v>713</v>
      </c>
      <c r="AX809" s="2" t="str">
        <f t="shared" si="34"/>
        <v>Q101|SOC2</v>
      </c>
      <c r="AY809" s="13" t="s">
        <v>484</v>
      </c>
      <c r="AZ809" s="13" t="s">
        <v>1194</v>
      </c>
      <c r="BA809" s="2">
        <v>1</v>
      </c>
    </row>
    <row r="810" spans="48:53" x14ac:dyDescent="0.2">
      <c r="AV810" s="2" t="s">
        <v>814</v>
      </c>
      <c r="AW810" s="2" t="s">
        <v>1044</v>
      </c>
      <c r="AX810" s="2" t="str">
        <f t="shared" si="34"/>
        <v>Q101|CIS v8</v>
      </c>
      <c r="AY810" s="13" t="s">
        <v>1875</v>
      </c>
      <c r="AZ810" s="13" t="s">
        <v>1095</v>
      </c>
      <c r="BA810" s="2">
        <v>1</v>
      </c>
    </row>
    <row r="811" spans="48:53" x14ac:dyDescent="0.2">
      <c r="AV811" s="2" t="s">
        <v>815</v>
      </c>
      <c r="AW811" s="2" t="s">
        <v>1041</v>
      </c>
      <c r="AX811" s="2" t="str">
        <f t="shared" si="34"/>
        <v>Q102|NIST CSF 2.0</v>
      </c>
      <c r="AY811" s="13" t="s">
        <v>585</v>
      </c>
      <c r="AZ811" s="13" t="s">
        <v>1068</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1042</v>
      </c>
      <c r="AX813" s="2" t="str">
        <f t="shared" si="34"/>
        <v>Q102|CMMC 2.0</v>
      </c>
      <c r="AY813" s="13" t="s">
        <v>455</v>
      </c>
      <c r="AZ813" s="13" t="s">
        <v>1072</v>
      </c>
      <c r="BA813" s="2">
        <v>1</v>
      </c>
    </row>
    <row r="814" spans="48:53" x14ac:dyDescent="0.2">
      <c r="AV814" s="2" t="s">
        <v>815</v>
      </c>
      <c r="AW814" s="2" t="s">
        <v>711</v>
      </c>
      <c r="AX814" s="2" t="str">
        <f t="shared" si="34"/>
        <v>Q102|FISMA</v>
      </c>
      <c r="AY814" s="13" t="s">
        <v>478</v>
      </c>
      <c r="AZ814" s="13" t="s">
        <v>1072</v>
      </c>
      <c r="BA814" s="2">
        <v>1</v>
      </c>
    </row>
    <row r="815" spans="48:53" x14ac:dyDescent="0.2">
      <c r="AV815" s="2" t="s">
        <v>815</v>
      </c>
      <c r="AW815" s="2" t="s">
        <v>712</v>
      </c>
      <c r="AX815" s="2" t="str">
        <f t="shared" si="34"/>
        <v>Q102|FedRAMP</v>
      </c>
      <c r="AY815" s="13" t="s">
        <v>478</v>
      </c>
      <c r="AZ815" s="13" t="s">
        <v>1072</v>
      </c>
      <c r="BA815" s="2">
        <v>1</v>
      </c>
    </row>
    <row r="816" spans="48:53" x14ac:dyDescent="0.2">
      <c r="AV816" s="2" t="s">
        <v>815</v>
      </c>
      <c r="AW816" s="2" t="s">
        <v>1043</v>
      </c>
      <c r="AX816" s="2" t="str">
        <f t="shared" si="34"/>
        <v>Q102|ISO 27001</v>
      </c>
      <c r="AY816" s="13" t="s">
        <v>675</v>
      </c>
      <c r="AZ816" s="13" t="s">
        <v>1144</v>
      </c>
      <c r="BA816" s="2">
        <v>1</v>
      </c>
    </row>
    <row r="817" spans="48:53" x14ac:dyDescent="0.2">
      <c r="AV817" s="2" t="s">
        <v>815</v>
      </c>
      <c r="AW817" s="2" t="s">
        <v>713</v>
      </c>
      <c r="AX817" s="2" t="str">
        <f t="shared" si="34"/>
        <v>Q102|SOC2</v>
      </c>
      <c r="AY817" s="13" t="s">
        <v>484</v>
      </c>
      <c r="AZ817" s="13" t="s">
        <v>1194</v>
      </c>
      <c r="BA817" s="2">
        <v>1</v>
      </c>
    </row>
    <row r="818" spans="48:53" x14ac:dyDescent="0.2">
      <c r="AV818" s="2" t="s">
        <v>815</v>
      </c>
      <c r="AW818" s="2" t="s">
        <v>1044</v>
      </c>
      <c r="AX818" s="2" t="str">
        <f t="shared" si="34"/>
        <v>Q102|CIS v8</v>
      </c>
      <c r="AY818" s="13" t="s">
        <v>1875</v>
      </c>
      <c r="AZ818" s="13" t="s">
        <v>1095</v>
      </c>
      <c r="BA818" s="2">
        <v>1</v>
      </c>
    </row>
    <row r="819" spans="48:53" x14ac:dyDescent="0.2">
      <c r="AV819" s="2" t="s">
        <v>816</v>
      </c>
      <c r="AW819" s="2" t="s">
        <v>1041</v>
      </c>
      <c r="AX819" s="2" t="str">
        <f t="shared" si="34"/>
        <v>Q103|NIST CSF 2.0</v>
      </c>
      <c r="AY819" s="13" t="s">
        <v>676</v>
      </c>
      <c r="AZ819" s="13" t="s">
        <v>1068</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1042</v>
      </c>
      <c r="AX821" s="2" t="str">
        <f t="shared" si="34"/>
        <v>Q103|CMMC 2.0</v>
      </c>
      <c r="AY821" s="13" t="s">
        <v>1828</v>
      </c>
      <c r="AZ821" s="13" t="s">
        <v>1075</v>
      </c>
      <c r="BA821" s="2">
        <v>1</v>
      </c>
    </row>
    <row r="822" spans="48:53" x14ac:dyDescent="0.2">
      <c r="AV822" s="2" t="s">
        <v>816</v>
      </c>
      <c r="AW822" s="2" t="s">
        <v>711</v>
      </c>
      <c r="AX822" s="2" t="str">
        <f t="shared" si="34"/>
        <v>Q103|FISMA</v>
      </c>
      <c r="AY822" s="13" t="s">
        <v>678</v>
      </c>
      <c r="AZ822" s="13" t="s">
        <v>1075</v>
      </c>
      <c r="BA822" s="2">
        <v>1</v>
      </c>
    </row>
    <row r="823" spans="48:53" x14ac:dyDescent="0.2">
      <c r="AV823" s="2" t="s">
        <v>816</v>
      </c>
      <c r="AW823" s="2" t="s">
        <v>712</v>
      </c>
      <c r="AX823" s="2" t="str">
        <f t="shared" si="34"/>
        <v>Q103|FedRAMP</v>
      </c>
      <c r="AY823" s="13" t="s">
        <v>678</v>
      </c>
      <c r="AZ823" s="13" t="s">
        <v>1075</v>
      </c>
      <c r="BA823" s="2">
        <v>1</v>
      </c>
    </row>
    <row r="824" spans="48:53" x14ac:dyDescent="0.2">
      <c r="AV824" s="2" t="s">
        <v>816</v>
      </c>
      <c r="AW824" s="2" t="s">
        <v>1043</v>
      </c>
      <c r="AX824" s="2" t="str">
        <f t="shared" si="34"/>
        <v>Q103|ISO 27001</v>
      </c>
      <c r="AY824" s="13" t="s">
        <v>483</v>
      </c>
      <c r="AZ824" s="13" t="s">
        <v>1144</v>
      </c>
      <c r="BA824" s="2">
        <v>1</v>
      </c>
    </row>
    <row r="825" spans="48:53" x14ac:dyDescent="0.2">
      <c r="AV825" s="2" t="s">
        <v>816</v>
      </c>
      <c r="AW825" s="2" t="s">
        <v>713</v>
      </c>
      <c r="AX825" s="2" t="str">
        <f t="shared" si="34"/>
        <v>Q103|SOC2</v>
      </c>
      <c r="AY825" s="13" t="s">
        <v>484</v>
      </c>
      <c r="AZ825" s="13" t="s">
        <v>1194</v>
      </c>
      <c r="BA825" s="2">
        <v>1</v>
      </c>
    </row>
    <row r="826" spans="48:53" x14ac:dyDescent="0.2">
      <c r="AV826" s="2" t="s">
        <v>816</v>
      </c>
      <c r="AW826" s="2" t="s">
        <v>1044</v>
      </c>
      <c r="AX826" s="2" t="str">
        <f t="shared" si="34"/>
        <v>Q103|CIS v8</v>
      </c>
      <c r="AY826" s="13" t="s">
        <v>1846</v>
      </c>
      <c r="AZ826" s="13" t="s">
        <v>1099</v>
      </c>
      <c r="BA826" s="2">
        <v>1</v>
      </c>
    </row>
    <row r="827" spans="48:53" x14ac:dyDescent="0.2">
      <c r="AV827" s="2" t="s">
        <v>817</v>
      </c>
      <c r="AW827" s="2" t="s">
        <v>1041</v>
      </c>
      <c r="AX827" s="2" t="str">
        <f t="shared" si="34"/>
        <v>Q104|NIST CSF 2.0</v>
      </c>
      <c r="AY827" s="13" t="s">
        <v>676</v>
      </c>
      <c r="AZ827" s="13" t="s">
        <v>1068</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1042</v>
      </c>
      <c r="AX829" s="2" t="str">
        <f t="shared" si="34"/>
        <v>Q104|CMMC 2.0</v>
      </c>
      <c r="AY829" s="13" t="s">
        <v>679</v>
      </c>
      <c r="AZ829" s="13" t="s">
        <v>1075</v>
      </c>
      <c r="BA829" s="2">
        <v>1</v>
      </c>
    </row>
    <row r="830" spans="48:53" x14ac:dyDescent="0.2">
      <c r="AV830" s="2" t="s">
        <v>817</v>
      </c>
      <c r="AW830" s="2" t="s">
        <v>711</v>
      </c>
      <c r="AX830" s="2" t="str">
        <f t="shared" si="34"/>
        <v>Q104|FISMA</v>
      </c>
      <c r="AY830" s="13" t="s">
        <v>678</v>
      </c>
      <c r="AZ830" s="13" t="s">
        <v>1075</v>
      </c>
      <c r="BA830" s="2">
        <v>1</v>
      </c>
    </row>
    <row r="831" spans="48:53" x14ac:dyDescent="0.2">
      <c r="AV831" s="2" t="s">
        <v>817</v>
      </c>
      <c r="AW831" s="2" t="s">
        <v>712</v>
      </c>
      <c r="AX831" s="2" t="str">
        <f t="shared" si="34"/>
        <v>Q104|FedRAMP</v>
      </c>
      <c r="AY831" s="13" t="s">
        <v>678</v>
      </c>
      <c r="AZ831" s="13" t="s">
        <v>1075</v>
      </c>
      <c r="BA831" s="2">
        <v>1</v>
      </c>
    </row>
    <row r="832" spans="48:53" x14ac:dyDescent="0.2">
      <c r="AV832" s="2" t="s">
        <v>817</v>
      </c>
      <c r="AW832" s="2" t="s">
        <v>1043</v>
      </c>
      <c r="AX832" s="2" t="str">
        <f t="shared" si="34"/>
        <v>Q104|ISO 27001</v>
      </c>
      <c r="AY832" s="13" t="s">
        <v>483</v>
      </c>
      <c r="AZ832" s="13" t="s">
        <v>1144</v>
      </c>
      <c r="BA832" s="2">
        <v>0.8</v>
      </c>
    </row>
    <row r="833" spans="48:53" x14ac:dyDescent="0.2">
      <c r="AV833" s="2" t="s">
        <v>817</v>
      </c>
      <c r="AW833" s="2" t="s">
        <v>713</v>
      </c>
      <c r="AX833" s="2" t="str">
        <f t="shared" si="34"/>
        <v>Q104|SOC2</v>
      </c>
      <c r="AY833" s="13" t="s">
        <v>484</v>
      </c>
      <c r="AZ833" s="13" t="s">
        <v>1194</v>
      </c>
      <c r="BA833" s="2">
        <v>0.8</v>
      </c>
    </row>
    <row r="834" spans="48:53" x14ac:dyDescent="0.2">
      <c r="AV834" s="2" t="s">
        <v>817</v>
      </c>
      <c r="AW834" s="2" t="s">
        <v>1044</v>
      </c>
      <c r="AX834" s="2" t="str">
        <f t="shared" si="34"/>
        <v>Q104|CIS v8</v>
      </c>
      <c r="AY834" s="13" t="s">
        <v>1846</v>
      </c>
      <c r="AZ834" s="13" t="s">
        <v>1099</v>
      </c>
      <c r="BA834" s="2">
        <v>0.8</v>
      </c>
    </row>
    <row r="835" spans="48:53" x14ac:dyDescent="0.2">
      <c r="AV835" s="2" t="s">
        <v>818</v>
      </c>
      <c r="AW835" s="2" t="s">
        <v>1041</v>
      </c>
      <c r="AX835" s="2" t="str">
        <f t="shared" si="34"/>
        <v>Q105|NIST CSF 2.0</v>
      </c>
      <c r="AY835" s="13" t="s">
        <v>585</v>
      </c>
      <c r="AZ835" s="13" t="s">
        <v>1068</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1042</v>
      </c>
      <c r="AX837" s="2" t="str">
        <f t="shared" si="35"/>
        <v>Q105|CMMC 2.0</v>
      </c>
      <c r="AY837" s="13" t="s">
        <v>457</v>
      </c>
      <c r="AZ837" s="13" t="s">
        <v>1072</v>
      </c>
      <c r="BA837" s="2">
        <v>1</v>
      </c>
    </row>
    <row r="838" spans="48:53" x14ac:dyDescent="0.2">
      <c r="AV838" s="2" t="s">
        <v>818</v>
      </c>
      <c r="AW838" s="2" t="s">
        <v>711</v>
      </c>
      <c r="AX838" s="2" t="str">
        <f t="shared" si="35"/>
        <v>Q105|FISMA</v>
      </c>
      <c r="AY838" s="13" t="s">
        <v>680</v>
      </c>
      <c r="AZ838" s="13" t="s">
        <v>1072</v>
      </c>
      <c r="BA838" s="2">
        <v>1</v>
      </c>
    </row>
    <row r="839" spans="48:53" x14ac:dyDescent="0.2">
      <c r="AV839" s="2" t="s">
        <v>818</v>
      </c>
      <c r="AW839" s="2" t="s">
        <v>712</v>
      </c>
      <c r="AX839" s="2" t="str">
        <f t="shared" si="35"/>
        <v>Q105|FedRAMP</v>
      </c>
      <c r="AY839" s="13" t="s">
        <v>680</v>
      </c>
      <c r="AZ839" s="13" t="s">
        <v>1072</v>
      </c>
      <c r="BA839" s="2">
        <v>1</v>
      </c>
    </row>
    <row r="840" spans="48:53" x14ac:dyDescent="0.2">
      <c r="AV840" s="2" t="s">
        <v>818</v>
      </c>
      <c r="AW840" s="2" t="s">
        <v>1043</v>
      </c>
      <c r="AX840" s="2" t="str">
        <f t="shared" si="35"/>
        <v>Q105|ISO 27001</v>
      </c>
      <c r="AY840" s="13" t="s">
        <v>674</v>
      </c>
      <c r="AZ840" s="13" t="s">
        <v>1144</v>
      </c>
      <c r="BA840" s="2">
        <v>1</v>
      </c>
    </row>
    <row r="841" spans="48:53" x14ac:dyDescent="0.2">
      <c r="AV841" s="2" t="s">
        <v>818</v>
      </c>
      <c r="AW841" s="2" t="s">
        <v>713</v>
      </c>
      <c r="AX841" s="2" t="str">
        <f t="shared" si="35"/>
        <v>Q105|SOC2</v>
      </c>
      <c r="AY841" s="13" t="s">
        <v>484</v>
      </c>
      <c r="AZ841" s="13" t="s">
        <v>1194</v>
      </c>
      <c r="BA841" s="2">
        <v>1</v>
      </c>
    </row>
    <row r="842" spans="48:53" x14ac:dyDescent="0.2">
      <c r="AV842" s="2" t="s">
        <v>818</v>
      </c>
      <c r="AW842" s="2" t="s">
        <v>1044</v>
      </c>
      <c r="AX842" s="2" t="str">
        <f t="shared" si="35"/>
        <v>Q105|CIS v8</v>
      </c>
      <c r="AY842" s="13" t="s">
        <v>1876</v>
      </c>
      <c r="AZ842" s="13" t="s">
        <v>1096</v>
      </c>
      <c r="BA842" s="2">
        <v>1</v>
      </c>
    </row>
    <row r="843" spans="48:53" x14ac:dyDescent="0.2">
      <c r="AV843" s="2" t="s">
        <v>819</v>
      </c>
      <c r="AW843" s="2" t="s">
        <v>1041</v>
      </c>
      <c r="AX843" s="2" t="str">
        <f t="shared" si="35"/>
        <v>Q106|NIST CSF 2.0</v>
      </c>
      <c r="AY843" s="13" t="s">
        <v>585</v>
      </c>
      <c r="AZ843" s="13" t="s">
        <v>1068</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1042</v>
      </c>
      <c r="AX845" s="2" t="str">
        <f t="shared" si="35"/>
        <v>Q106|CMMC 2.0</v>
      </c>
      <c r="AY845" s="13" t="s">
        <v>681</v>
      </c>
      <c r="AZ845" s="13" t="s">
        <v>1072</v>
      </c>
      <c r="BA845" s="2">
        <v>1</v>
      </c>
    </row>
    <row r="846" spans="48:53" x14ac:dyDescent="0.2">
      <c r="AV846" s="2" t="s">
        <v>819</v>
      </c>
      <c r="AW846" s="2" t="s">
        <v>711</v>
      </c>
      <c r="AX846" s="2" t="str">
        <f t="shared" si="35"/>
        <v>Q106|FISMA</v>
      </c>
      <c r="AY846" s="13" t="s">
        <v>682</v>
      </c>
      <c r="AZ846" s="13" t="s">
        <v>1072</v>
      </c>
      <c r="BA846" s="2">
        <v>1</v>
      </c>
    </row>
    <row r="847" spans="48:53" x14ac:dyDescent="0.2">
      <c r="AV847" s="2" t="s">
        <v>819</v>
      </c>
      <c r="AW847" s="2" t="s">
        <v>712</v>
      </c>
      <c r="AX847" s="2" t="str">
        <f t="shared" si="35"/>
        <v>Q106|FedRAMP</v>
      </c>
      <c r="AY847" s="13" t="s">
        <v>682</v>
      </c>
      <c r="AZ847" s="13" t="s">
        <v>1072</v>
      </c>
      <c r="BA847" s="2">
        <v>1</v>
      </c>
    </row>
    <row r="848" spans="48:53" x14ac:dyDescent="0.2">
      <c r="AV848" s="2" t="s">
        <v>819</v>
      </c>
      <c r="AW848" s="2" t="s">
        <v>1043</v>
      </c>
      <c r="AX848" s="2" t="str">
        <f t="shared" si="35"/>
        <v>Q106|ISO 27001</v>
      </c>
      <c r="AY848" s="13" t="s">
        <v>683</v>
      </c>
      <c r="AZ848" s="13" t="s">
        <v>1144</v>
      </c>
      <c r="BA848" s="2">
        <v>1</v>
      </c>
    </row>
    <row r="849" spans="48:53" x14ac:dyDescent="0.2">
      <c r="AV849" s="2" t="s">
        <v>819</v>
      </c>
      <c r="AW849" s="2" t="s">
        <v>713</v>
      </c>
      <c r="AX849" s="2" t="str">
        <f t="shared" si="35"/>
        <v>Q106|SOC2</v>
      </c>
      <c r="AY849" s="13" t="s">
        <v>484</v>
      </c>
      <c r="AZ849" s="13" t="s">
        <v>1194</v>
      </c>
      <c r="BA849" s="2">
        <v>1</v>
      </c>
    </row>
    <row r="850" spans="48:53" x14ac:dyDescent="0.2">
      <c r="AV850" s="2" t="s">
        <v>819</v>
      </c>
      <c r="AW850" s="2" t="s">
        <v>1044</v>
      </c>
      <c r="AX850" s="2" t="str">
        <f t="shared" si="35"/>
        <v>Q106|CIS v8</v>
      </c>
      <c r="AY850" s="13" t="s">
        <v>1877</v>
      </c>
      <c r="AZ850" s="13" t="s">
        <v>1095</v>
      </c>
      <c r="BA850" s="2">
        <v>1</v>
      </c>
    </row>
    <row r="851" spans="48:53" x14ac:dyDescent="0.2">
      <c r="AV851" s="2" t="s">
        <v>820</v>
      </c>
      <c r="AW851" s="2" t="s">
        <v>1041</v>
      </c>
      <c r="AX851" s="2" t="str">
        <f t="shared" si="35"/>
        <v>Q107|NIST CSF 2.0</v>
      </c>
      <c r="AY851" s="13" t="s">
        <v>621</v>
      </c>
      <c r="AZ851" s="13" t="s">
        <v>1068</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1042</v>
      </c>
      <c r="AX853" s="2" t="str">
        <f t="shared" si="35"/>
        <v>Q107|CMMC 2.0</v>
      </c>
      <c r="AY853" s="13" t="s">
        <v>1829</v>
      </c>
      <c r="AZ853" s="13" t="s">
        <v>1080</v>
      </c>
      <c r="BA853" s="2">
        <v>1</v>
      </c>
    </row>
    <row r="854" spans="48:53" x14ac:dyDescent="0.2">
      <c r="AV854" s="2" t="s">
        <v>820</v>
      </c>
      <c r="AW854" s="2" t="s">
        <v>711</v>
      </c>
      <c r="AX854" s="2" t="str">
        <f t="shared" si="35"/>
        <v>Q107|FISMA</v>
      </c>
      <c r="AY854" s="13" t="s">
        <v>614</v>
      </c>
      <c r="AZ854" s="13" t="s">
        <v>1080</v>
      </c>
      <c r="BA854" s="2">
        <v>1</v>
      </c>
    </row>
    <row r="855" spans="48:53" x14ac:dyDescent="0.2">
      <c r="AV855" s="2" t="s">
        <v>820</v>
      </c>
      <c r="AW855" s="2" t="s">
        <v>712</v>
      </c>
      <c r="AX855" s="2" t="str">
        <f t="shared" si="35"/>
        <v>Q107|FedRAMP</v>
      </c>
      <c r="AY855" s="13" t="s">
        <v>614</v>
      </c>
      <c r="AZ855" s="13" t="s">
        <v>1080</v>
      </c>
      <c r="BA855" s="2">
        <v>1</v>
      </c>
    </row>
    <row r="856" spans="48:53" x14ac:dyDescent="0.2">
      <c r="AV856" s="2" t="s">
        <v>820</v>
      </c>
      <c r="AW856" s="2" t="s">
        <v>1043</v>
      </c>
      <c r="AX856" s="2" t="str">
        <f t="shared" si="35"/>
        <v>Q107|ISO 27001</v>
      </c>
      <c r="AY856" s="13" t="s">
        <v>685</v>
      </c>
      <c r="AZ856" s="13" t="s">
        <v>1141</v>
      </c>
      <c r="BA856" s="2">
        <v>1</v>
      </c>
    </row>
    <row r="857" spans="48:53" x14ac:dyDescent="0.2">
      <c r="AV857" s="2" t="s">
        <v>820</v>
      </c>
      <c r="AW857" s="2" t="s">
        <v>713</v>
      </c>
      <c r="AX857" s="2" t="str">
        <f t="shared" si="35"/>
        <v>Q107|SOC2</v>
      </c>
      <c r="AY857" s="13" t="s">
        <v>444</v>
      </c>
      <c r="AZ857" s="13" t="s">
        <v>1191</v>
      </c>
      <c r="BA857" s="2">
        <v>1</v>
      </c>
    </row>
    <row r="858" spans="48:53" x14ac:dyDescent="0.2">
      <c r="AV858" s="2" t="s">
        <v>820</v>
      </c>
      <c r="AW858" s="2" t="s">
        <v>1044</v>
      </c>
      <c r="AX858" s="2" t="str">
        <f t="shared" si="35"/>
        <v>Q107|CIS v8</v>
      </c>
      <c r="AY858" s="13" t="s">
        <v>1878</v>
      </c>
      <c r="AZ858" s="13" t="s">
        <v>1096</v>
      </c>
      <c r="BA858" s="2">
        <v>1</v>
      </c>
    </row>
    <row r="859" spans="48:53" x14ac:dyDescent="0.2">
      <c r="AV859" s="2" t="s">
        <v>821</v>
      </c>
      <c r="AW859" s="2" t="s">
        <v>1041</v>
      </c>
      <c r="AX859" s="2" t="str">
        <f t="shared" si="35"/>
        <v>Q108|NIST CSF 2.0</v>
      </c>
      <c r="AY859" s="13" t="s">
        <v>497</v>
      </c>
      <c r="AZ859" s="13" t="s">
        <v>1065</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1042</v>
      </c>
      <c r="AX861" s="2" t="str">
        <f t="shared" si="35"/>
        <v>Q108|CMMC 2.0</v>
      </c>
      <c r="AY861" s="13" t="s">
        <v>635</v>
      </c>
      <c r="AZ861" s="13" t="s">
        <v>1081</v>
      </c>
      <c r="BA861" s="2">
        <v>1</v>
      </c>
    </row>
    <row r="862" spans="48:53" x14ac:dyDescent="0.2">
      <c r="AV862" s="2" t="s">
        <v>821</v>
      </c>
      <c r="AW862" s="2" t="s">
        <v>711</v>
      </c>
      <c r="AX862" s="2" t="str">
        <f t="shared" si="35"/>
        <v>Q108|FISMA</v>
      </c>
      <c r="AY862" s="13" t="s">
        <v>619</v>
      </c>
      <c r="AZ862" s="13" t="s">
        <v>1075</v>
      </c>
      <c r="BA862" s="2">
        <v>1</v>
      </c>
    </row>
    <row r="863" spans="48:53" x14ac:dyDescent="0.2">
      <c r="AV863" s="2" t="s">
        <v>821</v>
      </c>
      <c r="AW863" s="2" t="s">
        <v>712</v>
      </c>
      <c r="AX863" s="2" t="str">
        <f t="shared" si="35"/>
        <v>Q108|FedRAMP</v>
      </c>
      <c r="AY863" s="13" t="s">
        <v>619</v>
      </c>
      <c r="AZ863" s="13" t="s">
        <v>1075</v>
      </c>
      <c r="BA863" s="2">
        <v>1</v>
      </c>
    </row>
    <row r="864" spans="48:53" x14ac:dyDescent="0.2">
      <c r="AV864" s="2" t="s">
        <v>821</v>
      </c>
      <c r="AW864" s="2" t="s">
        <v>1043</v>
      </c>
      <c r="AX864" s="2" t="str">
        <f t="shared" si="35"/>
        <v>Q108|ISO 27001</v>
      </c>
      <c r="AY864" s="13" t="s">
        <v>620</v>
      </c>
      <c r="AZ864" s="13" t="s">
        <v>1144</v>
      </c>
      <c r="BA864" s="2">
        <v>1</v>
      </c>
    </row>
    <row r="865" spans="48:53" x14ac:dyDescent="0.2">
      <c r="AV865" s="2" t="s">
        <v>821</v>
      </c>
      <c r="AW865" s="2" t="s">
        <v>713</v>
      </c>
      <c r="AX865" s="2" t="str">
        <f t="shared" si="35"/>
        <v>Q108|SOC2</v>
      </c>
      <c r="AY865" s="13" t="s">
        <v>484</v>
      </c>
      <c r="AZ865" s="13" t="s">
        <v>1194</v>
      </c>
      <c r="BA865" s="2">
        <v>1</v>
      </c>
    </row>
    <row r="866" spans="48:53" x14ac:dyDescent="0.2">
      <c r="AV866" s="2" t="s">
        <v>821</v>
      </c>
      <c r="AW866" s="2" t="s">
        <v>1044</v>
      </c>
      <c r="AX866" s="2" t="str">
        <f t="shared" si="35"/>
        <v>Q108|CIS v8</v>
      </c>
      <c r="AY866" s="13" t="s">
        <v>1859</v>
      </c>
      <c r="AZ866" s="13" t="s">
        <v>1100</v>
      </c>
      <c r="BA866" s="2">
        <v>1</v>
      </c>
    </row>
    <row r="867" spans="48:53" x14ac:dyDescent="0.2">
      <c r="AV867" s="2" t="s">
        <v>822</v>
      </c>
      <c r="AW867" s="2" t="s">
        <v>1041</v>
      </c>
      <c r="AX867" s="2" t="str">
        <f t="shared" si="35"/>
        <v>Q109|NIST CSF 2.0</v>
      </c>
      <c r="AY867" s="13" t="s">
        <v>686</v>
      </c>
      <c r="AZ867" s="13" t="s">
        <v>1068</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1042</v>
      </c>
      <c r="AX869" s="2" t="str">
        <f t="shared" si="35"/>
        <v>Q109|CMMC 2.0</v>
      </c>
      <c r="AY869" s="13" t="s">
        <v>472</v>
      </c>
      <c r="AZ869" s="13" t="s">
        <v>1072</v>
      </c>
      <c r="BA869" s="2">
        <v>1</v>
      </c>
    </row>
    <row r="870" spans="48:53" x14ac:dyDescent="0.2">
      <c r="AV870" s="2" t="s">
        <v>822</v>
      </c>
      <c r="AW870" s="2" t="s">
        <v>711</v>
      </c>
      <c r="AX870" s="2" t="str">
        <f t="shared" si="35"/>
        <v>Q109|FISMA</v>
      </c>
      <c r="AY870" s="13" t="s">
        <v>478</v>
      </c>
      <c r="AZ870" s="13" t="s">
        <v>1072</v>
      </c>
      <c r="BA870" s="2">
        <v>1</v>
      </c>
    </row>
    <row r="871" spans="48:53" x14ac:dyDescent="0.2">
      <c r="AV871" s="2" t="s">
        <v>822</v>
      </c>
      <c r="AW871" s="2" t="s">
        <v>712</v>
      </c>
      <c r="AX871" s="2" t="str">
        <f t="shared" si="35"/>
        <v>Q109|FedRAMP</v>
      </c>
      <c r="AY871" s="13" t="s">
        <v>478</v>
      </c>
      <c r="AZ871" s="13" t="s">
        <v>1072</v>
      </c>
      <c r="BA871" s="2">
        <v>1</v>
      </c>
    </row>
    <row r="872" spans="48:53" x14ac:dyDescent="0.2">
      <c r="AV872" s="2" t="s">
        <v>822</v>
      </c>
      <c r="AW872" s="2" t="s">
        <v>1043</v>
      </c>
      <c r="AX872" s="2" t="str">
        <f t="shared" si="35"/>
        <v>Q109|ISO 27001</v>
      </c>
      <c r="AY872" s="13" t="s">
        <v>675</v>
      </c>
      <c r="AZ872" s="13" t="s">
        <v>1144</v>
      </c>
      <c r="BA872" s="2">
        <v>1</v>
      </c>
    </row>
    <row r="873" spans="48:53" x14ac:dyDescent="0.2">
      <c r="AV873" s="2" t="s">
        <v>822</v>
      </c>
      <c r="AW873" s="2" t="s">
        <v>713</v>
      </c>
      <c r="AX873" s="2" t="str">
        <f t="shared" si="35"/>
        <v>Q109|SOC2</v>
      </c>
      <c r="AY873" s="13" t="s">
        <v>484</v>
      </c>
      <c r="AZ873" s="13" t="s">
        <v>1194</v>
      </c>
      <c r="BA873" s="2">
        <v>1</v>
      </c>
    </row>
    <row r="874" spans="48:53" x14ac:dyDescent="0.2">
      <c r="AV874" s="2" t="s">
        <v>822</v>
      </c>
      <c r="AW874" s="2" t="s">
        <v>1044</v>
      </c>
      <c r="AX874" s="2" t="str">
        <f t="shared" si="35"/>
        <v>Q109|CIS v8</v>
      </c>
      <c r="AY874" s="13" t="s">
        <v>1853</v>
      </c>
      <c r="AZ874" s="13" t="s">
        <v>1090</v>
      </c>
      <c r="BA874" s="2">
        <v>1</v>
      </c>
    </row>
    <row r="875" spans="48:53" x14ac:dyDescent="0.2">
      <c r="AV875" s="2" t="s">
        <v>823</v>
      </c>
      <c r="AW875" s="2" t="s">
        <v>1041</v>
      </c>
      <c r="AX875" s="2" t="str">
        <f t="shared" si="35"/>
        <v>Q110|NIST CSF 2.0</v>
      </c>
      <c r="AY875" s="13" t="s">
        <v>567</v>
      </c>
      <c r="AZ875" s="13" t="s">
        <v>1068</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1042</v>
      </c>
      <c r="AX877" s="2" t="str">
        <f t="shared" si="35"/>
        <v>Q110|CMMC 2.0</v>
      </c>
      <c r="AY877" s="13" t="s">
        <v>568</v>
      </c>
      <c r="AZ877" s="13" t="s">
        <v>1076</v>
      </c>
      <c r="BA877" s="2">
        <v>1</v>
      </c>
    </row>
    <row r="878" spans="48:53" x14ac:dyDescent="0.2">
      <c r="AV878" s="2" t="s">
        <v>823</v>
      </c>
      <c r="AW878" s="2" t="s">
        <v>711</v>
      </c>
      <c r="AX878" s="2" t="str">
        <f t="shared" si="35"/>
        <v>Q110|FISMA</v>
      </c>
      <c r="AY878" s="13" t="s">
        <v>505</v>
      </c>
      <c r="AZ878" s="13" t="s">
        <v>1076</v>
      </c>
      <c r="BA878" s="2">
        <v>1</v>
      </c>
    </row>
    <row r="879" spans="48:53" x14ac:dyDescent="0.2">
      <c r="AV879" s="2" t="s">
        <v>823</v>
      </c>
      <c r="AW879" s="2" t="s">
        <v>712</v>
      </c>
      <c r="AX879" s="2" t="str">
        <f t="shared" si="35"/>
        <v>Q110|FedRAMP</v>
      </c>
      <c r="AY879" s="13" t="s">
        <v>505</v>
      </c>
      <c r="AZ879" s="13" t="s">
        <v>1076</v>
      </c>
      <c r="BA879" s="2">
        <v>1</v>
      </c>
    </row>
    <row r="880" spans="48:53" x14ac:dyDescent="0.2">
      <c r="AV880" s="2" t="s">
        <v>823</v>
      </c>
      <c r="AW880" s="2" t="s">
        <v>1043</v>
      </c>
      <c r="AX880" s="2" t="str">
        <f t="shared" si="35"/>
        <v>Q110|ISO 27001</v>
      </c>
      <c r="AY880" s="13" t="s">
        <v>506</v>
      </c>
      <c r="AZ880" s="13" t="s">
        <v>1150</v>
      </c>
      <c r="BA880" s="2">
        <v>1</v>
      </c>
    </row>
    <row r="881" spans="48:53" x14ac:dyDescent="0.2">
      <c r="AV881" s="2" t="s">
        <v>823</v>
      </c>
      <c r="AW881" s="2" t="s">
        <v>713</v>
      </c>
      <c r="AX881" s="2" t="str">
        <f t="shared" si="35"/>
        <v>Q110|SOC2</v>
      </c>
      <c r="AY881" s="13" t="s">
        <v>484</v>
      </c>
      <c r="AZ881" s="13" t="s">
        <v>1194</v>
      </c>
      <c r="BA881" s="2">
        <v>1</v>
      </c>
    </row>
    <row r="882" spans="48:53" x14ac:dyDescent="0.2">
      <c r="AV882" s="2" t="s">
        <v>823</v>
      </c>
      <c r="AW882" s="2" t="s">
        <v>1044</v>
      </c>
      <c r="AX882" s="2" t="str">
        <f t="shared" si="35"/>
        <v>Q110|CIS v8</v>
      </c>
      <c r="AY882" s="13" t="s">
        <v>1838</v>
      </c>
      <c r="AZ882" s="13" t="s">
        <v>1088</v>
      </c>
      <c r="BA882" s="2">
        <v>1</v>
      </c>
    </row>
    <row r="883" spans="48:53" x14ac:dyDescent="0.2">
      <c r="AV883" s="2" t="s">
        <v>824</v>
      </c>
      <c r="AW883" s="2" t="s">
        <v>1041</v>
      </c>
      <c r="AX883" s="2" t="str">
        <f t="shared" si="35"/>
        <v>Q111|NIST CSF 2.0</v>
      </c>
      <c r="AY883" s="13" t="s">
        <v>687</v>
      </c>
      <c r="AZ883" s="13" t="s">
        <v>1066</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1042</v>
      </c>
      <c r="AX885" s="2" t="str">
        <f t="shared" si="35"/>
        <v>Q111|CMMC 2.0</v>
      </c>
      <c r="AY885" s="13" t="s">
        <v>638</v>
      </c>
      <c r="AZ885" s="13" t="s">
        <v>1078</v>
      </c>
      <c r="BA885" s="2">
        <v>1</v>
      </c>
    </row>
    <row r="886" spans="48:53" x14ac:dyDescent="0.2">
      <c r="AV886" s="2" t="s">
        <v>824</v>
      </c>
      <c r="AW886" s="2" t="s">
        <v>711</v>
      </c>
      <c r="AX886" s="2" t="str">
        <f t="shared" si="35"/>
        <v>Q111|FISMA</v>
      </c>
      <c r="AY886" s="13" t="s">
        <v>688</v>
      </c>
      <c r="AZ886" s="13" t="s">
        <v>1078</v>
      </c>
      <c r="BA886" s="2">
        <v>1</v>
      </c>
    </row>
    <row r="887" spans="48:53" x14ac:dyDescent="0.2">
      <c r="AV887" s="2" t="s">
        <v>824</v>
      </c>
      <c r="AW887" s="2" t="s">
        <v>712</v>
      </c>
      <c r="AX887" s="2" t="str">
        <f t="shared" si="35"/>
        <v>Q111|FedRAMP</v>
      </c>
      <c r="AY887" s="13" t="s">
        <v>688</v>
      </c>
      <c r="AZ887" s="13" t="s">
        <v>1078</v>
      </c>
      <c r="BA887" s="2">
        <v>1</v>
      </c>
    </row>
    <row r="888" spans="48:53" x14ac:dyDescent="0.2">
      <c r="AV888" s="2" t="s">
        <v>824</v>
      </c>
      <c r="AW888" s="2" t="s">
        <v>1043</v>
      </c>
      <c r="AX888" s="2" t="str">
        <f t="shared" si="35"/>
        <v>Q111|ISO 27001</v>
      </c>
      <c r="AY888" s="13" t="s">
        <v>689</v>
      </c>
      <c r="AZ888" s="13" t="s">
        <v>1148</v>
      </c>
      <c r="BA888" s="2">
        <v>1</v>
      </c>
    </row>
    <row r="889" spans="48:53" x14ac:dyDescent="0.2">
      <c r="AV889" s="2" t="s">
        <v>824</v>
      </c>
      <c r="AW889" s="2" t="s">
        <v>713</v>
      </c>
      <c r="AX889" s="2" t="str">
        <f t="shared" si="35"/>
        <v>Q111|SOC2</v>
      </c>
      <c r="AY889" s="13" t="s">
        <v>522</v>
      </c>
      <c r="AZ889" s="13" t="s">
        <v>1194</v>
      </c>
      <c r="BA889" s="2">
        <v>1</v>
      </c>
    </row>
    <row r="890" spans="48:53" x14ac:dyDescent="0.2">
      <c r="AV890" s="2" t="s">
        <v>824</v>
      </c>
      <c r="AW890" s="2" t="s">
        <v>1044</v>
      </c>
      <c r="AX890" s="2" t="str">
        <f t="shared" si="35"/>
        <v>Q111|CIS v8</v>
      </c>
      <c r="AY890" s="13" t="s">
        <v>1879</v>
      </c>
      <c r="AZ890" s="13" t="s">
        <v>1089</v>
      </c>
      <c r="BA890" s="2">
        <v>1</v>
      </c>
    </row>
    <row r="891" spans="48:53" x14ac:dyDescent="0.2">
      <c r="AV891" s="2" t="s">
        <v>825</v>
      </c>
      <c r="AW891" s="2" t="s">
        <v>1041</v>
      </c>
      <c r="AX891" s="2" t="str">
        <f t="shared" si="35"/>
        <v>Q112|NIST CSF 2.0</v>
      </c>
      <c r="AY891" s="13" t="s">
        <v>690</v>
      </c>
      <c r="AZ891" s="13" t="s">
        <v>1066</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1042</v>
      </c>
      <c r="AX893" s="2" t="str">
        <f t="shared" si="35"/>
        <v>Q112|CMMC 2.0</v>
      </c>
      <c r="AY893" s="13" t="s">
        <v>638</v>
      </c>
      <c r="AZ893" s="13" t="s">
        <v>1078</v>
      </c>
      <c r="BA893" s="2">
        <v>1</v>
      </c>
    </row>
    <row r="894" spans="48:53" x14ac:dyDescent="0.2">
      <c r="AV894" s="2" t="s">
        <v>825</v>
      </c>
      <c r="AW894" s="2" t="s">
        <v>711</v>
      </c>
      <c r="AX894" s="2" t="str">
        <f t="shared" si="35"/>
        <v>Q112|FISMA</v>
      </c>
      <c r="AY894" s="13" t="s">
        <v>691</v>
      </c>
      <c r="AZ894" s="13" t="s">
        <v>1078</v>
      </c>
      <c r="BA894" s="2">
        <v>1</v>
      </c>
    </row>
    <row r="895" spans="48:53" x14ac:dyDescent="0.2">
      <c r="AV895" s="2" t="s">
        <v>825</v>
      </c>
      <c r="AW895" s="2" t="s">
        <v>712</v>
      </c>
      <c r="AX895" s="2" t="str">
        <f t="shared" si="35"/>
        <v>Q112|FedRAMP</v>
      </c>
      <c r="AY895" s="13" t="s">
        <v>691</v>
      </c>
      <c r="AZ895" s="13" t="s">
        <v>1078</v>
      </c>
      <c r="BA895" s="2">
        <v>1</v>
      </c>
    </row>
    <row r="896" spans="48:53" x14ac:dyDescent="0.2">
      <c r="AV896" s="2" t="s">
        <v>825</v>
      </c>
      <c r="AW896" s="2" t="s">
        <v>1043</v>
      </c>
      <c r="AX896" s="2" t="str">
        <f t="shared" si="35"/>
        <v>Q112|ISO 27001</v>
      </c>
      <c r="AY896" s="13" t="s">
        <v>692</v>
      </c>
      <c r="AZ896" s="13" t="s">
        <v>1148</v>
      </c>
      <c r="BA896" s="2">
        <v>1</v>
      </c>
    </row>
    <row r="897" spans="48:53" x14ac:dyDescent="0.2">
      <c r="AV897" s="2" t="s">
        <v>825</v>
      </c>
      <c r="AW897" s="2" t="s">
        <v>713</v>
      </c>
      <c r="AX897" s="2" t="str">
        <f t="shared" si="35"/>
        <v>Q112|SOC2</v>
      </c>
      <c r="AY897" s="13" t="s">
        <v>522</v>
      </c>
      <c r="AZ897" s="13" t="s">
        <v>1194</v>
      </c>
      <c r="BA897" s="2">
        <v>1</v>
      </c>
    </row>
    <row r="898" spans="48:53" x14ac:dyDescent="0.2">
      <c r="AV898" s="2" t="s">
        <v>825</v>
      </c>
      <c r="AW898" s="2" t="s">
        <v>1044</v>
      </c>
      <c r="AX898" s="2" t="str">
        <f t="shared" si="35"/>
        <v>Q112|CIS v8</v>
      </c>
      <c r="AY898" s="13" t="s">
        <v>1880</v>
      </c>
      <c r="AZ898" s="13" t="s">
        <v>1089</v>
      </c>
      <c r="BA898" s="2">
        <v>1</v>
      </c>
    </row>
    <row r="899" spans="48:53" x14ac:dyDescent="0.2">
      <c r="AV899" s="2" t="s">
        <v>826</v>
      </c>
      <c r="AW899" s="2" t="s">
        <v>1041</v>
      </c>
      <c r="AX899" s="2" t="str">
        <f t="shared" si="35"/>
        <v>Q113|NIST CSF 2.0</v>
      </c>
      <c r="AY899" s="13" t="s">
        <v>693</v>
      </c>
      <c r="AZ899" s="13" t="s">
        <v>1065</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1042</v>
      </c>
      <c r="AX901" s="2" t="str">
        <f t="shared" si="36"/>
        <v>Q113|CMMC 2.0</v>
      </c>
      <c r="AY901" s="13" t="s">
        <v>638</v>
      </c>
      <c r="AZ901" s="13" t="s">
        <v>1078</v>
      </c>
      <c r="BA901" s="2">
        <v>1</v>
      </c>
    </row>
    <row r="902" spans="48:53" x14ac:dyDescent="0.2">
      <c r="AV902" s="2" t="s">
        <v>826</v>
      </c>
      <c r="AW902" s="2" t="s">
        <v>711</v>
      </c>
      <c r="AX902" s="2" t="str">
        <f t="shared" si="36"/>
        <v>Q113|FISMA</v>
      </c>
      <c r="AY902" s="13" t="s">
        <v>573</v>
      </c>
      <c r="AZ902" s="13" t="s">
        <v>1078</v>
      </c>
      <c r="BA902" s="2">
        <v>1</v>
      </c>
    </row>
    <row r="903" spans="48:53" x14ac:dyDescent="0.2">
      <c r="AV903" s="2" t="s">
        <v>826</v>
      </c>
      <c r="AW903" s="2" t="s">
        <v>712</v>
      </c>
      <c r="AX903" s="2" t="str">
        <f t="shared" si="36"/>
        <v>Q113|FedRAMP</v>
      </c>
      <c r="AY903" s="13" t="s">
        <v>573</v>
      </c>
      <c r="AZ903" s="13" t="s">
        <v>1078</v>
      </c>
      <c r="BA903" s="2">
        <v>1</v>
      </c>
    </row>
    <row r="904" spans="48:53" x14ac:dyDescent="0.2">
      <c r="AV904" s="2" t="s">
        <v>826</v>
      </c>
      <c r="AW904" s="2" t="s">
        <v>1043</v>
      </c>
      <c r="AX904" s="2" t="str">
        <f t="shared" si="36"/>
        <v>Q113|ISO 27001</v>
      </c>
      <c r="AY904" s="13" t="s">
        <v>574</v>
      </c>
      <c r="AZ904" s="13" t="s">
        <v>1148</v>
      </c>
      <c r="BA904" s="2">
        <v>1</v>
      </c>
    </row>
    <row r="905" spans="48:53" x14ac:dyDescent="0.2">
      <c r="AV905" s="2" t="s">
        <v>826</v>
      </c>
      <c r="AW905" s="2" t="s">
        <v>713</v>
      </c>
      <c r="AX905" s="2" t="str">
        <f t="shared" si="36"/>
        <v>Q113|SOC2</v>
      </c>
      <c r="AY905" s="13" t="s">
        <v>491</v>
      </c>
      <c r="AZ905" s="13" t="s">
        <v>1194</v>
      </c>
      <c r="BA905" s="2">
        <v>1</v>
      </c>
    </row>
    <row r="906" spans="48:53" x14ac:dyDescent="0.2">
      <c r="AV906" s="2" t="s">
        <v>826</v>
      </c>
      <c r="AW906" s="2" t="s">
        <v>1044</v>
      </c>
      <c r="AX906" s="2" t="str">
        <f t="shared" si="36"/>
        <v>Q113|CIS v8</v>
      </c>
      <c r="AY906" s="13" t="s">
        <v>1861</v>
      </c>
      <c r="AZ906" s="13" t="s">
        <v>1089</v>
      </c>
      <c r="BA906" s="2">
        <v>1</v>
      </c>
    </row>
    <row r="907" spans="48:53" x14ac:dyDescent="0.2">
      <c r="AV907" s="2" t="s">
        <v>827</v>
      </c>
      <c r="AW907" s="2" t="s">
        <v>1041</v>
      </c>
      <c r="AX907" s="2" t="str">
        <f t="shared" si="36"/>
        <v>Q114|NIST CSF 2.0</v>
      </c>
      <c r="AY907" s="13" t="s">
        <v>694</v>
      </c>
      <c r="AZ907" s="13" t="s">
        <v>1066</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1042</v>
      </c>
      <c r="AX909" s="2" t="str">
        <f t="shared" si="36"/>
        <v>Q114|CMMC 2.0</v>
      </c>
      <c r="AY909" s="13" t="s">
        <v>572</v>
      </c>
      <c r="AZ909" s="13" t="s">
        <v>1078</v>
      </c>
      <c r="BA909" s="2">
        <v>1</v>
      </c>
    </row>
    <row r="910" spans="48:53" x14ac:dyDescent="0.2">
      <c r="AV910" s="2" t="s">
        <v>827</v>
      </c>
      <c r="AW910" s="2" t="s">
        <v>711</v>
      </c>
      <c r="AX910" s="2" t="str">
        <f t="shared" si="36"/>
        <v>Q114|FISMA</v>
      </c>
      <c r="AY910" s="13" t="s">
        <v>573</v>
      </c>
      <c r="AZ910" s="13" t="s">
        <v>1078</v>
      </c>
      <c r="BA910" s="2">
        <v>1</v>
      </c>
    </row>
    <row r="911" spans="48:53" x14ac:dyDescent="0.2">
      <c r="AV911" s="2" t="s">
        <v>827</v>
      </c>
      <c r="AW911" s="2" t="s">
        <v>712</v>
      </c>
      <c r="AX911" s="2" t="str">
        <f t="shared" si="36"/>
        <v>Q114|FedRAMP</v>
      </c>
      <c r="AY911" s="13" t="s">
        <v>573</v>
      </c>
      <c r="AZ911" s="13" t="s">
        <v>1078</v>
      </c>
      <c r="BA911" s="2">
        <v>1</v>
      </c>
    </row>
    <row r="912" spans="48:53" x14ac:dyDescent="0.2">
      <c r="AV912" s="2" t="s">
        <v>827</v>
      </c>
      <c r="AW912" s="2" t="s">
        <v>1043</v>
      </c>
      <c r="AX912" s="2" t="str">
        <f t="shared" si="36"/>
        <v>Q114|ISO 27001</v>
      </c>
      <c r="AY912" s="13" t="s">
        <v>695</v>
      </c>
      <c r="AZ912" s="13" t="s">
        <v>1148</v>
      </c>
      <c r="BA912" s="2">
        <v>1</v>
      </c>
    </row>
    <row r="913" spans="48:53" x14ac:dyDescent="0.2">
      <c r="AV913" s="2" t="s">
        <v>827</v>
      </c>
      <c r="AW913" s="2" t="s">
        <v>713</v>
      </c>
      <c r="AX913" s="2" t="str">
        <f t="shared" si="36"/>
        <v>Q114|SOC2</v>
      </c>
      <c r="AY913" s="13" t="s">
        <v>696</v>
      </c>
      <c r="AZ913" s="13" t="s">
        <v>1194</v>
      </c>
      <c r="BA913" s="2">
        <v>1</v>
      </c>
    </row>
    <row r="914" spans="48:53" x14ac:dyDescent="0.2">
      <c r="AV914" s="2" t="s">
        <v>827</v>
      </c>
      <c r="AW914" s="2" t="s">
        <v>1044</v>
      </c>
      <c r="AX914" s="2" t="str">
        <f t="shared" si="36"/>
        <v>Q114|CIS v8</v>
      </c>
      <c r="AY914" s="13" t="s">
        <v>1852</v>
      </c>
      <c r="AZ914" s="13" t="s">
        <v>1089</v>
      </c>
      <c r="BA914" s="2">
        <v>0.8</v>
      </c>
    </row>
    <row r="915" spans="48:53" x14ac:dyDescent="0.2">
      <c r="AV915" s="2" t="s">
        <v>828</v>
      </c>
      <c r="AW915" s="2" t="s">
        <v>1041</v>
      </c>
      <c r="AX915" s="2" t="str">
        <f t="shared" si="36"/>
        <v>Q115|NIST CSF 2.0</v>
      </c>
      <c r="AY915" s="13" t="s">
        <v>697</v>
      </c>
      <c r="AZ915" s="13" t="s">
        <v>1066</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1042</v>
      </c>
      <c r="AX917" s="2" t="str">
        <f t="shared" si="36"/>
        <v>Q115|CMMC 2.0</v>
      </c>
      <c r="AY917" s="13" t="s">
        <v>638</v>
      </c>
      <c r="AZ917" s="13" t="s">
        <v>1078</v>
      </c>
      <c r="BA917" s="2">
        <v>1</v>
      </c>
    </row>
    <row r="918" spans="48:53" x14ac:dyDescent="0.2">
      <c r="AV918" s="2" t="s">
        <v>828</v>
      </c>
      <c r="AW918" s="2" t="s">
        <v>711</v>
      </c>
      <c r="AX918" s="2" t="str">
        <f t="shared" si="36"/>
        <v>Q115|FISMA</v>
      </c>
      <c r="AY918" s="13" t="s">
        <v>573</v>
      </c>
      <c r="AZ918" s="13" t="s">
        <v>1078</v>
      </c>
      <c r="BA918" s="2">
        <v>1</v>
      </c>
    </row>
    <row r="919" spans="48:53" x14ac:dyDescent="0.2">
      <c r="AV919" s="2" t="s">
        <v>828</v>
      </c>
      <c r="AW919" s="2" t="s">
        <v>712</v>
      </c>
      <c r="AX919" s="2" t="str">
        <f t="shared" si="36"/>
        <v>Q115|FedRAMP</v>
      </c>
      <c r="AY919" s="13" t="s">
        <v>573</v>
      </c>
      <c r="AZ919" s="13" t="s">
        <v>1078</v>
      </c>
      <c r="BA919" s="2">
        <v>1</v>
      </c>
    </row>
    <row r="920" spans="48:53" x14ac:dyDescent="0.2">
      <c r="AV920" s="2" t="s">
        <v>828</v>
      </c>
      <c r="AW920" s="2" t="s">
        <v>1043</v>
      </c>
      <c r="AX920" s="2" t="str">
        <f t="shared" si="36"/>
        <v>Q115|ISO 27001</v>
      </c>
      <c r="AY920" s="13" t="s">
        <v>639</v>
      </c>
      <c r="AZ920" s="13" t="s">
        <v>1148</v>
      </c>
      <c r="BA920" s="2">
        <v>1</v>
      </c>
    </row>
    <row r="921" spans="48:53" x14ac:dyDescent="0.2">
      <c r="AV921" s="2" t="s">
        <v>828</v>
      </c>
      <c r="AW921" s="2" t="s">
        <v>713</v>
      </c>
      <c r="AX921" s="2" t="str">
        <f t="shared" si="36"/>
        <v>Q115|SOC2</v>
      </c>
      <c r="AY921" s="13" t="s">
        <v>522</v>
      </c>
      <c r="AZ921" s="13" t="s">
        <v>1194</v>
      </c>
      <c r="BA921" s="2">
        <v>1</v>
      </c>
    </row>
    <row r="922" spans="48:53" x14ac:dyDescent="0.2">
      <c r="AV922" s="2" t="s">
        <v>828</v>
      </c>
      <c r="AW922" s="2" t="s">
        <v>1044</v>
      </c>
      <c r="AX922" s="2" t="str">
        <f t="shared" si="36"/>
        <v>Q115|CIS v8</v>
      </c>
      <c r="AY922" s="13" t="s">
        <v>1881</v>
      </c>
      <c r="AZ922" s="13" t="s">
        <v>1089</v>
      </c>
      <c r="BA922" s="2">
        <v>1</v>
      </c>
    </row>
    <row r="923" spans="48:53" x14ac:dyDescent="0.2">
      <c r="AV923" s="2" t="s">
        <v>829</v>
      </c>
      <c r="AW923" s="2" t="s">
        <v>1041</v>
      </c>
      <c r="AX923" s="2" t="str">
        <f t="shared" si="36"/>
        <v>Q116|NIST CSF 2.0</v>
      </c>
      <c r="AY923" s="13" t="s">
        <v>698</v>
      </c>
      <c r="AZ923" s="13" t="s">
        <v>1069</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1042</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1079</v>
      </c>
      <c r="BA926" s="2">
        <v>1</v>
      </c>
    </row>
    <row r="927" spans="48:53" x14ac:dyDescent="0.2">
      <c r="AV927" s="2" t="s">
        <v>829</v>
      </c>
      <c r="AW927" s="2" t="s">
        <v>712</v>
      </c>
      <c r="AX927" s="2" t="str">
        <f t="shared" si="36"/>
        <v>Q116|FedRAMP</v>
      </c>
      <c r="AY927" s="13" t="s">
        <v>577</v>
      </c>
      <c r="AZ927" s="13" t="s">
        <v>1079</v>
      </c>
      <c r="BA927" s="2">
        <v>1</v>
      </c>
    </row>
    <row r="928" spans="48:53" x14ac:dyDescent="0.2">
      <c r="AV928" s="2" t="s">
        <v>829</v>
      </c>
      <c r="AW928" s="2" t="s">
        <v>1043</v>
      </c>
      <c r="AX928" s="2" t="str">
        <f t="shared" si="36"/>
        <v>Q116|ISO 27001</v>
      </c>
      <c r="AY928" s="13" t="s">
        <v>578</v>
      </c>
      <c r="AZ928" s="13" t="s">
        <v>1149</v>
      </c>
      <c r="BA928" s="2">
        <v>1</v>
      </c>
    </row>
    <row r="929" spans="48:53" x14ac:dyDescent="0.2">
      <c r="AV929" s="2" t="s">
        <v>829</v>
      </c>
      <c r="AW929" s="2" t="s">
        <v>713</v>
      </c>
      <c r="AX929" s="2" t="str">
        <f t="shared" si="36"/>
        <v>Q116|SOC2</v>
      </c>
      <c r="AY929" s="13" t="s">
        <v>700</v>
      </c>
      <c r="AZ929" s="13" t="s">
        <v>1098</v>
      </c>
      <c r="BA929" s="2">
        <v>1</v>
      </c>
    </row>
    <row r="930" spans="48:53" x14ac:dyDescent="0.2">
      <c r="AV930" s="2" t="s">
        <v>829</v>
      </c>
      <c r="AW930" s="2" t="s">
        <v>1044</v>
      </c>
      <c r="AX930" s="2" t="str">
        <f t="shared" si="36"/>
        <v>Q116|CIS v8</v>
      </c>
      <c r="AY930" s="13" t="s">
        <v>1853</v>
      </c>
      <c r="AZ930" s="13" t="s">
        <v>1090</v>
      </c>
      <c r="BA930" s="2">
        <v>1</v>
      </c>
    </row>
    <row r="931" spans="48:53" x14ac:dyDescent="0.2">
      <c r="AV931" s="2" t="s">
        <v>830</v>
      </c>
      <c r="AW931" s="2" t="s">
        <v>1041</v>
      </c>
      <c r="AX931" s="2" t="str">
        <f t="shared" si="36"/>
        <v>Q117|NIST CSF 2.0</v>
      </c>
      <c r="AY931" s="13" t="s">
        <v>701</v>
      </c>
      <c r="AZ931" s="13" t="s">
        <v>1068</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1042</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1079</v>
      </c>
      <c r="BA934" s="2">
        <v>1</v>
      </c>
    </row>
    <row r="935" spans="48:53" x14ac:dyDescent="0.2">
      <c r="AV935" s="2" t="s">
        <v>830</v>
      </c>
      <c r="AW935" s="2" t="s">
        <v>712</v>
      </c>
      <c r="AX935" s="2" t="str">
        <f t="shared" si="36"/>
        <v>Q117|FedRAMP</v>
      </c>
      <c r="AY935" s="13" t="s">
        <v>702</v>
      </c>
      <c r="AZ935" s="13" t="s">
        <v>1079</v>
      </c>
      <c r="BA935" s="2">
        <v>1</v>
      </c>
    </row>
    <row r="936" spans="48:53" x14ac:dyDescent="0.2">
      <c r="AV936" s="2" t="s">
        <v>830</v>
      </c>
      <c r="AW936" s="2" t="s">
        <v>1043</v>
      </c>
      <c r="AX936" s="2" t="str">
        <f t="shared" si="36"/>
        <v>Q117|ISO 27001</v>
      </c>
      <c r="AY936" s="13" t="s">
        <v>703</v>
      </c>
      <c r="AZ936" s="13" t="s">
        <v>1144</v>
      </c>
      <c r="BA936" s="2">
        <v>1</v>
      </c>
    </row>
    <row r="937" spans="48:53" x14ac:dyDescent="0.2">
      <c r="AV937" s="2" t="s">
        <v>830</v>
      </c>
      <c r="AW937" s="2" t="s">
        <v>713</v>
      </c>
      <c r="AX937" s="2" t="str">
        <f t="shared" si="36"/>
        <v>Q117|SOC2</v>
      </c>
      <c r="AY937" s="13" t="s">
        <v>700</v>
      </c>
      <c r="AZ937" s="13" t="s">
        <v>1098</v>
      </c>
      <c r="BA937" s="2">
        <v>1</v>
      </c>
    </row>
    <row r="938" spans="48:53" x14ac:dyDescent="0.2">
      <c r="AV938" s="2" t="s">
        <v>830</v>
      </c>
      <c r="AW938" s="2" t="s">
        <v>1044</v>
      </c>
      <c r="AX938" s="2" t="str">
        <f t="shared" si="36"/>
        <v>Q117|CIS v8</v>
      </c>
      <c r="AY938" s="13" t="s">
        <v>1882</v>
      </c>
      <c r="AZ938" s="13" t="s">
        <v>1090</v>
      </c>
      <c r="BA938" s="2">
        <v>1</v>
      </c>
    </row>
    <row r="939" spans="48:53" x14ac:dyDescent="0.2">
      <c r="AV939" s="2" t="s">
        <v>831</v>
      </c>
      <c r="AW939" s="2" t="s">
        <v>1041</v>
      </c>
      <c r="AX939" s="2" t="str">
        <f t="shared" si="36"/>
        <v>Q118|NIST CSF 2.0</v>
      </c>
      <c r="AY939" s="13" t="s">
        <v>698</v>
      </c>
      <c r="AZ939" s="13" t="s">
        <v>1069</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1042</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1079</v>
      </c>
      <c r="BA942" s="2">
        <v>1</v>
      </c>
    </row>
    <row r="943" spans="48:53" x14ac:dyDescent="0.2">
      <c r="AV943" s="2" t="s">
        <v>831</v>
      </c>
      <c r="AW943" s="2" t="s">
        <v>712</v>
      </c>
      <c r="AX943" s="2" t="str">
        <f t="shared" si="36"/>
        <v>Q118|FedRAMP</v>
      </c>
      <c r="AY943" s="13" t="s">
        <v>577</v>
      </c>
      <c r="AZ943" s="13" t="s">
        <v>1079</v>
      </c>
      <c r="BA943" s="2">
        <v>1</v>
      </c>
    </row>
    <row r="944" spans="48:53" x14ac:dyDescent="0.2">
      <c r="AV944" s="2" t="s">
        <v>831</v>
      </c>
      <c r="AW944" s="2" t="s">
        <v>1043</v>
      </c>
      <c r="AX944" s="2" t="str">
        <f t="shared" si="36"/>
        <v>Q118|ISO 27001</v>
      </c>
      <c r="AY944" s="13" t="s">
        <v>704</v>
      </c>
      <c r="AZ944" s="13" t="s">
        <v>1149</v>
      </c>
      <c r="BA944" s="2">
        <v>1</v>
      </c>
    </row>
    <row r="945" spans="48:53" x14ac:dyDescent="0.2">
      <c r="AV945" s="2" t="s">
        <v>831</v>
      </c>
      <c r="AW945" s="2" t="s">
        <v>713</v>
      </c>
      <c r="AX945" s="2" t="str">
        <f t="shared" si="36"/>
        <v>Q118|SOC2</v>
      </c>
      <c r="AY945" s="13" t="s">
        <v>700</v>
      </c>
      <c r="AZ945" s="13" t="s">
        <v>1098</v>
      </c>
      <c r="BA945" s="2">
        <v>1</v>
      </c>
    </row>
    <row r="946" spans="48:53" x14ac:dyDescent="0.2">
      <c r="AV946" s="2" t="s">
        <v>831</v>
      </c>
      <c r="AW946" s="2" t="s">
        <v>1044</v>
      </c>
      <c r="AX946" s="2" t="str">
        <f t="shared" si="36"/>
        <v>Q118|CIS v8</v>
      </c>
      <c r="AY946" s="13" t="s">
        <v>1853</v>
      </c>
      <c r="AZ946" s="13" t="s">
        <v>1090</v>
      </c>
      <c r="BA946" s="2">
        <v>1</v>
      </c>
    </row>
    <row r="947" spans="48:53" x14ac:dyDescent="0.2">
      <c r="AV947" s="2" t="s">
        <v>832</v>
      </c>
      <c r="AW947" s="2" t="s">
        <v>1041</v>
      </c>
      <c r="AX947" s="2" t="str">
        <f t="shared" si="36"/>
        <v>Q119|NIST CSF 2.0</v>
      </c>
      <c r="AY947" s="13" t="s">
        <v>705</v>
      </c>
      <c r="AZ947" s="13" t="s">
        <v>1066</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1042</v>
      </c>
      <c r="AX949" s="2" t="str">
        <f t="shared" si="36"/>
        <v>Q119|CMMC 2.0</v>
      </c>
      <c r="AY949" s="13" t="s">
        <v>706</v>
      </c>
      <c r="AZ949" s="13" t="s">
        <v>1078</v>
      </c>
      <c r="BA949" s="2">
        <v>1</v>
      </c>
    </row>
    <row r="950" spans="48:53" x14ac:dyDescent="0.2">
      <c r="AV950" s="2" t="s">
        <v>832</v>
      </c>
      <c r="AW950" s="2" t="s">
        <v>711</v>
      </c>
      <c r="AX950" s="2" t="str">
        <f t="shared" si="36"/>
        <v>Q119|FISMA</v>
      </c>
      <c r="AY950" s="13" t="s">
        <v>573</v>
      </c>
      <c r="AZ950" s="13" t="s">
        <v>1078</v>
      </c>
      <c r="BA950" s="2">
        <v>1</v>
      </c>
    </row>
    <row r="951" spans="48:53" x14ac:dyDescent="0.2">
      <c r="AV951" s="2" t="s">
        <v>832</v>
      </c>
      <c r="AW951" s="2" t="s">
        <v>712</v>
      </c>
      <c r="AX951" s="2" t="str">
        <f t="shared" si="36"/>
        <v>Q119|FedRAMP</v>
      </c>
      <c r="AY951" s="13" t="s">
        <v>573</v>
      </c>
      <c r="AZ951" s="13" t="s">
        <v>1078</v>
      </c>
      <c r="BA951" s="2">
        <v>1</v>
      </c>
    </row>
    <row r="952" spans="48:53" x14ac:dyDescent="0.2">
      <c r="AV952" s="2" t="s">
        <v>832</v>
      </c>
      <c r="AW952" s="2" t="s">
        <v>1043</v>
      </c>
      <c r="AX952" s="2" t="str">
        <f t="shared" si="36"/>
        <v>Q119|ISO 27001</v>
      </c>
      <c r="AY952" s="13" t="s">
        <v>521</v>
      </c>
      <c r="AZ952" s="13" t="s">
        <v>1148</v>
      </c>
      <c r="BA952" s="2">
        <v>1</v>
      </c>
    </row>
    <row r="953" spans="48:53" x14ac:dyDescent="0.2">
      <c r="AV953" s="2" t="s">
        <v>832</v>
      </c>
      <c r="AW953" s="2" t="s">
        <v>713</v>
      </c>
      <c r="AX953" s="2" t="str">
        <f t="shared" si="36"/>
        <v>Q119|SOC2</v>
      </c>
      <c r="AY953" s="13" t="s">
        <v>707</v>
      </c>
      <c r="AZ953" s="13" t="s">
        <v>1194</v>
      </c>
      <c r="BA953" s="2">
        <v>1</v>
      </c>
    </row>
    <row r="954" spans="48:53" x14ac:dyDescent="0.2">
      <c r="AV954" s="2" t="s">
        <v>832</v>
      </c>
      <c r="AW954" s="2" t="s">
        <v>1044</v>
      </c>
      <c r="AX954" s="2" t="str">
        <f t="shared" si="36"/>
        <v>Q119|CIS v8</v>
      </c>
      <c r="AY954" s="13" t="s">
        <v>1883</v>
      </c>
      <c r="AZ954" s="13" t="s">
        <v>1089</v>
      </c>
      <c r="BA954" s="2">
        <v>1</v>
      </c>
    </row>
    <row r="955" spans="48:53" x14ac:dyDescent="0.2">
      <c r="AV955" s="2" t="s">
        <v>833</v>
      </c>
      <c r="AW955" s="2" t="s">
        <v>1041</v>
      </c>
      <c r="AX955" s="2" t="str">
        <f t="shared" si="36"/>
        <v>Q120|NIST CSF 2.0</v>
      </c>
      <c r="AY955" s="13" t="s">
        <v>687</v>
      </c>
      <c r="AZ955" s="13" t="s">
        <v>1066</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1042</v>
      </c>
      <c r="AX957" s="2" t="str">
        <f t="shared" si="36"/>
        <v>Q120|CMMC 2.0</v>
      </c>
      <c r="AY957" s="13" t="s">
        <v>638</v>
      </c>
      <c r="AZ957" s="13" t="s">
        <v>1078</v>
      </c>
      <c r="BA957" s="2">
        <v>0.8</v>
      </c>
    </row>
    <row r="958" spans="48:53" x14ac:dyDescent="0.2">
      <c r="AV958" s="2" t="s">
        <v>833</v>
      </c>
      <c r="AW958" s="2" t="s">
        <v>711</v>
      </c>
      <c r="AX958" s="2" t="str">
        <f t="shared" si="36"/>
        <v>Q120|FISMA</v>
      </c>
      <c r="AY958" s="13" t="s">
        <v>708</v>
      </c>
      <c r="AZ958" s="13" t="s">
        <v>1078</v>
      </c>
      <c r="BA958" s="2">
        <v>1</v>
      </c>
    </row>
    <row r="959" spans="48:53" x14ac:dyDescent="0.2">
      <c r="AV959" s="2" t="s">
        <v>833</v>
      </c>
      <c r="AW959" s="2" t="s">
        <v>712</v>
      </c>
      <c r="AX959" s="2" t="str">
        <f t="shared" si="36"/>
        <v>Q120|FedRAMP</v>
      </c>
      <c r="AY959" s="13" t="s">
        <v>708</v>
      </c>
      <c r="AZ959" s="13" t="s">
        <v>1078</v>
      </c>
      <c r="BA959" s="2">
        <v>1</v>
      </c>
    </row>
    <row r="960" spans="48:53" x14ac:dyDescent="0.2">
      <c r="AV960" s="2" t="s">
        <v>833</v>
      </c>
      <c r="AW960" s="2" t="s">
        <v>1043</v>
      </c>
      <c r="AX960" s="2" t="str">
        <f t="shared" si="36"/>
        <v>Q120|ISO 27001</v>
      </c>
      <c r="AY960" s="13" t="s">
        <v>709</v>
      </c>
      <c r="AZ960" s="13" t="s">
        <v>1149</v>
      </c>
      <c r="BA960" s="2">
        <v>1</v>
      </c>
    </row>
    <row r="961" spans="48:53" x14ac:dyDescent="0.2">
      <c r="AV961" s="2" t="s">
        <v>833</v>
      </c>
      <c r="AW961" s="2" t="s">
        <v>713</v>
      </c>
      <c r="AX961" s="2" t="str">
        <f t="shared" si="36"/>
        <v>Q120|SOC2</v>
      </c>
      <c r="AY961" s="13" t="s">
        <v>522</v>
      </c>
      <c r="AZ961" s="13" t="s">
        <v>1194</v>
      </c>
      <c r="BA961" s="2">
        <v>0.8</v>
      </c>
    </row>
    <row r="962" spans="48:53" x14ac:dyDescent="0.2">
      <c r="AV962" s="2" t="s">
        <v>833</v>
      </c>
      <c r="AW962" s="2" t="s">
        <v>1044</v>
      </c>
      <c r="AX962" s="2" t="str">
        <f t="shared" si="36"/>
        <v>Q120|CIS v8</v>
      </c>
      <c r="AY962" s="13" t="s">
        <v>1884</v>
      </c>
      <c r="AZ962" s="13" t="s">
        <v>1089</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2025-09-04T14:26:17Z</dcterms:modified>
</cp:coreProperties>
</file>