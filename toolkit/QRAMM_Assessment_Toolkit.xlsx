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codeName="ThisWorkbook" defaultThemeVersion="202300"/>
  <mc:AlternateContent xmlns:mc="http://schemas.openxmlformats.org/markup-compatibility/2006">
    <mc:Choice Requires="x15">
      <x15ac:absPath xmlns:x15ac="http://schemas.microsoft.com/office/spreadsheetml/2010/11/ac" url="/Users/decimai/workspace/qramm/toolkit/"/>
    </mc:Choice>
  </mc:AlternateContent>
  <xr:revisionPtr revIDLastSave="0" documentId="13_ncr:1_{F09EE05B-8FBC-4A49-BA35-82428AA89A88}" xr6:coauthVersionLast="47" xr6:coauthVersionMax="47" xr10:uidLastSave="{00000000-0000-0000-0000-000000000000}"/>
  <bookViews>
    <workbookView xWindow="-33360" yWindow="-28300" windowWidth="51200" windowHeight="28300" tabRatio="522" xr2:uid="{5E06310C-179C-4F32-BBF6-2DAC14005B8B}"/>
  </bookViews>
  <sheets>
    <sheet name="Welcome" sheetId="11" r:id="rId1"/>
    <sheet name="Profile" sheetId="2" r:id="rId2"/>
    <sheet name="Dimension 1 - CVI" sheetId="3" r:id="rId3"/>
    <sheet name="Dimension 2 - SGRM" sheetId="19" r:id="rId4"/>
    <sheet name="Dimension 3 - DPE" sheetId="20" r:id="rId5"/>
    <sheet name="Dimension 4 - ITR" sheetId="21" r:id="rId6"/>
    <sheet name="Scorecard" sheetId="12" r:id="rId7"/>
    <sheet name="Compliance" sheetId="13" r:id="rId8"/>
    <sheet name="QuestionList" sheetId="4" state="hidden" r:id="rId9"/>
    <sheet name="Data" sheetId="1" state="hidden" r:id="rId10"/>
  </sheets>
  <definedNames>
    <definedName name="_xlnm._FilterDatabase" localSheetId="9" hidden="1">Data!$AV$1:$BH$962</definedName>
    <definedName name="_xlnm._FilterDatabase" localSheetId="8" hidden="1">QuestionList!$A$1:$M$121</definedName>
    <definedName name="AnswerOptions">Data!$A$2:$A$5</definedName>
    <definedName name="Benchmarks">Data!$AD$2:$AI$15</definedName>
    <definedName name="ComplianceFrameworks">Data!$BC$3:$BC$10</definedName>
    <definedName name="ComplianceMap">Data!$AV$3:$BA$962</definedName>
    <definedName name="CVI_1_Score">'Dimension 1 - CVI'!$L$7</definedName>
    <definedName name="CVI_2_Score">'Dimension 1 - CVI'!$L$64</definedName>
    <definedName name="CVI_3_Score">'Dimension 1 - CVI'!$L$121</definedName>
    <definedName name="CVI_Score">'Dimension 1 - CVI'!$L$5</definedName>
    <definedName name="CVI_Score_Adj">'Dimension 1 - CVI'!$N$5</definedName>
    <definedName name="DimensionData">Data!$Y$2:$AB$6</definedName>
    <definedName name="DPE_1_Score">'Dimension 3 - DPE'!$L$7</definedName>
    <definedName name="DPE_2_Score">'Dimension 3 - DPE'!$L$64</definedName>
    <definedName name="DPE_3_Score">'Dimension 3 - DPE'!$L$121</definedName>
    <definedName name="DPE_Score">'Dimension 3 - DPE'!$L$5</definedName>
    <definedName name="DPE_Score_Adj">'Dimension 3 - DPE'!$N$5</definedName>
    <definedName name="GeoScope">Data!$G$2:$G$5</definedName>
    <definedName name="Industries">Data!$C$2:$C$13</definedName>
    <definedName name="ITR_1_Score">'Dimension 4 - ITR'!$L$7</definedName>
    <definedName name="ITR_2_Score">'Dimension 4 - ITR'!$L$64</definedName>
    <definedName name="ITR_3_Score">'Dimension 4 - ITR'!$L$121</definedName>
    <definedName name="ITR_Score">'Dimension 4 - ITR'!$L$5</definedName>
    <definedName name="ITR_Score_Adj">'Dimension 4 - ITR'!$N$5</definedName>
    <definedName name="MaturityLevels">Data!$Q$2:$S$7</definedName>
    <definedName name="OrgSizes">Data!$E$2:$E$5</definedName>
    <definedName name="PctComplete">Welcome!$J$5</definedName>
    <definedName name="PracticeData">Data!$U$2:$W$14</definedName>
    <definedName name="PracticeOutcomesDeDupRank">Scorecard!$X$58:$X$69</definedName>
    <definedName name="PracticeOutcomesRank">Scorecard!$S$58:$S$69</definedName>
    <definedName name="PracticeScoreOutcomes">Scorecard!$Q$58:$Q$69</definedName>
    <definedName name="PracticeScores">Scorecard!$E$9:$E$12</definedName>
    <definedName name="_xlnm.Print_Area" localSheetId="2">'Dimension 1 - CVI'!$A$1:$O$177</definedName>
    <definedName name="_xlnm.Print_Area" localSheetId="3">'Dimension 2 - SGRM'!$A$1:$O$177</definedName>
    <definedName name="_xlnm.Print_Area" localSheetId="4">'Dimension 3 - DPE'!$A$1:$O$177</definedName>
    <definedName name="_xlnm.Print_Area" localSheetId="5">'Dimension 4 - ITR'!$A$1:$O$177</definedName>
    <definedName name="ProfileMultiplier">Profile!$D$21</definedName>
    <definedName name="ProfileOrgIndustry">Profile!$D$9</definedName>
    <definedName name="ProfileOrgSize">Profile!$D$11</definedName>
    <definedName name="Q1_answers">QuestionList!$H$2:$K$2</definedName>
    <definedName name="Q1_Score">'Dimension 1 - CVI'!$I$9</definedName>
    <definedName name="Q10_answers">QuestionList!$H$11:$K$11</definedName>
    <definedName name="Q10_Score">'Dimension 1 - CVI'!$I$57</definedName>
    <definedName name="Q100_answers">QuestionList!$H$101:$K$101</definedName>
    <definedName name="Q100_Score">'Dimension 4 - ITR'!$I$57</definedName>
    <definedName name="Q101_answers">QuestionList!$H$102:$K$102</definedName>
    <definedName name="Q101_Score">'Dimension 4 - ITR'!$I$66</definedName>
    <definedName name="Q102_answers">QuestionList!$H$103:$K$103</definedName>
    <definedName name="Q102_Score">'Dimension 4 - ITR'!$I$71</definedName>
    <definedName name="Q103_answers">QuestionList!$H$104:$K$104</definedName>
    <definedName name="Q103_Score">'Dimension 4 - ITR'!$I$76</definedName>
    <definedName name="Q104_answers">QuestionList!$H$105:$K$105</definedName>
    <definedName name="Q104_Score">'Dimension 4 - ITR'!$I$81</definedName>
    <definedName name="Q105_answers">QuestionList!$H$106:$K$106</definedName>
    <definedName name="Q105_Score">'Dimension 4 - ITR'!$I$86</definedName>
    <definedName name="Q106_answers">QuestionList!$H$107:$K$107</definedName>
    <definedName name="Q106_Score">'Dimension 4 - ITR'!$I$94</definedName>
    <definedName name="Q107_answers">QuestionList!$H$108:$K$108</definedName>
    <definedName name="Q107_Score">'Dimension 4 - ITR'!$I$99</definedName>
    <definedName name="Q108_answers">QuestionList!$H$109:$K$109</definedName>
    <definedName name="Q108_Score">'Dimension 4 - ITR'!$I$104</definedName>
    <definedName name="Q109_answers">QuestionList!$H$110:$K$110</definedName>
    <definedName name="Q109_Score">'Dimension 4 - ITR'!$I$109</definedName>
    <definedName name="Q11_answers">QuestionList!$H$12:$K$12</definedName>
    <definedName name="Q11_Score">'Dimension 1 - CVI'!$I$66</definedName>
    <definedName name="Q110_answers">QuestionList!$H$111:$K$111</definedName>
    <definedName name="Q110_Score">'Dimension 4 - ITR'!$I$114</definedName>
    <definedName name="Q111_answers">QuestionList!$H$112:$K$112</definedName>
    <definedName name="Q111_Score">'Dimension 4 - ITR'!$I$123</definedName>
    <definedName name="Q112_answers">QuestionList!$H$113:$K$113</definedName>
    <definedName name="Q112_Score">'Dimension 4 - ITR'!$I$128</definedName>
    <definedName name="Q113_answers">QuestionList!$H$114:$K$114</definedName>
    <definedName name="Q113_Score">'Dimension 4 - ITR'!$I$133</definedName>
    <definedName name="Q114_answers">QuestionList!$H$115:$K$115</definedName>
    <definedName name="Q114_Score">'Dimension 4 - ITR'!$I$138</definedName>
    <definedName name="Q115_answers">QuestionList!$H$116:$K$116</definedName>
    <definedName name="Q115_Score">'Dimension 4 - ITR'!$I$143</definedName>
    <definedName name="Q116_answers">QuestionList!$H$117:$K$117</definedName>
    <definedName name="Q116_Score">'Dimension 4 - ITR'!$I$151</definedName>
    <definedName name="Q117_answers">QuestionList!$H$118:$K$118</definedName>
    <definedName name="Q117_Score">'Dimension 4 - ITR'!$I$156</definedName>
    <definedName name="Q118_answers">QuestionList!$H$119:$K$119</definedName>
    <definedName name="Q118_Score">'Dimension 4 - ITR'!$I$161</definedName>
    <definedName name="Q119_answers">QuestionList!$H$120:$K$120</definedName>
    <definedName name="Q119_Score">'Dimension 4 - ITR'!$I$165</definedName>
    <definedName name="Q12_answers">QuestionList!$H$13:$K$13</definedName>
    <definedName name="Q12_Score">'Dimension 1 - CVI'!$I$71</definedName>
    <definedName name="Q120_answers">QuestionList!$H$121:$K$121</definedName>
    <definedName name="Q120_Score">'Dimension 4 - ITR'!$I$171</definedName>
    <definedName name="Q13_answers">QuestionList!$H$14:$K$14</definedName>
    <definedName name="Q13_Score">'Dimension 1 - CVI'!$I$76</definedName>
    <definedName name="Q14_answers">QuestionList!$H$15:$K$15</definedName>
    <definedName name="Q14_Score">'Dimension 1 - CVI'!$I$81</definedName>
    <definedName name="Q15_answers">QuestionList!$H$16:$K$16</definedName>
    <definedName name="Q15_Score">'Dimension 1 - CVI'!$I$86</definedName>
    <definedName name="Q16_answers">QuestionList!$H$17:$K$17</definedName>
    <definedName name="Q16_Score">'Dimension 1 - CVI'!$I$94</definedName>
    <definedName name="Q17_answers">QuestionList!$H$18:$K$18</definedName>
    <definedName name="Q17_Score">'Dimension 1 - CVI'!$I$99</definedName>
    <definedName name="Q18_answers">QuestionList!$H$19:$K$19</definedName>
    <definedName name="Q18_Score">'Dimension 1 - CVI'!$I$104</definedName>
    <definedName name="Q19_answers">QuestionList!$H$20:$K$20</definedName>
    <definedName name="Q19_Score">'Dimension 1 - CVI'!$I$109</definedName>
    <definedName name="Q2_answers">QuestionList!$H$3:$K$3</definedName>
    <definedName name="Q2_Score">'Dimension 1 - CVI'!$I$14</definedName>
    <definedName name="Q20_answers">QuestionList!$H$21:$K$21</definedName>
    <definedName name="Q20_Score">'Dimension 1 - CVI'!$I$114</definedName>
    <definedName name="Q21_answers">QuestionList!$H$22:$K$22</definedName>
    <definedName name="Q21_Score">'Dimension 1 - CVI'!$I$123</definedName>
    <definedName name="Q22_answers">QuestionList!$H$23:$K$23</definedName>
    <definedName name="Q22_Score">'Dimension 1 - CVI'!$I$128</definedName>
    <definedName name="Q23_answers">QuestionList!$H$24:$K$24</definedName>
    <definedName name="Q23_Score">'Dimension 1 - CVI'!$I$133</definedName>
    <definedName name="Q24_answers">QuestionList!$H$25:$K$25</definedName>
    <definedName name="Q24_Score">'Dimension 1 - CVI'!$I$138</definedName>
    <definedName name="Q25_answers">QuestionList!$H$26:$K$26</definedName>
    <definedName name="Q25_Score">'Dimension 1 - CVI'!$I$143</definedName>
    <definedName name="Q26_answers">QuestionList!$H$27:$K$27</definedName>
    <definedName name="Q26_Score">'Dimension 1 - CVI'!$I$151</definedName>
    <definedName name="Q27_answers">QuestionList!$H$28:$K$28</definedName>
    <definedName name="Q27_Score">'Dimension 1 - CVI'!$I$156</definedName>
    <definedName name="Q28_answers">QuestionList!$H$29:$K$29</definedName>
    <definedName name="Q28_Score">'Dimension 1 - CVI'!$I$161</definedName>
    <definedName name="Q29_answers">QuestionList!$H$30:$K$30</definedName>
    <definedName name="Q29_Score">'Dimension 1 - CVI'!$I$166</definedName>
    <definedName name="Q3_answers">QuestionList!$H$4:$K$4</definedName>
    <definedName name="Q3_Score">'Dimension 1 - CVI'!$I$19</definedName>
    <definedName name="Q30_answers">QuestionList!$H$31:$K$31</definedName>
    <definedName name="Q30_Score">'Dimension 1 - CVI'!$I$171</definedName>
    <definedName name="Q31_answers">QuestionList!$H$32:$K$32</definedName>
    <definedName name="Q31_Score">'Dimension 2 - SGRM'!$I$9</definedName>
    <definedName name="Q32_answers">QuestionList!$H$33:$K$33</definedName>
    <definedName name="Q32_Score">'Dimension 2 - SGRM'!$I$14</definedName>
    <definedName name="Q33_answers">QuestionList!$H$34:$K$34</definedName>
    <definedName name="Q33_Score">'Dimension 2 - SGRM'!$I$19</definedName>
    <definedName name="Q34_answers">QuestionList!$H$35:$K$35</definedName>
    <definedName name="Q34_Score">'Dimension 2 - SGRM'!$I$24</definedName>
    <definedName name="Q35_answers">QuestionList!$H$36:$K$36</definedName>
    <definedName name="Q35_Score">'Dimension 2 - SGRM'!$I$29</definedName>
    <definedName name="Q36_answers">QuestionList!$H$37:$K$37</definedName>
    <definedName name="Q36_Score">'Dimension 2 - SGRM'!$I$37</definedName>
    <definedName name="Q37_answers">QuestionList!$H$38:$K$38</definedName>
    <definedName name="Q37_Score">'Dimension 2 - SGRM'!$I$42</definedName>
    <definedName name="Q38_answers">QuestionList!$H$39:$K$39</definedName>
    <definedName name="Q38_Score">'Dimension 2 - SGRM'!$I$47</definedName>
    <definedName name="Q39_answers">QuestionList!$H$40:$K$40</definedName>
    <definedName name="Q39_Score">'Dimension 2 - SGRM'!$I$52</definedName>
    <definedName name="Q4_answers">QuestionList!$H$5:$K$5</definedName>
    <definedName name="Q4_Score">'Dimension 1 - CVI'!$I$24</definedName>
    <definedName name="Q40_answers">QuestionList!$H$41:$K$41</definedName>
    <definedName name="Q40_Score">'Dimension 2 - SGRM'!$I$57</definedName>
    <definedName name="Q41_answers">QuestionList!$H$42:$K$42</definedName>
    <definedName name="Q41_Score">'Dimension 2 - SGRM'!$I$66</definedName>
    <definedName name="Q42_answers">QuestionList!$H$43:$K$43</definedName>
    <definedName name="Q42_Score">'Dimension 2 - SGRM'!$I$71</definedName>
    <definedName name="Q43_answers">QuestionList!$H$44:$K$44</definedName>
    <definedName name="Q43_Score">'Dimension 2 - SGRM'!$I$76</definedName>
    <definedName name="Q44_answers">QuestionList!$H$45:$K$45</definedName>
    <definedName name="Q44_Score">'Dimension 2 - SGRM'!$I$81</definedName>
    <definedName name="Q45_answers">QuestionList!$H$46:$K$46</definedName>
    <definedName name="Q45_Score">'Dimension 2 - SGRM'!$I$86</definedName>
    <definedName name="Q46_answers">QuestionList!$H$47:$K$47</definedName>
    <definedName name="Q46_Score">'Dimension 2 - SGRM'!$I$94</definedName>
    <definedName name="Q47_answers">QuestionList!$H$48:$K$48</definedName>
    <definedName name="Q47_Score">'Dimension 2 - SGRM'!$I$99</definedName>
    <definedName name="Q48_answers">QuestionList!$H$49:$K$49</definedName>
    <definedName name="Q48_Score">'Dimension 2 - SGRM'!$I$104</definedName>
    <definedName name="Q49_answers">QuestionList!$H$50:$K$50</definedName>
    <definedName name="Q49_Score">'Dimension 2 - SGRM'!$I$109</definedName>
    <definedName name="Q5_answers">QuestionList!$H$6:$K$6</definedName>
    <definedName name="Q5_Score">'Dimension 1 - CVI'!$I$29</definedName>
    <definedName name="Q50_answers">QuestionList!$H$51:$K$51</definedName>
    <definedName name="Q50_Score">'Dimension 2 - SGRM'!$I$114</definedName>
    <definedName name="Q51_answers">QuestionList!$H$52:$K$52</definedName>
    <definedName name="Q51_Score">'Dimension 2 - SGRM'!$I$123</definedName>
    <definedName name="Q52_answers">QuestionList!$H$53:$K$53</definedName>
    <definedName name="Q52_Score">'Dimension 2 - SGRM'!$I$128</definedName>
    <definedName name="Q53_answers">QuestionList!$H$54:$K$54</definedName>
    <definedName name="Q53_Score">'Dimension 2 - SGRM'!$I$133</definedName>
    <definedName name="Q54_answers">QuestionList!$H$55:$K$55</definedName>
    <definedName name="Q54_Score">'Dimension 2 - SGRM'!$I$138</definedName>
    <definedName name="Q55_answers">QuestionList!$H$56:$K$56</definedName>
    <definedName name="Q55_Score">'Dimension 2 - SGRM'!$I$143</definedName>
    <definedName name="Q56_answers">QuestionList!$H$57:$K$57</definedName>
    <definedName name="Q56_Score">'Dimension 2 - SGRM'!$I$151</definedName>
    <definedName name="Q57_answers">QuestionList!$H$58:$K$58</definedName>
    <definedName name="Q57_Score">'Dimension 2 - SGRM'!$I$156</definedName>
    <definedName name="Q58_answers">QuestionList!$H$59:$K$59</definedName>
    <definedName name="Q58_Score">'Dimension 2 - SGRM'!$I$161</definedName>
    <definedName name="Q59_answers">QuestionList!$H$60:$K$60</definedName>
    <definedName name="Q59_Score">'Dimension 2 - SGRM'!$I$166</definedName>
    <definedName name="Q6_answers">QuestionList!$H$7:$K$7</definedName>
    <definedName name="Q6_Score">'Dimension 1 - CVI'!$I$37</definedName>
    <definedName name="Q60_answers">QuestionList!$H$61:$K$61</definedName>
    <definedName name="Q60_Score">'Dimension 2 - SGRM'!$I$171</definedName>
    <definedName name="Q61_answers">QuestionList!$H$62:$K$62</definedName>
    <definedName name="Q61_Score">'Dimension 3 - DPE'!$I$9</definedName>
    <definedName name="Q62_answers">QuestionList!$H$63:$K$63</definedName>
    <definedName name="Q62_Score">'Dimension 3 - DPE'!$I$14</definedName>
    <definedName name="Q63_answers">QuestionList!$H$64:$K$64</definedName>
    <definedName name="Q63_Score">'Dimension 3 - DPE'!$I$19</definedName>
    <definedName name="Q64_answers">QuestionList!$H$65:$K$65</definedName>
    <definedName name="Q64_Score">'Dimension 3 - DPE'!$I$24</definedName>
    <definedName name="Q65_answers">QuestionList!$H$66:$K$66</definedName>
    <definedName name="Q65_Score">'Dimension 3 - DPE'!$I$29</definedName>
    <definedName name="Q66_answers">QuestionList!$H$67:$K$67</definedName>
    <definedName name="Q66_Score">'Dimension 3 - DPE'!$I$37</definedName>
    <definedName name="Q67_answers">QuestionList!$H$68:$K$68</definedName>
    <definedName name="Q67_Score">'Dimension 3 - DPE'!$I$42</definedName>
    <definedName name="Q68_answers">QuestionList!$H$69:$K$69</definedName>
    <definedName name="Q68_Score">'Dimension 3 - DPE'!$I$47</definedName>
    <definedName name="Q69_answers">QuestionList!$H$70:$K$70</definedName>
    <definedName name="Q69_Score">'Dimension 3 - DPE'!$I$52</definedName>
    <definedName name="Q7_answers">QuestionList!$H$8:$K$8</definedName>
    <definedName name="Q7_Score">'Dimension 1 - CVI'!$I$42</definedName>
    <definedName name="Q70_answers">QuestionList!$H$71:$K$71</definedName>
    <definedName name="Q70_Score">'Dimension 3 - DPE'!$I$57</definedName>
    <definedName name="Q71_answers">QuestionList!$H$72:$K$72</definedName>
    <definedName name="Q71_Score">'Dimension 3 - DPE'!$I$66</definedName>
    <definedName name="Q72_answers">QuestionList!$H$73:$K$73</definedName>
    <definedName name="Q72_Score">'Dimension 3 - DPE'!$I$71</definedName>
    <definedName name="Q73_answers">QuestionList!$H$74:$K$74</definedName>
    <definedName name="Q73_Score">'Dimension 3 - DPE'!$I$76</definedName>
    <definedName name="Q74_answers">QuestionList!$H$75:$K$75</definedName>
    <definedName name="Q74_Score">'Dimension 3 - DPE'!$I$81</definedName>
    <definedName name="Q75_answers">QuestionList!$H$76:$K$76</definedName>
    <definedName name="Q75_Score">'Dimension 3 - DPE'!$I$86</definedName>
    <definedName name="Q76_answers">QuestionList!$H$77:$K$77</definedName>
    <definedName name="Q76_Score">'Dimension 3 - DPE'!$I$94</definedName>
    <definedName name="Q77_answers">QuestionList!$H$78:$K$78</definedName>
    <definedName name="Q77_Score">'Dimension 3 - DPE'!$I$99</definedName>
    <definedName name="Q78_answers">QuestionList!$H$79:$K$79</definedName>
    <definedName name="Q78_Score">'Dimension 3 - DPE'!$I$104</definedName>
    <definedName name="Q79_answers">QuestionList!$H$80:$K$80</definedName>
    <definedName name="Q79_Score">'Dimension 3 - DPE'!$I$109</definedName>
    <definedName name="Q8_answers">QuestionList!$H$9:$K$9</definedName>
    <definedName name="Q8_Score">'Dimension 1 - CVI'!$I$47</definedName>
    <definedName name="Q80_answers">QuestionList!$H$81:$K$81</definedName>
    <definedName name="Q80_Score">'Dimension 3 - DPE'!$I$114</definedName>
    <definedName name="Q81_answers">QuestionList!$H$82:$K$82</definedName>
    <definedName name="Q81_Score">'Dimension 3 - DPE'!$I$123</definedName>
    <definedName name="Q82_answers">QuestionList!$H$83:$K$83</definedName>
    <definedName name="Q82_Score">'Dimension 3 - DPE'!$I$128</definedName>
    <definedName name="Q83_answers">QuestionList!$H$84:$K$84</definedName>
    <definedName name="Q83_Score">'Dimension 3 - DPE'!$I$133</definedName>
    <definedName name="Q84_answers">QuestionList!$H$85:$K$85</definedName>
    <definedName name="Q84_Score">'Dimension 3 - DPE'!$I$138</definedName>
    <definedName name="Q85_answers">QuestionList!$H$86:$K$86</definedName>
    <definedName name="Q85_Score">'Dimension 3 - DPE'!$I$143</definedName>
    <definedName name="Q86_answers">QuestionList!$H$87:$K$87</definedName>
    <definedName name="Q86_Score">'Dimension 3 - DPE'!$I$151</definedName>
    <definedName name="Q87_answers">QuestionList!$H$88:$K$88</definedName>
    <definedName name="Q87_Score">'Dimension 3 - DPE'!$I$156</definedName>
    <definedName name="Q88_answers">QuestionList!$H$89:$K$89</definedName>
    <definedName name="Q88_Score">'Dimension 3 - DPE'!$I$161</definedName>
    <definedName name="Q89_answers">QuestionList!$H$90:$K$90</definedName>
    <definedName name="Q89_Score">'Dimension 3 - DPE'!$I$166</definedName>
    <definedName name="Q9_answers">QuestionList!$H$10:$K$10</definedName>
    <definedName name="Q9_Score">'Dimension 1 - CVI'!$I$52</definedName>
    <definedName name="Q90_answers">QuestionList!$H$91:$K$91</definedName>
    <definedName name="Q90_Score">'Dimension 3 - DPE'!$I$171</definedName>
    <definedName name="Q91_answers">QuestionList!$H$92:$K$92</definedName>
    <definedName name="Q91_Score">'Dimension 4 - ITR'!$I$9</definedName>
    <definedName name="Q92_answers">QuestionList!$H$93:$K$93</definedName>
    <definedName name="Q92_Score">'Dimension 4 - ITR'!$I$14</definedName>
    <definedName name="Q93_answers">QuestionList!$H$94:$K$94</definedName>
    <definedName name="Q93_Score">'Dimension 4 - ITR'!$I$19</definedName>
    <definedName name="Q94_answers">QuestionList!$H$95:$K$95</definedName>
    <definedName name="Q94_Score">'Dimension 4 - ITR'!$I$24</definedName>
    <definedName name="Q95_answers">QuestionList!$H$96:$K$96</definedName>
    <definedName name="Q95_Score">'Dimension 4 - ITR'!$I$29</definedName>
    <definedName name="Q96_answers">QuestionList!$H$97:$K$97</definedName>
    <definedName name="Q96_Score">'Dimension 4 - ITR'!$I$37</definedName>
    <definedName name="Q97_answers">QuestionList!$H$98:$K$98</definedName>
    <definedName name="Q97_Score">'Dimension 4 - ITR'!$I$42</definedName>
    <definedName name="Q98_answers">QuestionList!$H$99:$K$99</definedName>
    <definedName name="Q98_Score">'Dimension 4 - ITR'!$I$47</definedName>
    <definedName name="Q99_answers">QuestionList!$H$100:$K$100</definedName>
    <definedName name="Q99_Score">'Dimension 4 - ITR'!$I$52</definedName>
    <definedName name="QuestionList">QuestionList!$A$1:$M$121</definedName>
    <definedName name="Recommendations">Data!$AK$2:$AN$10</definedName>
    <definedName name="RegulatoryReqs">Data!$K$2:$K$5</definedName>
    <definedName name="RiskMatrix">Data!$M$2:$O$30</definedName>
    <definedName name="SGRM_1_Score">'Dimension 2 - SGRM'!$L$7</definedName>
    <definedName name="SGRM_2_Score">'Dimension 2 - SGRM'!$L$64</definedName>
    <definedName name="SGRM_3_Score">'Dimension 2 - SGRM'!$L$121</definedName>
    <definedName name="SGRM_Score">'Dimension 2 - SGRM'!$L$5</definedName>
    <definedName name="SGRM_Score_Adj">'Dimension 2 - SGRM'!$N$5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21" l="1"/>
  <c r="E12" i="20"/>
  <c r="E12" i="19" l="1"/>
  <c r="E12" i="3"/>
  <c r="I171" i="21"/>
  <c r="I165" i="21"/>
  <c r="I161" i="21"/>
  <c r="I156" i="21"/>
  <c r="I151" i="21"/>
  <c r="I143" i="21"/>
  <c r="I138" i="21"/>
  <c r="I133" i="21"/>
  <c r="I128" i="21"/>
  <c r="I123" i="21"/>
  <c r="I114" i="21"/>
  <c r="I109" i="21"/>
  <c r="I104" i="21"/>
  <c r="I99" i="21"/>
  <c r="I94" i="21"/>
  <c r="I86" i="21"/>
  <c r="I81" i="21"/>
  <c r="I76" i="21"/>
  <c r="I71" i="21"/>
  <c r="I66" i="21"/>
  <c r="I57" i="21"/>
  <c r="I52" i="21"/>
  <c r="I47" i="21"/>
  <c r="I42" i="21"/>
  <c r="I37" i="21"/>
  <c r="I29" i="21"/>
  <c r="I24" i="21"/>
  <c r="I19" i="21"/>
  <c r="I14" i="21"/>
  <c r="I9" i="21"/>
  <c r="I171" i="20"/>
  <c r="I166" i="20"/>
  <c r="I161" i="20"/>
  <c r="I156" i="20"/>
  <c r="I151" i="20"/>
  <c r="I143" i="20"/>
  <c r="I138" i="20"/>
  <c r="I133" i="20"/>
  <c r="I128" i="20"/>
  <c r="I123" i="20"/>
  <c r="I114" i="20"/>
  <c r="I109" i="20"/>
  <c r="I104" i="20"/>
  <c r="I99" i="20"/>
  <c r="I94" i="20"/>
  <c r="I86" i="20"/>
  <c r="I81" i="20"/>
  <c r="I76" i="20"/>
  <c r="I71" i="20"/>
  <c r="I66" i="20"/>
  <c r="I57" i="20"/>
  <c r="I52" i="20"/>
  <c r="I47" i="20"/>
  <c r="I42" i="20"/>
  <c r="I37" i="20"/>
  <c r="I29" i="20"/>
  <c r="I24" i="20"/>
  <c r="I19" i="20"/>
  <c r="I14" i="20"/>
  <c r="I9" i="20"/>
  <c r="I171" i="19"/>
  <c r="I166" i="19"/>
  <c r="I161" i="19"/>
  <c r="I156" i="19"/>
  <c r="I151" i="19"/>
  <c r="I143" i="19"/>
  <c r="I138" i="19"/>
  <c r="I133" i="19"/>
  <c r="I128" i="19"/>
  <c r="I123" i="19"/>
  <c r="I114" i="19"/>
  <c r="I109" i="19"/>
  <c r="I104" i="19"/>
  <c r="I99" i="19"/>
  <c r="I94" i="19"/>
  <c r="I86" i="19"/>
  <c r="I81" i="19"/>
  <c r="I76" i="19"/>
  <c r="I71" i="19"/>
  <c r="I66" i="19"/>
  <c r="I57" i="19"/>
  <c r="I52" i="19"/>
  <c r="I47" i="19"/>
  <c r="I42" i="19"/>
  <c r="I37" i="19"/>
  <c r="I29" i="19"/>
  <c r="I24" i="19"/>
  <c r="I19" i="19"/>
  <c r="I14" i="19"/>
  <c r="I9" i="19"/>
  <c r="I171" i="3"/>
  <c r="I166" i="3"/>
  <c r="I161" i="3"/>
  <c r="I156" i="3"/>
  <c r="I151" i="3"/>
  <c r="I143" i="3"/>
  <c r="I138" i="3"/>
  <c r="I133" i="3"/>
  <c r="I128" i="3"/>
  <c r="I123" i="3"/>
  <c r="I114" i="3"/>
  <c r="I109" i="3"/>
  <c r="I104" i="3"/>
  <c r="I99" i="3"/>
  <c r="I94" i="3"/>
  <c r="I86" i="3"/>
  <c r="I81" i="3"/>
  <c r="I76" i="3"/>
  <c r="I71" i="3"/>
  <c r="I66" i="3"/>
  <c r="I57" i="3"/>
  <c r="I52" i="3"/>
  <c r="I47" i="3"/>
  <c r="I42" i="3"/>
  <c r="I37" i="3"/>
  <c r="I14" i="3"/>
  <c r="I19" i="3"/>
  <c r="I24" i="3"/>
  <c r="I29" i="3"/>
  <c r="I9" i="3"/>
  <c r="G64" i="13"/>
  <c r="G63" i="13"/>
  <c r="E62" i="13"/>
  <c r="BG84" i="1"/>
  <c r="BG83" i="1"/>
  <c r="BG82" i="1"/>
  <c r="BG81" i="1"/>
  <c r="BG80" i="1"/>
  <c r="BG79" i="1"/>
  <c r="BG78" i="1"/>
  <c r="BG77" i="1"/>
  <c r="BG105" i="1"/>
  <c r="BG104" i="1"/>
  <c r="BG103" i="1"/>
  <c r="BG102" i="1"/>
  <c r="BG101" i="1"/>
  <c r="BG100" i="1"/>
  <c r="BG88" i="1"/>
  <c r="BG87" i="1"/>
  <c r="BG75" i="1"/>
  <c r="BG74" i="1"/>
  <c r="BG73" i="1"/>
  <c r="BG72" i="1"/>
  <c r="BG71" i="1"/>
  <c r="BG70" i="1"/>
  <c r="BG69" i="1"/>
  <c r="BG68" i="1"/>
  <c r="BG67" i="1"/>
  <c r="BG66" i="1"/>
  <c r="BG65" i="1"/>
  <c r="BG64" i="1"/>
  <c r="BG63" i="1"/>
  <c r="BG106" i="1"/>
  <c r="BG107" i="1"/>
  <c r="BG108" i="1"/>
  <c r="BG99" i="1"/>
  <c r="BG98" i="1"/>
  <c r="BG97" i="1"/>
  <c r="BG96" i="1"/>
  <c r="BG95" i="1"/>
  <c r="BG94" i="1"/>
  <c r="BG93" i="1"/>
  <c r="BG92" i="1"/>
  <c r="BG91" i="1"/>
  <c r="BG90" i="1"/>
  <c r="BG89" i="1"/>
  <c r="BG86" i="1"/>
  <c r="BG85" i="1"/>
  <c r="BG76" i="1"/>
  <c r="BG62" i="1"/>
  <c r="BG61" i="1"/>
  <c r="BG60" i="1"/>
  <c r="BG59" i="1"/>
  <c r="BG58" i="1"/>
  <c r="BG57" i="1"/>
  <c r="BG56" i="1"/>
  <c r="BG55" i="1"/>
  <c r="BG54" i="1"/>
  <c r="BG53" i="1"/>
  <c r="BG52" i="1"/>
  <c r="BG51" i="1"/>
  <c r="BG50" i="1"/>
  <c r="BG49" i="1"/>
  <c r="BG48" i="1"/>
  <c r="BG47" i="1"/>
  <c r="BG46" i="1"/>
  <c r="BG45" i="1"/>
  <c r="BG44" i="1"/>
  <c r="BG43" i="1"/>
  <c r="BG42" i="1"/>
  <c r="BG41" i="1"/>
  <c r="BG40" i="1"/>
  <c r="BG39" i="1"/>
  <c r="BG38" i="1"/>
  <c r="BG37" i="1"/>
  <c r="BG36" i="1"/>
  <c r="BG35" i="1"/>
  <c r="BG34" i="1"/>
  <c r="BG33" i="1"/>
  <c r="BG32" i="1"/>
  <c r="BG31" i="1"/>
  <c r="BG30" i="1"/>
  <c r="BG29" i="1"/>
  <c r="BG28" i="1"/>
  <c r="BG27" i="1"/>
  <c r="BG26" i="1"/>
  <c r="BG25" i="1"/>
  <c r="BG24" i="1"/>
  <c r="BG23" i="1"/>
  <c r="BG22" i="1"/>
  <c r="BG21" i="1"/>
  <c r="BG20" i="1"/>
  <c r="BG19" i="1"/>
  <c r="BG18" i="1"/>
  <c r="BG17" i="1"/>
  <c r="BG16" i="1"/>
  <c r="BG15" i="1"/>
  <c r="BG14" i="1"/>
  <c r="BG13" i="1"/>
  <c r="BG12" i="1"/>
  <c r="BG11" i="1"/>
  <c r="BG10" i="1"/>
  <c r="BG9" i="1"/>
  <c r="BG8" i="1"/>
  <c r="BG7" i="1"/>
  <c r="BG6" i="1"/>
  <c r="BG5" i="1"/>
  <c r="BG4" i="1"/>
  <c r="BG3" i="1"/>
  <c r="L9" i="13"/>
  <c r="J9" i="13"/>
  <c r="H9" i="13"/>
  <c r="F9" i="13"/>
  <c r="AS122" i="1"/>
  <c r="AS121" i="1"/>
  <c r="AT121" i="1" s="1"/>
  <c r="AS120" i="1"/>
  <c r="AS119" i="1"/>
  <c r="AS118" i="1"/>
  <c r="AS117" i="1"/>
  <c r="AS116" i="1"/>
  <c r="AT116" i="1" s="1"/>
  <c r="AS115" i="1"/>
  <c r="AT115" i="1" s="1"/>
  <c r="AS114" i="1"/>
  <c r="AS113" i="1"/>
  <c r="AT113" i="1" s="1"/>
  <c r="AS112" i="1"/>
  <c r="AS111" i="1"/>
  <c r="AS110" i="1"/>
  <c r="AS109" i="1"/>
  <c r="AT109" i="1" s="1"/>
  <c r="AS108" i="1"/>
  <c r="AT108" i="1" s="1"/>
  <c r="AS107" i="1"/>
  <c r="AT107" i="1" s="1"/>
  <c r="AS106" i="1"/>
  <c r="AS105" i="1"/>
  <c r="AT105" i="1" s="1"/>
  <c r="AS104" i="1"/>
  <c r="AT104" i="1" s="1"/>
  <c r="AS103" i="1"/>
  <c r="AS102" i="1"/>
  <c r="AS101" i="1"/>
  <c r="AS100" i="1"/>
  <c r="AT100" i="1" s="1"/>
  <c r="AS99" i="1"/>
  <c r="AT99" i="1" s="1"/>
  <c r="AS98" i="1"/>
  <c r="AS97" i="1"/>
  <c r="AT97" i="1" s="1"/>
  <c r="AS96" i="1"/>
  <c r="AS95" i="1"/>
  <c r="AS94" i="1"/>
  <c r="AS93" i="1"/>
  <c r="AT93" i="1" s="1"/>
  <c r="AS92" i="1"/>
  <c r="AT92" i="1" s="1"/>
  <c r="AS91" i="1"/>
  <c r="AT91" i="1" s="1"/>
  <c r="AS90" i="1"/>
  <c r="AS89" i="1"/>
  <c r="AT89" i="1" s="1"/>
  <c r="AS88" i="1"/>
  <c r="AS87" i="1"/>
  <c r="AS86" i="1"/>
  <c r="AS85" i="1"/>
  <c r="AS84" i="1"/>
  <c r="AT84" i="1" s="1"/>
  <c r="AS83" i="1"/>
  <c r="AT83" i="1" s="1"/>
  <c r="AS82" i="1"/>
  <c r="AS81" i="1"/>
  <c r="AT81" i="1" s="1"/>
  <c r="AS80" i="1"/>
  <c r="AS79" i="1"/>
  <c r="AS78" i="1"/>
  <c r="AS77" i="1"/>
  <c r="AT77" i="1" s="1"/>
  <c r="AS76" i="1"/>
  <c r="AT76" i="1" s="1"/>
  <c r="AS75" i="1"/>
  <c r="AT75" i="1" s="1"/>
  <c r="AS74" i="1"/>
  <c r="AS73" i="1"/>
  <c r="AT73" i="1" s="1"/>
  <c r="AS72" i="1"/>
  <c r="AS71" i="1"/>
  <c r="AS70" i="1"/>
  <c r="AS69" i="1"/>
  <c r="AS68" i="1"/>
  <c r="AT68" i="1" s="1"/>
  <c r="AS67" i="1"/>
  <c r="AT67" i="1" s="1"/>
  <c r="AS66" i="1"/>
  <c r="AS65" i="1"/>
  <c r="AT65" i="1" s="1"/>
  <c r="AS64" i="1"/>
  <c r="AS63" i="1"/>
  <c r="AS62" i="1"/>
  <c r="AS61" i="1"/>
  <c r="AT61" i="1" s="1"/>
  <c r="AS60" i="1"/>
  <c r="AT60" i="1" s="1"/>
  <c r="AS59" i="1"/>
  <c r="AT59" i="1" s="1"/>
  <c r="AS58" i="1"/>
  <c r="AS57" i="1"/>
  <c r="AT57" i="1" s="1"/>
  <c r="AS56" i="1"/>
  <c r="AT56" i="1" s="1"/>
  <c r="AS55" i="1"/>
  <c r="AT55" i="1" s="1"/>
  <c r="AS54" i="1"/>
  <c r="AS53" i="1"/>
  <c r="AS52" i="1"/>
  <c r="AT52" i="1" s="1"/>
  <c r="AS51" i="1"/>
  <c r="AT51" i="1" s="1"/>
  <c r="AS50" i="1"/>
  <c r="AS49" i="1"/>
  <c r="AT49" i="1" s="1"/>
  <c r="AS48" i="1"/>
  <c r="AS47" i="1"/>
  <c r="AS46" i="1"/>
  <c r="AS45" i="1"/>
  <c r="AT45" i="1" s="1"/>
  <c r="AS44" i="1"/>
  <c r="AT44" i="1" s="1"/>
  <c r="AS43" i="1"/>
  <c r="AT43" i="1" s="1"/>
  <c r="AS42" i="1"/>
  <c r="AS41" i="1"/>
  <c r="AT41" i="1" s="1"/>
  <c r="AS40" i="1"/>
  <c r="AT40" i="1" s="1"/>
  <c r="AS39" i="1"/>
  <c r="AS38" i="1"/>
  <c r="AS37" i="1"/>
  <c r="AS36" i="1"/>
  <c r="AT36" i="1" s="1"/>
  <c r="AS35" i="1"/>
  <c r="AT35" i="1" s="1"/>
  <c r="AS34" i="1"/>
  <c r="AS33" i="1"/>
  <c r="AT33" i="1" s="1"/>
  <c r="AS32" i="1"/>
  <c r="AS31" i="1"/>
  <c r="AS30" i="1"/>
  <c r="AS29" i="1"/>
  <c r="AT29" i="1" s="1"/>
  <c r="AS28" i="1"/>
  <c r="AT28" i="1" s="1"/>
  <c r="AS27" i="1"/>
  <c r="AT27" i="1" s="1"/>
  <c r="AS26" i="1"/>
  <c r="AS25" i="1"/>
  <c r="AT25" i="1" s="1"/>
  <c r="AS24" i="1"/>
  <c r="AS23" i="1"/>
  <c r="AS22" i="1"/>
  <c r="AS21" i="1"/>
  <c r="AT21" i="1" s="1"/>
  <c r="AS20" i="1"/>
  <c r="AT20" i="1" s="1"/>
  <c r="AS19" i="1"/>
  <c r="AS18" i="1"/>
  <c r="AS17" i="1"/>
  <c r="AT17" i="1" s="1"/>
  <c r="AS16" i="1"/>
  <c r="AT16" i="1" s="1"/>
  <c r="AS15" i="1"/>
  <c r="AT15" i="1" s="1"/>
  <c r="AS14" i="1"/>
  <c r="AS13" i="1"/>
  <c r="AT13" i="1" s="1"/>
  <c r="AS12" i="1"/>
  <c r="AS11" i="1"/>
  <c r="AT11" i="1" s="1"/>
  <c r="AS10" i="1"/>
  <c r="AS9" i="1"/>
  <c r="AT9" i="1" s="1"/>
  <c r="AS8" i="1"/>
  <c r="AS7" i="1"/>
  <c r="AS6" i="1"/>
  <c r="AS5" i="1"/>
  <c r="AT5" i="1" s="1"/>
  <c r="AS4" i="1"/>
  <c r="AT4" i="1" s="1"/>
  <c r="AS3" i="1"/>
  <c r="AR122" i="1"/>
  <c r="AR121" i="1"/>
  <c r="AR120" i="1"/>
  <c r="AR119" i="1"/>
  <c r="AR118" i="1"/>
  <c r="AR117" i="1"/>
  <c r="AR116" i="1"/>
  <c r="AR115" i="1"/>
  <c r="AR114" i="1"/>
  <c r="AR113" i="1"/>
  <c r="AR112" i="1"/>
  <c r="AR111" i="1"/>
  <c r="AR110" i="1"/>
  <c r="AR109" i="1"/>
  <c r="AR108" i="1"/>
  <c r="AR107" i="1"/>
  <c r="AR106" i="1"/>
  <c r="AR105" i="1"/>
  <c r="AR104" i="1"/>
  <c r="AR103" i="1"/>
  <c r="AR102" i="1"/>
  <c r="AR101" i="1"/>
  <c r="AR100" i="1"/>
  <c r="AR99" i="1"/>
  <c r="AR98" i="1"/>
  <c r="AR97" i="1"/>
  <c r="AR96" i="1"/>
  <c r="AR95" i="1"/>
  <c r="AR94" i="1"/>
  <c r="AR93" i="1"/>
  <c r="AR92" i="1"/>
  <c r="AR91" i="1"/>
  <c r="AR90" i="1"/>
  <c r="AR89" i="1"/>
  <c r="AR88" i="1"/>
  <c r="AR87" i="1"/>
  <c r="AR86" i="1"/>
  <c r="AR85" i="1"/>
  <c r="AR84" i="1"/>
  <c r="AR83" i="1"/>
  <c r="AR82" i="1"/>
  <c r="AR81" i="1"/>
  <c r="AR80" i="1"/>
  <c r="AR79" i="1"/>
  <c r="AR78" i="1"/>
  <c r="AR77" i="1"/>
  <c r="AR76" i="1"/>
  <c r="AR75" i="1"/>
  <c r="AR74" i="1"/>
  <c r="AR73" i="1"/>
  <c r="AR72" i="1"/>
  <c r="AR71" i="1"/>
  <c r="AR70" i="1"/>
  <c r="AR69" i="1"/>
  <c r="AR68" i="1"/>
  <c r="AR67" i="1"/>
  <c r="AR66" i="1"/>
  <c r="AR65" i="1"/>
  <c r="AR64" i="1"/>
  <c r="AR63" i="1"/>
  <c r="AR62" i="1"/>
  <c r="AR61" i="1"/>
  <c r="AR60" i="1"/>
  <c r="AR59" i="1"/>
  <c r="AR58" i="1"/>
  <c r="AR57" i="1"/>
  <c r="AR56" i="1"/>
  <c r="AR55" i="1"/>
  <c r="AR54" i="1"/>
  <c r="AR53" i="1"/>
  <c r="AR52" i="1"/>
  <c r="AR51" i="1"/>
  <c r="AR50" i="1"/>
  <c r="AR49" i="1"/>
  <c r="AR48" i="1"/>
  <c r="AR47" i="1"/>
  <c r="AR46" i="1"/>
  <c r="AR45" i="1"/>
  <c r="AR44" i="1"/>
  <c r="AR43" i="1"/>
  <c r="AR42" i="1"/>
  <c r="AR41" i="1"/>
  <c r="AR40" i="1"/>
  <c r="AR39" i="1"/>
  <c r="AR38" i="1"/>
  <c r="AR37" i="1"/>
  <c r="AR36" i="1"/>
  <c r="AR35" i="1"/>
  <c r="AR34" i="1"/>
  <c r="AR33" i="1"/>
  <c r="AR32" i="1"/>
  <c r="AR31" i="1"/>
  <c r="AR30" i="1"/>
  <c r="AR29" i="1"/>
  <c r="AR28" i="1"/>
  <c r="AR27" i="1"/>
  <c r="AR26" i="1"/>
  <c r="AR25" i="1"/>
  <c r="AR24" i="1"/>
  <c r="AR23" i="1"/>
  <c r="AR22" i="1"/>
  <c r="AR21" i="1"/>
  <c r="AR20" i="1"/>
  <c r="AR19" i="1"/>
  <c r="AR18" i="1"/>
  <c r="AR17" i="1"/>
  <c r="AR16" i="1"/>
  <c r="AR15" i="1"/>
  <c r="AR14" i="1"/>
  <c r="AR13" i="1"/>
  <c r="AR12" i="1"/>
  <c r="AR11" i="1"/>
  <c r="AR10" i="1"/>
  <c r="AR9" i="1"/>
  <c r="AR8" i="1"/>
  <c r="AR7" i="1"/>
  <c r="AR6" i="1"/>
  <c r="AR5" i="1"/>
  <c r="AR4" i="1"/>
  <c r="AR3" i="1"/>
  <c r="A64" i="13"/>
  <c r="AX962" i="1"/>
  <c r="AX961" i="1"/>
  <c r="AX960" i="1"/>
  <c r="AX959" i="1"/>
  <c r="AX958" i="1"/>
  <c r="AX957" i="1"/>
  <c r="AX956" i="1"/>
  <c r="AX955" i="1"/>
  <c r="AX954" i="1"/>
  <c r="AX953" i="1"/>
  <c r="AX952" i="1"/>
  <c r="AX951" i="1"/>
  <c r="AX950" i="1"/>
  <c r="AX949" i="1"/>
  <c r="AX948" i="1"/>
  <c r="AX947" i="1"/>
  <c r="AX946" i="1"/>
  <c r="AX945" i="1"/>
  <c r="AX944" i="1"/>
  <c r="AX943" i="1"/>
  <c r="AX942" i="1"/>
  <c r="AX941" i="1"/>
  <c r="AX940" i="1"/>
  <c r="AX939" i="1"/>
  <c r="AX938" i="1"/>
  <c r="AX937" i="1"/>
  <c r="AX936" i="1"/>
  <c r="AX935" i="1"/>
  <c r="AX934" i="1"/>
  <c r="AX933" i="1"/>
  <c r="AX932" i="1"/>
  <c r="AX931" i="1"/>
  <c r="AX930" i="1"/>
  <c r="AX929" i="1"/>
  <c r="AX928" i="1"/>
  <c r="AX927" i="1"/>
  <c r="AX926" i="1"/>
  <c r="AX925" i="1"/>
  <c r="AX924" i="1"/>
  <c r="AX923" i="1"/>
  <c r="AX922" i="1"/>
  <c r="AX921" i="1"/>
  <c r="AX920" i="1"/>
  <c r="AX919" i="1"/>
  <c r="AX918" i="1"/>
  <c r="AX917" i="1"/>
  <c r="AX916" i="1"/>
  <c r="AX915" i="1"/>
  <c r="AX914" i="1"/>
  <c r="AX913" i="1"/>
  <c r="AX912" i="1"/>
  <c r="AX911" i="1"/>
  <c r="AX910" i="1"/>
  <c r="AX909" i="1"/>
  <c r="AX908" i="1"/>
  <c r="AX907" i="1"/>
  <c r="AX906" i="1"/>
  <c r="AX905" i="1"/>
  <c r="AX904" i="1"/>
  <c r="AX903" i="1"/>
  <c r="AX902" i="1"/>
  <c r="AX901" i="1"/>
  <c r="AX900" i="1"/>
  <c r="AX899" i="1"/>
  <c r="AX898" i="1"/>
  <c r="AX897" i="1"/>
  <c r="AX896" i="1"/>
  <c r="AX895" i="1"/>
  <c r="AX894" i="1"/>
  <c r="AX893" i="1"/>
  <c r="AX892" i="1"/>
  <c r="AX891" i="1"/>
  <c r="AX890" i="1"/>
  <c r="AX889" i="1"/>
  <c r="AX888" i="1"/>
  <c r="AX887" i="1"/>
  <c r="AX886" i="1"/>
  <c r="AX885" i="1"/>
  <c r="AX884" i="1"/>
  <c r="AX883" i="1"/>
  <c r="AX882" i="1"/>
  <c r="AX881" i="1"/>
  <c r="AX880" i="1"/>
  <c r="AX879" i="1"/>
  <c r="AX878" i="1"/>
  <c r="AX877" i="1"/>
  <c r="AX876" i="1"/>
  <c r="AX875" i="1"/>
  <c r="AX874" i="1"/>
  <c r="AX873" i="1"/>
  <c r="AX872" i="1"/>
  <c r="AX871" i="1"/>
  <c r="AX870" i="1"/>
  <c r="AX869" i="1"/>
  <c r="AX868" i="1"/>
  <c r="AX867" i="1"/>
  <c r="AX866" i="1"/>
  <c r="AX865" i="1"/>
  <c r="AX864" i="1"/>
  <c r="AX863" i="1"/>
  <c r="AX862" i="1"/>
  <c r="AX861" i="1"/>
  <c r="AX860" i="1"/>
  <c r="AX859" i="1"/>
  <c r="AX858" i="1"/>
  <c r="AX857" i="1"/>
  <c r="AX856" i="1"/>
  <c r="AX855" i="1"/>
  <c r="AX854" i="1"/>
  <c r="AX853" i="1"/>
  <c r="AX852" i="1"/>
  <c r="AX851" i="1"/>
  <c r="AX850" i="1"/>
  <c r="AX849" i="1"/>
  <c r="AX848" i="1"/>
  <c r="AX847" i="1"/>
  <c r="AX846" i="1"/>
  <c r="AX845" i="1"/>
  <c r="AX844" i="1"/>
  <c r="AX843" i="1"/>
  <c r="AX842" i="1"/>
  <c r="AX841" i="1"/>
  <c r="AX840" i="1"/>
  <c r="AX839" i="1"/>
  <c r="AX838" i="1"/>
  <c r="AX837" i="1"/>
  <c r="AX836" i="1"/>
  <c r="AX835" i="1"/>
  <c r="AX834" i="1"/>
  <c r="AX833" i="1"/>
  <c r="AX832" i="1"/>
  <c r="AX831" i="1"/>
  <c r="AX830" i="1"/>
  <c r="AX829" i="1"/>
  <c r="AX828" i="1"/>
  <c r="AX827" i="1"/>
  <c r="AX826" i="1"/>
  <c r="AX825" i="1"/>
  <c r="AX824" i="1"/>
  <c r="AX823" i="1"/>
  <c r="AX822" i="1"/>
  <c r="AX821" i="1"/>
  <c r="AX820" i="1"/>
  <c r="AX819" i="1"/>
  <c r="AX818" i="1"/>
  <c r="AX817" i="1"/>
  <c r="AX816" i="1"/>
  <c r="AX815" i="1"/>
  <c r="AX814" i="1"/>
  <c r="AX813" i="1"/>
  <c r="AX812" i="1"/>
  <c r="AX811" i="1"/>
  <c r="AX810" i="1"/>
  <c r="AX809" i="1"/>
  <c r="AX808" i="1"/>
  <c r="AX807" i="1"/>
  <c r="AX806" i="1"/>
  <c r="AX805" i="1"/>
  <c r="AX804" i="1"/>
  <c r="AX803" i="1"/>
  <c r="AX802" i="1"/>
  <c r="AX801" i="1"/>
  <c r="AX800" i="1"/>
  <c r="AX799" i="1"/>
  <c r="AX798" i="1"/>
  <c r="AX797" i="1"/>
  <c r="AX796" i="1"/>
  <c r="AX795" i="1"/>
  <c r="AX794" i="1"/>
  <c r="AX793" i="1"/>
  <c r="AX792" i="1"/>
  <c r="AX791" i="1"/>
  <c r="AX790" i="1"/>
  <c r="AX789" i="1"/>
  <c r="AX788" i="1"/>
  <c r="AX787" i="1"/>
  <c r="AX786" i="1"/>
  <c r="AX785" i="1"/>
  <c r="AX784" i="1"/>
  <c r="AX783" i="1"/>
  <c r="AX782" i="1"/>
  <c r="AX781" i="1"/>
  <c r="AX780" i="1"/>
  <c r="AX779" i="1"/>
  <c r="AX778" i="1"/>
  <c r="AX777" i="1"/>
  <c r="AX776" i="1"/>
  <c r="AX775" i="1"/>
  <c r="AX774" i="1"/>
  <c r="AX773" i="1"/>
  <c r="AX772" i="1"/>
  <c r="AX771" i="1"/>
  <c r="AX770" i="1"/>
  <c r="AX769" i="1"/>
  <c r="AX768" i="1"/>
  <c r="AX767" i="1"/>
  <c r="AX766" i="1"/>
  <c r="AX765" i="1"/>
  <c r="AX764" i="1"/>
  <c r="AX763" i="1"/>
  <c r="AX762" i="1"/>
  <c r="AX761" i="1"/>
  <c r="AX760" i="1"/>
  <c r="AX759" i="1"/>
  <c r="AX758" i="1"/>
  <c r="AX757" i="1"/>
  <c r="AX756" i="1"/>
  <c r="AX755" i="1"/>
  <c r="AX754" i="1"/>
  <c r="AX753" i="1"/>
  <c r="AX752" i="1"/>
  <c r="AX751" i="1"/>
  <c r="AX750" i="1"/>
  <c r="AX749" i="1"/>
  <c r="AX748" i="1"/>
  <c r="AX747" i="1"/>
  <c r="AX746" i="1"/>
  <c r="AX745" i="1"/>
  <c r="AX744" i="1"/>
  <c r="AX743" i="1"/>
  <c r="AX742" i="1"/>
  <c r="AX741" i="1"/>
  <c r="AX740" i="1"/>
  <c r="AX739" i="1"/>
  <c r="AX738" i="1"/>
  <c r="AX737" i="1"/>
  <c r="AX736" i="1"/>
  <c r="AX735" i="1"/>
  <c r="AX734" i="1"/>
  <c r="AX733" i="1"/>
  <c r="AX732" i="1"/>
  <c r="AX731" i="1"/>
  <c r="AX730" i="1"/>
  <c r="AX729" i="1"/>
  <c r="AX728" i="1"/>
  <c r="AX727" i="1"/>
  <c r="AX726" i="1"/>
  <c r="AX725" i="1"/>
  <c r="AX724" i="1"/>
  <c r="AX723" i="1"/>
  <c r="AX722" i="1"/>
  <c r="AX721" i="1"/>
  <c r="AX720" i="1"/>
  <c r="AX719" i="1"/>
  <c r="AX718" i="1"/>
  <c r="AX717" i="1"/>
  <c r="AX716" i="1"/>
  <c r="AX715" i="1"/>
  <c r="AX714" i="1"/>
  <c r="AX713" i="1"/>
  <c r="AX712" i="1"/>
  <c r="AX711" i="1"/>
  <c r="AX710" i="1"/>
  <c r="AX709" i="1"/>
  <c r="AX708" i="1"/>
  <c r="AX707" i="1"/>
  <c r="AX706" i="1"/>
  <c r="AX705" i="1"/>
  <c r="AX704" i="1"/>
  <c r="AX703" i="1"/>
  <c r="AX702" i="1"/>
  <c r="AX701" i="1"/>
  <c r="AX700" i="1"/>
  <c r="AX699" i="1"/>
  <c r="AX698" i="1"/>
  <c r="AX697" i="1"/>
  <c r="AX696" i="1"/>
  <c r="AX695" i="1"/>
  <c r="AX694" i="1"/>
  <c r="AX693" i="1"/>
  <c r="AX692" i="1"/>
  <c r="AX691" i="1"/>
  <c r="AX690" i="1"/>
  <c r="AX689" i="1"/>
  <c r="AX688" i="1"/>
  <c r="AX687" i="1"/>
  <c r="AX686" i="1"/>
  <c r="AX685" i="1"/>
  <c r="AX684" i="1"/>
  <c r="AX683" i="1"/>
  <c r="AX682" i="1"/>
  <c r="AX681" i="1"/>
  <c r="AX680" i="1"/>
  <c r="AX679" i="1"/>
  <c r="AX678" i="1"/>
  <c r="AX677" i="1"/>
  <c r="AX676" i="1"/>
  <c r="AX675" i="1"/>
  <c r="AX674" i="1"/>
  <c r="AX673" i="1"/>
  <c r="AX672" i="1"/>
  <c r="AX671" i="1"/>
  <c r="AX670" i="1"/>
  <c r="AX669" i="1"/>
  <c r="AX668" i="1"/>
  <c r="AX667" i="1"/>
  <c r="AX666" i="1"/>
  <c r="AX665" i="1"/>
  <c r="AX664" i="1"/>
  <c r="AX663" i="1"/>
  <c r="AX662" i="1"/>
  <c r="AX661" i="1"/>
  <c r="AX660" i="1"/>
  <c r="AX659" i="1"/>
  <c r="AX658" i="1"/>
  <c r="AX657" i="1"/>
  <c r="AX656" i="1"/>
  <c r="AX655" i="1"/>
  <c r="AX654" i="1"/>
  <c r="AX653" i="1"/>
  <c r="AX652" i="1"/>
  <c r="AX651" i="1"/>
  <c r="AX650" i="1"/>
  <c r="AX649" i="1"/>
  <c r="AX648" i="1"/>
  <c r="AX647" i="1"/>
  <c r="AX646" i="1"/>
  <c r="AX645" i="1"/>
  <c r="AX644" i="1"/>
  <c r="AX643" i="1"/>
  <c r="AX642" i="1"/>
  <c r="AX641" i="1"/>
  <c r="AX640" i="1"/>
  <c r="AX639" i="1"/>
  <c r="AX638" i="1"/>
  <c r="AX637" i="1"/>
  <c r="AX636" i="1"/>
  <c r="AX635" i="1"/>
  <c r="AX634" i="1"/>
  <c r="AX633" i="1"/>
  <c r="AX632" i="1"/>
  <c r="AX631" i="1"/>
  <c r="AX630" i="1"/>
  <c r="AX629" i="1"/>
  <c r="AX628" i="1"/>
  <c r="AX627" i="1"/>
  <c r="AX626" i="1"/>
  <c r="AX625" i="1"/>
  <c r="AX624" i="1"/>
  <c r="AX623" i="1"/>
  <c r="AX622" i="1"/>
  <c r="AX621" i="1"/>
  <c r="AX620" i="1"/>
  <c r="AX619" i="1"/>
  <c r="AX618" i="1"/>
  <c r="AX617" i="1"/>
  <c r="AX616" i="1"/>
  <c r="AX615" i="1"/>
  <c r="AX614" i="1"/>
  <c r="AX613" i="1"/>
  <c r="AX612" i="1"/>
  <c r="AX611" i="1"/>
  <c r="AX610" i="1"/>
  <c r="AX609" i="1"/>
  <c r="AX608" i="1"/>
  <c r="AX607" i="1"/>
  <c r="AX606" i="1"/>
  <c r="AX605" i="1"/>
  <c r="AX604" i="1"/>
  <c r="AX603" i="1"/>
  <c r="AX602" i="1"/>
  <c r="AX601" i="1"/>
  <c r="AX600" i="1"/>
  <c r="AX599" i="1"/>
  <c r="AX598" i="1"/>
  <c r="AX597" i="1"/>
  <c r="AX596" i="1"/>
  <c r="AX595" i="1"/>
  <c r="AX594" i="1"/>
  <c r="AX593" i="1"/>
  <c r="AX592" i="1"/>
  <c r="AX591" i="1"/>
  <c r="AX590" i="1"/>
  <c r="AX589" i="1"/>
  <c r="AX588" i="1"/>
  <c r="AX587" i="1"/>
  <c r="AX586" i="1"/>
  <c r="AX585" i="1"/>
  <c r="AX584" i="1"/>
  <c r="AX583" i="1"/>
  <c r="AX582" i="1"/>
  <c r="AX581" i="1"/>
  <c r="AX580" i="1"/>
  <c r="AX579" i="1"/>
  <c r="AX578" i="1"/>
  <c r="AX577" i="1"/>
  <c r="AX576" i="1"/>
  <c r="AX575" i="1"/>
  <c r="AX574" i="1"/>
  <c r="AX573" i="1"/>
  <c r="AX572" i="1"/>
  <c r="AX571" i="1"/>
  <c r="AX570" i="1"/>
  <c r="AX569" i="1"/>
  <c r="AX568" i="1"/>
  <c r="AX567" i="1"/>
  <c r="AX566" i="1"/>
  <c r="AX565" i="1"/>
  <c r="AX564" i="1"/>
  <c r="AX563" i="1"/>
  <c r="AX562" i="1"/>
  <c r="AX561" i="1"/>
  <c r="AX560" i="1"/>
  <c r="AX559" i="1"/>
  <c r="AX558" i="1"/>
  <c r="AX557" i="1"/>
  <c r="AX556" i="1"/>
  <c r="AX555" i="1"/>
  <c r="AX554" i="1"/>
  <c r="AX553" i="1"/>
  <c r="AX552" i="1"/>
  <c r="AX551" i="1"/>
  <c r="AX550" i="1"/>
  <c r="AX549" i="1"/>
  <c r="AX548" i="1"/>
  <c r="AX547" i="1"/>
  <c r="AX546" i="1"/>
  <c r="AX545" i="1"/>
  <c r="AX544" i="1"/>
  <c r="AX543" i="1"/>
  <c r="AX542" i="1"/>
  <c r="AX541" i="1"/>
  <c r="AX540" i="1"/>
  <c r="AX539" i="1"/>
  <c r="AX538" i="1"/>
  <c r="AX537" i="1"/>
  <c r="AX536" i="1"/>
  <c r="AX535" i="1"/>
  <c r="AX534" i="1"/>
  <c r="AX533" i="1"/>
  <c r="AX532" i="1"/>
  <c r="AX531" i="1"/>
  <c r="AX530" i="1"/>
  <c r="AX529" i="1"/>
  <c r="AX528" i="1"/>
  <c r="AX527" i="1"/>
  <c r="AX526" i="1"/>
  <c r="AX525" i="1"/>
  <c r="AX524" i="1"/>
  <c r="AX523" i="1"/>
  <c r="AX522" i="1"/>
  <c r="AX521" i="1"/>
  <c r="AX520" i="1"/>
  <c r="AX519" i="1"/>
  <c r="AX518" i="1"/>
  <c r="AX517" i="1"/>
  <c r="AX516" i="1"/>
  <c r="AX515" i="1"/>
  <c r="AX514" i="1"/>
  <c r="AX513" i="1"/>
  <c r="AX512" i="1"/>
  <c r="AX511" i="1"/>
  <c r="AX510" i="1"/>
  <c r="AX509" i="1"/>
  <c r="AX508" i="1"/>
  <c r="AX507" i="1"/>
  <c r="AX506" i="1"/>
  <c r="AX505" i="1"/>
  <c r="AX504" i="1"/>
  <c r="AX503" i="1"/>
  <c r="AX502" i="1"/>
  <c r="AX501" i="1"/>
  <c r="AX500" i="1"/>
  <c r="AX499" i="1"/>
  <c r="AX498" i="1"/>
  <c r="AX497" i="1"/>
  <c r="AX496" i="1"/>
  <c r="AX495" i="1"/>
  <c r="AX494" i="1"/>
  <c r="AX493" i="1"/>
  <c r="AX492" i="1"/>
  <c r="AX491" i="1"/>
  <c r="AX490" i="1"/>
  <c r="AX489" i="1"/>
  <c r="AX488" i="1"/>
  <c r="AX487" i="1"/>
  <c r="AX486" i="1"/>
  <c r="AX485" i="1"/>
  <c r="AX484" i="1"/>
  <c r="AX483" i="1"/>
  <c r="AX482" i="1"/>
  <c r="AX481" i="1"/>
  <c r="AX480" i="1"/>
  <c r="AX479" i="1"/>
  <c r="AX478" i="1"/>
  <c r="AX477" i="1"/>
  <c r="AX476" i="1"/>
  <c r="AX475" i="1"/>
  <c r="AX474" i="1"/>
  <c r="AX473" i="1"/>
  <c r="AX472" i="1"/>
  <c r="AX471" i="1"/>
  <c r="AX470" i="1"/>
  <c r="AX469" i="1"/>
  <c r="AX468" i="1"/>
  <c r="AX467" i="1"/>
  <c r="AX466" i="1"/>
  <c r="AX465" i="1"/>
  <c r="AX464" i="1"/>
  <c r="AX463" i="1"/>
  <c r="AX462" i="1"/>
  <c r="AX461" i="1"/>
  <c r="AX460" i="1"/>
  <c r="AX459" i="1"/>
  <c r="AX458" i="1"/>
  <c r="AX457" i="1"/>
  <c r="AX456" i="1"/>
  <c r="AX455" i="1"/>
  <c r="AX454" i="1"/>
  <c r="AX453" i="1"/>
  <c r="AX452" i="1"/>
  <c r="AX451" i="1"/>
  <c r="AX450" i="1"/>
  <c r="AX449" i="1"/>
  <c r="AX448" i="1"/>
  <c r="AX447" i="1"/>
  <c r="AX446" i="1"/>
  <c r="AX445" i="1"/>
  <c r="AX444" i="1"/>
  <c r="AX443" i="1"/>
  <c r="AX442" i="1"/>
  <c r="AX441" i="1"/>
  <c r="AX440" i="1"/>
  <c r="AX439" i="1"/>
  <c r="AX438" i="1"/>
  <c r="AX437" i="1"/>
  <c r="AX436" i="1"/>
  <c r="AX435" i="1"/>
  <c r="AX434" i="1"/>
  <c r="AX433" i="1"/>
  <c r="AX432" i="1"/>
  <c r="AX431" i="1"/>
  <c r="AX430" i="1"/>
  <c r="AX429" i="1"/>
  <c r="AX428" i="1"/>
  <c r="AX427" i="1"/>
  <c r="AX426" i="1"/>
  <c r="AX425" i="1"/>
  <c r="AX424" i="1"/>
  <c r="AX423" i="1"/>
  <c r="AX422" i="1"/>
  <c r="AX421" i="1"/>
  <c r="AX420" i="1"/>
  <c r="AX419" i="1"/>
  <c r="AX418" i="1"/>
  <c r="AX417" i="1"/>
  <c r="AX416" i="1"/>
  <c r="AX415" i="1"/>
  <c r="AX414" i="1"/>
  <c r="AX413" i="1"/>
  <c r="AX412" i="1"/>
  <c r="AX411" i="1"/>
  <c r="AX410" i="1"/>
  <c r="AX409" i="1"/>
  <c r="AX408" i="1"/>
  <c r="AX407" i="1"/>
  <c r="AX406" i="1"/>
  <c r="AX405" i="1"/>
  <c r="AX404" i="1"/>
  <c r="AX403" i="1"/>
  <c r="AX402" i="1"/>
  <c r="AX401" i="1"/>
  <c r="AX400" i="1"/>
  <c r="AX399" i="1"/>
  <c r="AX398" i="1"/>
  <c r="AX397" i="1"/>
  <c r="AX396" i="1"/>
  <c r="AX395" i="1"/>
  <c r="AX394" i="1"/>
  <c r="AX393" i="1"/>
  <c r="AX392" i="1"/>
  <c r="AX391" i="1"/>
  <c r="AX390" i="1"/>
  <c r="AX389" i="1"/>
  <c r="AX388" i="1"/>
  <c r="AX387" i="1"/>
  <c r="AX386" i="1"/>
  <c r="AX385" i="1"/>
  <c r="AX384" i="1"/>
  <c r="AX383" i="1"/>
  <c r="AX382" i="1"/>
  <c r="AX381" i="1"/>
  <c r="AX380" i="1"/>
  <c r="AX379" i="1"/>
  <c r="AX378" i="1"/>
  <c r="AX377" i="1"/>
  <c r="AX376" i="1"/>
  <c r="AX375" i="1"/>
  <c r="AX374" i="1"/>
  <c r="AX373" i="1"/>
  <c r="AX372" i="1"/>
  <c r="AX371" i="1"/>
  <c r="AX370" i="1"/>
  <c r="AX369" i="1"/>
  <c r="AX368" i="1"/>
  <c r="AX367" i="1"/>
  <c r="AX366" i="1"/>
  <c r="AX365" i="1"/>
  <c r="AX364" i="1"/>
  <c r="AX363" i="1"/>
  <c r="AX362" i="1"/>
  <c r="AX361" i="1"/>
  <c r="AX360" i="1"/>
  <c r="AX359" i="1"/>
  <c r="AX358" i="1"/>
  <c r="AX357" i="1"/>
  <c r="AX356" i="1"/>
  <c r="AX355" i="1"/>
  <c r="AX354" i="1"/>
  <c r="AX353" i="1"/>
  <c r="AX352" i="1"/>
  <c r="AX351" i="1"/>
  <c r="AX350" i="1"/>
  <c r="AX349" i="1"/>
  <c r="AX348" i="1"/>
  <c r="AX347" i="1"/>
  <c r="AX346" i="1"/>
  <c r="AX345" i="1"/>
  <c r="AX344" i="1"/>
  <c r="AX343" i="1"/>
  <c r="AX342" i="1"/>
  <c r="AX341" i="1"/>
  <c r="AX340" i="1"/>
  <c r="AX339" i="1"/>
  <c r="AX338" i="1"/>
  <c r="AX337" i="1"/>
  <c r="AX336" i="1"/>
  <c r="AX335" i="1"/>
  <c r="AX334" i="1"/>
  <c r="AX333" i="1"/>
  <c r="AX332" i="1"/>
  <c r="AX331" i="1"/>
  <c r="AX330" i="1"/>
  <c r="AX329" i="1"/>
  <c r="AX328" i="1"/>
  <c r="AX327" i="1"/>
  <c r="AX326" i="1"/>
  <c r="AX325" i="1"/>
  <c r="AX324" i="1"/>
  <c r="AX323" i="1"/>
  <c r="AX322" i="1"/>
  <c r="AX321" i="1"/>
  <c r="AX320" i="1"/>
  <c r="AX319" i="1"/>
  <c r="AX318" i="1"/>
  <c r="AX317" i="1"/>
  <c r="AX316" i="1"/>
  <c r="AX315" i="1"/>
  <c r="AX314" i="1"/>
  <c r="AX313" i="1"/>
  <c r="AX312" i="1"/>
  <c r="AX311" i="1"/>
  <c r="AX310" i="1"/>
  <c r="AX309" i="1"/>
  <c r="AX308" i="1"/>
  <c r="AX307" i="1"/>
  <c r="AX306" i="1"/>
  <c r="AX305" i="1"/>
  <c r="AX304" i="1"/>
  <c r="AX303" i="1"/>
  <c r="AX302" i="1"/>
  <c r="AX301" i="1"/>
  <c r="AX300" i="1"/>
  <c r="AX299" i="1"/>
  <c r="AX298" i="1"/>
  <c r="AX297" i="1"/>
  <c r="AX296" i="1"/>
  <c r="AX295" i="1"/>
  <c r="AX294" i="1"/>
  <c r="AX293" i="1"/>
  <c r="AX292" i="1"/>
  <c r="AX291" i="1"/>
  <c r="AX290" i="1"/>
  <c r="AX289" i="1"/>
  <c r="AX288" i="1"/>
  <c r="AX287" i="1"/>
  <c r="AX286" i="1"/>
  <c r="AX285" i="1"/>
  <c r="AX284" i="1"/>
  <c r="AX283" i="1"/>
  <c r="AX282" i="1"/>
  <c r="AX281" i="1"/>
  <c r="AX280" i="1"/>
  <c r="AX279" i="1"/>
  <c r="AX278" i="1"/>
  <c r="AX277" i="1"/>
  <c r="AX276" i="1"/>
  <c r="AX275" i="1"/>
  <c r="AX274" i="1"/>
  <c r="AX273" i="1"/>
  <c r="AX272" i="1"/>
  <c r="AX271" i="1"/>
  <c r="AX270" i="1"/>
  <c r="AX269" i="1"/>
  <c r="AX268" i="1"/>
  <c r="AX267" i="1"/>
  <c r="AX266" i="1"/>
  <c r="AX265" i="1"/>
  <c r="AX264" i="1"/>
  <c r="AX263" i="1"/>
  <c r="AX262" i="1"/>
  <c r="AX261" i="1"/>
  <c r="AX260" i="1"/>
  <c r="AX259" i="1"/>
  <c r="AX258" i="1"/>
  <c r="AX257" i="1"/>
  <c r="AX256" i="1"/>
  <c r="AX255" i="1"/>
  <c r="AX254" i="1"/>
  <c r="AX253" i="1"/>
  <c r="AX252" i="1"/>
  <c r="AX251" i="1"/>
  <c r="AX250" i="1"/>
  <c r="AX249" i="1"/>
  <c r="AX248" i="1"/>
  <c r="AX247" i="1"/>
  <c r="AX246" i="1"/>
  <c r="AX245" i="1"/>
  <c r="AX244" i="1"/>
  <c r="AX243" i="1"/>
  <c r="AX242" i="1"/>
  <c r="AX241" i="1"/>
  <c r="AX240" i="1"/>
  <c r="AX239" i="1"/>
  <c r="AX238" i="1"/>
  <c r="AX237" i="1"/>
  <c r="AX236" i="1"/>
  <c r="AX235" i="1"/>
  <c r="AX234" i="1"/>
  <c r="AX233" i="1"/>
  <c r="AX232" i="1"/>
  <c r="AX231" i="1"/>
  <c r="AX230" i="1"/>
  <c r="AX229" i="1"/>
  <c r="AX228" i="1"/>
  <c r="AX227" i="1"/>
  <c r="AX226" i="1"/>
  <c r="AX225" i="1"/>
  <c r="AX224" i="1"/>
  <c r="AX223" i="1"/>
  <c r="AX222" i="1"/>
  <c r="AX221" i="1"/>
  <c r="AX220" i="1"/>
  <c r="AX219" i="1"/>
  <c r="AX218" i="1"/>
  <c r="AX217" i="1"/>
  <c r="AX216" i="1"/>
  <c r="AX215"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X179" i="1"/>
  <c r="AX178" i="1"/>
  <c r="AX177" i="1"/>
  <c r="AX176" i="1"/>
  <c r="AX175" i="1"/>
  <c r="AX174" i="1"/>
  <c r="AX173" i="1"/>
  <c r="AX172" i="1"/>
  <c r="AX171" i="1"/>
  <c r="AX170" i="1"/>
  <c r="AX169" i="1"/>
  <c r="AX168" i="1"/>
  <c r="AX167" i="1"/>
  <c r="AX166" i="1"/>
  <c r="AX165" i="1"/>
  <c r="AX164" i="1"/>
  <c r="AX163" i="1"/>
  <c r="AX162" i="1"/>
  <c r="AX161" i="1"/>
  <c r="AX160" i="1"/>
  <c r="AX159" i="1"/>
  <c r="AX158" i="1"/>
  <c r="AX157" i="1"/>
  <c r="AX156" i="1"/>
  <c r="AX155" i="1"/>
  <c r="AX154" i="1"/>
  <c r="AX153" i="1"/>
  <c r="AX152" i="1"/>
  <c r="AX151" i="1"/>
  <c r="AX150" i="1"/>
  <c r="AX149" i="1"/>
  <c r="AX148" i="1"/>
  <c r="AX147" i="1"/>
  <c r="AX146" i="1"/>
  <c r="AX145" i="1"/>
  <c r="AX144" i="1"/>
  <c r="AX143" i="1"/>
  <c r="AX142" i="1"/>
  <c r="AX141" i="1"/>
  <c r="AX140" i="1"/>
  <c r="AX139" i="1"/>
  <c r="AX138" i="1"/>
  <c r="AX137" i="1"/>
  <c r="AX136" i="1"/>
  <c r="AX135" i="1"/>
  <c r="AX134" i="1"/>
  <c r="AX133" i="1"/>
  <c r="AX132" i="1"/>
  <c r="AX131" i="1"/>
  <c r="AX130" i="1"/>
  <c r="AX129" i="1"/>
  <c r="AX128" i="1"/>
  <c r="AX127" i="1"/>
  <c r="AX126" i="1"/>
  <c r="AX125" i="1"/>
  <c r="AX124" i="1"/>
  <c r="AX123" i="1"/>
  <c r="AX122" i="1"/>
  <c r="AX121" i="1"/>
  <c r="AX120" i="1"/>
  <c r="AX119" i="1"/>
  <c r="AX118" i="1"/>
  <c r="AX117" i="1"/>
  <c r="AX116" i="1"/>
  <c r="AX115" i="1"/>
  <c r="AX114" i="1"/>
  <c r="AX113" i="1"/>
  <c r="AX112" i="1"/>
  <c r="AX111" i="1"/>
  <c r="AX110" i="1"/>
  <c r="AX109" i="1"/>
  <c r="AX108" i="1"/>
  <c r="AX107" i="1"/>
  <c r="AX106" i="1"/>
  <c r="AX105" i="1"/>
  <c r="AX104" i="1"/>
  <c r="AX103" i="1"/>
  <c r="AX102" i="1"/>
  <c r="AX101" i="1"/>
  <c r="AX100" i="1"/>
  <c r="AX99" i="1"/>
  <c r="AX98" i="1"/>
  <c r="AX97" i="1"/>
  <c r="AX96" i="1"/>
  <c r="AX95" i="1"/>
  <c r="AX94" i="1"/>
  <c r="AX93" i="1"/>
  <c r="AX92" i="1"/>
  <c r="AX91" i="1"/>
  <c r="AX90" i="1"/>
  <c r="AX89" i="1"/>
  <c r="AX88" i="1"/>
  <c r="AX87" i="1"/>
  <c r="AX86" i="1"/>
  <c r="AX85" i="1"/>
  <c r="AX84" i="1"/>
  <c r="AX83" i="1"/>
  <c r="AX82" i="1"/>
  <c r="AX81" i="1"/>
  <c r="AX80" i="1"/>
  <c r="AX79" i="1"/>
  <c r="AX78" i="1"/>
  <c r="AX77" i="1"/>
  <c r="AX76" i="1"/>
  <c r="AX75" i="1"/>
  <c r="AX74" i="1"/>
  <c r="AX73" i="1"/>
  <c r="AX72" i="1"/>
  <c r="AX71" i="1"/>
  <c r="AX70" i="1"/>
  <c r="AX69" i="1"/>
  <c r="AX68" i="1"/>
  <c r="AX67" i="1"/>
  <c r="AX66" i="1"/>
  <c r="AX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6" i="1"/>
  <c r="AX5" i="1"/>
  <c r="AX4" i="1"/>
  <c r="AX3" i="1"/>
  <c r="B6" i="13"/>
  <c r="CJ34" i="1"/>
  <c r="CJ33" i="1"/>
  <c r="CJ32" i="1"/>
  <c r="CJ31" i="1"/>
  <c r="CJ30" i="1"/>
  <c r="CJ29" i="1"/>
  <c r="CJ28" i="1"/>
  <c r="CJ26" i="1"/>
  <c r="CJ25" i="1"/>
  <c r="CJ24" i="1"/>
  <c r="CJ18" i="1"/>
  <c r="CJ17" i="1"/>
  <c r="CJ16" i="1"/>
  <c r="CJ27" i="1"/>
  <c r="CJ23" i="1"/>
  <c r="CJ22" i="1"/>
  <c r="CJ21" i="1"/>
  <c r="CJ20" i="1"/>
  <c r="CJ19" i="1"/>
  <c r="CJ15" i="1"/>
  <c r="CJ14" i="1"/>
  <c r="CJ13" i="1"/>
  <c r="CJ12" i="1"/>
  <c r="CJ11" i="1"/>
  <c r="CJ10" i="1"/>
  <c r="CJ9" i="1"/>
  <c r="CJ8" i="1"/>
  <c r="CJ7" i="1"/>
  <c r="CJ6" i="1"/>
  <c r="CJ5" i="1"/>
  <c r="CJ4" i="1"/>
  <c r="CJ3" i="1"/>
  <c r="E51" i="12"/>
  <c r="E50" i="12"/>
  <c r="W69" i="12"/>
  <c r="W68" i="12"/>
  <c r="W67" i="12"/>
  <c r="W66" i="12"/>
  <c r="W65" i="12"/>
  <c r="W64" i="12"/>
  <c r="W63" i="12"/>
  <c r="W62" i="12"/>
  <c r="W61" i="12"/>
  <c r="W60" i="12"/>
  <c r="W59" i="12"/>
  <c r="W58" i="12"/>
  <c r="H10" i="13" l="1"/>
  <c r="J10" i="13"/>
  <c r="L10" i="13"/>
  <c r="B64" i="13"/>
  <c r="AT7" i="1"/>
  <c r="AT71" i="1"/>
  <c r="AT119" i="1"/>
  <c r="AT8" i="1"/>
  <c r="AT23" i="1"/>
  <c r="AT72" i="1"/>
  <c r="AT87" i="1"/>
  <c r="AT120" i="1"/>
  <c r="AT12" i="1"/>
  <c r="AT24" i="1"/>
  <c r="AT39" i="1"/>
  <c r="AT88" i="1"/>
  <c r="AT103" i="1"/>
  <c r="AT3" i="1"/>
  <c r="B63" i="13" s="1"/>
  <c r="AT19" i="1"/>
  <c r="AT31" i="1"/>
  <c r="AT47" i="1"/>
  <c r="AT63" i="1"/>
  <c r="AT79" i="1"/>
  <c r="AT95" i="1"/>
  <c r="AT111" i="1"/>
  <c r="AT32" i="1"/>
  <c r="AT37" i="1"/>
  <c r="AT48" i="1"/>
  <c r="AT53" i="1"/>
  <c r="AT64" i="1"/>
  <c r="AT69" i="1"/>
  <c r="AT80" i="1"/>
  <c r="AT85" i="1"/>
  <c r="AT96" i="1"/>
  <c r="AT101" i="1"/>
  <c r="AT112" i="1"/>
  <c r="AT117" i="1"/>
  <c r="AT6" i="1"/>
  <c r="AT10" i="1"/>
  <c r="AT14" i="1"/>
  <c r="AT18" i="1"/>
  <c r="AT22" i="1"/>
  <c r="AT26" i="1"/>
  <c r="AT30" i="1"/>
  <c r="AT34" i="1"/>
  <c r="AT38" i="1"/>
  <c r="AT42" i="1"/>
  <c r="AT46" i="1"/>
  <c r="AT50" i="1"/>
  <c r="AT54" i="1"/>
  <c r="AT58" i="1"/>
  <c r="AT62" i="1"/>
  <c r="AT66" i="1"/>
  <c r="AT70" i="1"/>
  <c r="AT74" i="1"/>
  <c r="AT78" i="1"/>
  <c r="AT82" i="1"/>
  <c r="AT86" i="1"/>
  <c r="AT90" i="1"/>
  <c r="AT94" i="1"/>
  <c r="AT98" i="1"/>
  <c r="AT102" i="1"/>
  <c r="AT106" i="1"/>
  <c r="AT110" i="1"/>
  <c r="AT114" i="1"/>
  <c r="AT118" i="1"/>
  <c r="AT122" i="1"/>
  <c r="D63" i="13"/>
  <c r="E63" i="13" s="1"/>
  <c r="D64" i="13"/>
  <c r="E64" i="13" s="1"/>
  <c r="A65" i="13"/>
  <c r="E54" i="12"/>
  <c r="E53" i="12"/>
  <c r="R69" i="12"/>
  <c r="R68" i="12"/>
  <c r="R67" i="12"/>
  <c r="R66" i="12"/>
  <c r="R65" i="12"/>
  <c r="R64" i="12"/>
  <c r="R63" i="12"/>
  <c r="R62" i="12"/>
  <c r="R61" i="12"/>
  <c r="R60" i="12"/>
  <c r="R59" i="12"/>
  <c r="R58" i="12"/>
  <c r="BP28" i="1"/>
  <c r="D21" i="2"/>
  <c r="C16" i="12"/>
  <c r="G12" i="12" s="1"/>
  <c r="A66" i="13" l="1"/>
  <c r="G65" i="13"/>
  <c r="L64" i="13" a="1"/>
  <c r="L64" i="13" s="1"/>
  <c r="J64" i="13"/>
  <c r="D65" i="13"/>
  <c r="E65" i="13" s="1"/>
  <c r="B65" i="13"/>
  <c r="B66" i="13"/>
  <c r="A67" i="13"/>
  <c r="G67" i="13" s="1"/>
  <c r="D66" i="13"/>
  <c r="E66" i="13" s="1"/>
  <c r="G14" i="12"/>
  <c r="G9" i="12"/>
  <c r="G10" i="12"/>
  <c r="G11" i="12"/>
  <c r="G66" i="13" l="1"/>
  <c r="L65" i="13" a="1"/>
  <c r="L65" i="13" s="1"/>
  <c r="J65" i="13"/>
  <c r="L66" i="13" a="1"/>
  <c r="L66" i="13" s="1"/>
  <c r="J66" i="13"/>
  <c r="B67" i="13"/>
  <c r="A68" i="13"/>
  <c r="G68" i="13" s="1"/>
  <c r="D67" i="13"/>
  <c r="E67" i="13" s="1"/>
  <c r="B120" i="21"/>
  <c r="B63" i="21"/>
  <c r="D37" i="21"/>
  <c r="E40" i="21" s="1"/>
  <c r="D14" i="21"/>
  <c r="E17" i="21" s="1"/>
  <c r="E10" i="21"/>
  <c r="E9" i="21"/>
  <c r="F6" i="21"/>
  <c r="B6" i="21"/>
  <c r="L4" i="21"/>
  <c r="B120" i="20"/>
  <c r="B63" i="20"/>
  <c r="D37" i="20"/>
  <c r="E40" i="20" s="1"/>
  <c r="D14" i="20"/>
  <c r="E17" i="20" s="1"/>
  <c r="E10" i="20"/>
  <c r="E9" i="20"/>
  <c r="F6" i="20"/>
  <c r="B6" i="20"/>
  <c r="L4" i="20"/>
  <c r="L121" i="20" l="1" a="1"/>
  <c r="L121" i="20" s="1"/>
  <c r="A71" i="12" s="1"/>
  <c r="D72" i="12" s="1" a="1"/>
  <c r="D72" i="12" s="1"/>
  <c r="L64" i="20" a="1"/>
  <c r="L64" i="20" s="1"/>
  <c r="A69" i="12" s="1"/>
  <c r="D70" i="12" s="1" a="1"/>
  <c r="D70" i="12" s="1"/>
  <c r="L64" i="21" a="1"/>
  <c r="L64" i="21" s="1"/>
  <c r="J69" i="12" s="1"/>
  <c r="G70" i="12" s="1" a="1"/>
  <c r="G70" i="12" s="1"/>
  <c r="L7" i="21" a="1"/>
  <c r="L7" i="21" s="1"/>
  <c r="G67" i="12" s="1"/>
  <c r="J67" i="13"/>
  <c r="L67" i="13" a="1"/>
  <c r="L67" i="13" s="1"/>
  <c r="B68" i="13"/>
  <c r="A69" i="13"/>
  <c r="G69" i="13" s="1"/>
  <c r="D68" i="13"/>
  <c r="E68" i="13" s="1"/>
  <c r="N2" i="21"/>
  <c r="I12" i="12" s="1" a="1"/>
  <c r="I12" i="12" s="1"/>
  <c r="L121" i="21" a="1"/>
  <c r="L121" i="21" s="1"/>
  <c r="N8" i="21"/>
  <c r="L7" i="20" a="1"/>
  <c r="L7" i="20" s="1"/>
  <c r="N2" i="20"/>
  <c r="I11" i="12" s="1" a="1"/>
  <c r="I11" i="12" s="1"/>
  <c r="L65" i="21"/>
  <c r="L8" i="21"/>
  <c r="L8" i="20"/>
  <c r="N122" i="20"/>
  <c r="L65" i="20"/>
  <c r="N122" i="21"/>
  <c r="D42" i="21"/>
  <c r="D19" i="21"/>
  <c r="D71" i="21"/>
  <c r="E19" i="21"/>
  <c r="E42" i="21"/>
  <c r="N65" i="21"/>
  <c r="E15" i="21"/>
  <c r="E38" i="21"/>
  <c r="D66" i="21"/>
  <c r="E69" i="21" s="1"/>
  <c r="L122" i="21"/>
  <c r="E14" i="21"/>
  <c r="E37" i="21"/>
  <c r="D42" i="20"/>
  <c r="D19" i="20"/>
  <c r="E22" i="20" s="1"/>
  <c r="N8" i="20"/>
  <c r="E43" i="20"/>
  <c r="E42" i="20"/>
  <c r="N65" i="20"/>
  <c r="E38" i="20"/>
  <c r="D66" i="20"/>
  <c r="E69" i="20" s="1"/>
  <c r="L122" i="20"/>
  <c r="E15" i="20"/>
  <c r="E14" i="20"/>
  <c r="E37" i="20"/>
  <c r="Q65" i="12" a="1"/>
  <c r="Q64" i="12" a="1"/>
  <c r="Q68" i="12" a="1"/>
  <c r="Q66" i="12" a="1"/>
  <c r="Q69" i="12" a="1"/>
  <c r="Q67" i="12" a="1"/>
  <c r="E19" i="20" l="1"/>
  <c r="E72" i="21"/>
  <c r="E74" i="21"/>
  <c r="E20" i="21"/>
  <c r="E22" i="21"/>
  <c r="D47" i="21"/>
  <c r="E50" i="21" s="1"/>
  <c r="E43" i="21"/>
  <c r="E45" i="21"/>
  <c r="D71" i="20"/>
  <c r="E45" i="20"/>
  <c r="E72" i="20"/>
  <c r="D71" i="12"/>
  <c r="N121" i="20"/>
  <c r="Q66" i="12"/>
  <c r="N64" i="20"/>
  <c r="D69" i="12"/>
  <c r="Q65" i="12"/>
  <c r="Q64" i="12"/>
  <c r="A67" i="12"/>
  <c r="D68" i="12" s="1" a="1"/>
  <c r="D68" i="12" s="1"/>
  <c r="G69" i="12"/>
  <c r="N64" i="21"/>
  <c r="Q68" i="12"/>
  <c r="Q67" i="12"/>
  <c r="N7" i="21"/>
  <c r="J67" i="12"/>
  <c r="G68" i="12" s="1" a="1"/>
  <c r="G68" i="12" s="1"/>
  <c r="J68" i="13"/>
  <c r="L68" i="13" a="1"/>
  <c r="L68" i="13" s="1"/>
  <c r="B69" i="13"/>
  <c r="A70" i="13"/>
  <c r="G70" i="13" s="1"/>
  <c r="D69" i="13"/>
  <c r="E69" i="13" s="1"/>
  <c r="Q69" i="12"/>
  <c r="J71" i="12"/>
  <c r="G72" i="12" s="1" a="1"/>
  <c r="G72" i="12" s="1"/>
  <c r="N121" i="21"/>
  <c r="G71" i="12"/>
  <c r="D67" i="12"/>
  <c r="N7" i="20"/>
  <c r="D24" i="21"/>
  <c r="E27" i="21" s="1"/>
  <c r="D99" i="21"/>
  <c r="E102" i="21" s="1"/>
  <c r="E71" i="21"/>
  <c r="E25" i="21"/>
  <c r="E66" i="21"/>
  <c r="D94" i="21"/>
  <c r="E97" i="21" s="1"/>
  <c r="E67" i="21"/>
  <c r="E47" i="21"/>
  <c r="E48" i="21"/>
  <c r="D47" i="20"/>
  <c r="E50" i="20" s="1"/>
  <c r="E20" i="20"/>
  <c r="D24" i="20"/>
  <c r="E27" i="20" s="1"/>
  <c r="E66" i="20"/>
  <c r="D94" i="20"/>
  <c r="E97" i="20" s="1"/>
  <c r="E67" i="20"/>
  <c r="E25" i="20"/>
  <c r="D52" i="20"/>
  <c r="E55" i="20" s="1"/>
  <c r="D76" i="21" l="1"/>
  <c r="E79" i="21" s="1"/>
  <c r="E24" i="21"/>
  <c r="D29" i="21"/>
  <c r="E32" i="21" s="1"/>
  <c r="D52" i="21"/>
  <c r="E55" i="21" s="1"/>
  <c r="E71" i="20"/>
  <c r="E74" i="20"/>
  <c r="D99" i="20"/>
  <c r="L5" i="20"/>
  <c r="E11" i="12" s="1"/>
  <c r="L5" i="21"/>
  <c r="E12" i="12" s="1"/>
  <c r="F67" i="13"/>
  <c r="F68" i="13"/>
  <c r="L69" i="13" a="1"/>
  <c r="L69" i="13" s="1"/>
  <c r="J69" i="13"/>
  <c r="B70" i="13"/>
  <c r="A71" i="13"/>
  <c r="G71" i="13" s="1"/>
  <c r="D70" i="13"/>
  <c r="E70" i="13" s="1"/>
  <c r="E76" i="21"/>
  <c r="E77" i="21"/>
  <c r="D104" i="21"/>
  <c r="E107" i="21" s="1"/>
  <c r="D123" i="21"/>
  <c r="E126" i="21" s="1"/>
  <c r="E95" i="21"/>
  <c r="E94" i="21"/>
  <c r="E52" i="21"/>
  <c r="E30" i="21"/>
  <c r="E29" i="21"/>
  <c r="E99" i="21"/>
  <c r="D128" i="21"/>
  <c r="E100" i="21"/>
  <c r="E24" i="20"/>
  <c r="D29" i="20"/>
  <c r="D57" i="20" s="1"/>
  <c r="E60" i="20" s="1"/>
  <c r="E47" i="20"/>
  <c r="D76" i="20"/>
  <c r="E79" i="20" s="1"/>
  <c r="E48" i="20"/>
  <c r="E53" i="20"/>
  <c r="E52" i="20"/>
  <c r="D81" i="20"/>
  <c r="E84" i="20" s="1"/>
  <c r="E95" i="20"/>
  <c r="E94" i="20"/>
  <c r="D123" i="20"/>
  <c r="E126" i="20" s="1"/>
  <c r="U67" i="12" a="1"/>
  <c r="U64" i="12" a="1"/>
  <c r="U69" i="12" a="1"/>
  <c r="U66" i="12" a="1"/>
  <c r="U68" i="12" a="1"/>
  <c r="U65" i="12" a="1"/>
  <c r="E53" i="21" l="1"/>
  <c r="D57" i="21"/>
  <c r="E60" i="21" s="1"/>
  <c r="D81" i="21"/>
  <c r="E84" i="21" s="1"/>
  <c r="E30" i="20"/>
  <c r="H12" i="12" a="1"/>
  <c r="H12" i="12" s="1"/>
  <c r="E131" i="21"/>
  <c r="E129" i="21"/>
  <c r="H11" i="12" a="1"/>
  <c r="H11" i="12" s="1"/>
  <c r="E102" i="20"/>
  <c r="D128" i="20"/>
  <c r="E99" i="20"/>
  <c r="E100" i="20"/>
  <c r="E29" i="20"/>
  <c r="E32" i="20"/>
  <c r="U64" i="12"/>
  <c r="U65" i="12"/>
  <c r="U66" i="12"/>
  <c r="U67" i="12"/>
  <c r="U69" i="12"/>
  <c r="U68" i="12"/>
  <c r="L70" i="13" a="1"/>
  <c r="L70" i="13" s="1"/>
  <c r="J70" i="13"/>
  <c r="B71" i="13"/>
  <c r="A72" i="13"/>
  <c r="G72" i="13" s="1"/>
  <c r="D71" i="13"/>
  <c r="E71" i="13" s="1"/>
  <c r="E128" i="21"/>
  <c r="D156" i="21"/>
  <c r="E159" i="21" s="1"/>
  <c r="E57" i="21"/>
  <c r="E58" i="21"/>
  <c r="E82" i="21"/>
  <c r="D109" i="21"/>
  <c r="E112" i="21" s="1"/>
  <c r="D133" i="21"/>
  <c r="E136" i="21" s="1"/>
  <c r="E104" i="21"/>
  <c r="E105" i="21"/>
  <c r="D151" i="21"/>
  <c r="E154" i="21" s="1"/>
  <c r="E123" i="21"/>
  <c r="E124" i="21"/>
  <c r="E76" i="20"/>
  <c r="D104" i="20"/>
  <c r="E107" i="20" s="1"/>
  <c r="E77" i="20"/>
  <c r="D109" i="20"/>
  <c r="E112" i="20" s="1"/>
  <c r="E82" i="20"/>
  <c r="E81" i="20"/>
  <c r="E57" i="20"/>
  <c r="D86" i="20"/>
  <c r="E89" i="20" s="1"/>
  <c r="E58" i="20"/>
  <c r="D151" i="20"/>
  <c r="E154" i="20" s="1"/>
  <c r="E123" i="20"/>
  <c r="E124" i="20"/>
  <c r="E81" i="21" l="1"/>
  <c r="D86" i="21"/>
  <c r="E89" i="21" s="1"/>
  <c r="E131" i="20"/>
  <c r="E129" i="20"/>
  <c r="E128" i="20"/>
  <c r="D156" i="20"/>
  <c r="F69" i="13"/>
  <c r="J71" i="13"/>
  <c r="L71" i="13" a="1"/>
  <c r="L71" i="13" s="1"/>
  <c r="B72" i="13"/>
  <c r="A73" i="13"/>
  <c r="G73" i="13" s="1"/>
  <c r="D72" i="13"/>
  <c r="E72" i="13" s="1"/>
  <c r="E156" i="21"/>
  <c r="E157" i="21"/>
  <c r="E86" i="21"/>
  <c r="E87" i="21"/>
  <c r="E109" i="21"/>
  <c r="D138" i="21"/>
  <c r="E141" i="21" s="1"/>
  <c r="E110" i="21"/>
  <c r="E151" i="21"/>
  <c r="E152" i="21"/>
  <c r="E134" i="21"/>
  <c r="D161" i="21"/>
  <c r="E164" i="21" s="1"/>
  <c r="E133" i="21"/>
  <c r="D133" i="20"/>
  <c r="E136" i="20" s="1"/>
  <c r="E105" i="20"/>
  <c r="E104" i="20"/>
  <c r="E86" i="20"/>
  <c r="D114" i="20"/>
  <c r="E117" i="20" s="1"/>
  <c r="E87" i="20"/>
  <c r="E151" i="20"/>
  <c r="E152" i="20"/>
  <c r="E109" i="20"/>
  <c r="D138" i="20"/>
  <c r="E141" i="20" s="1"/>
  <c r="E110" i="20"/>
  <c r="D114" i="21" l="1"/>
  <c r="E117" i="21" s="1"/>
  <c r="E159" i="20"/>
  <c r="E156" i="20"/>
  <c r="E157" i="20"/>
  <c r="L72" i="13" a="1"/>
  <c r="L72" i="13" s="1"/>
  <c r="J72" i="13"/>
  <c r="B73" i="13"/>
  <c r="A74" i="13"/>
  <c r="G74" i="13" s="1"/>
  <c r="D73" i="13"/>
  <c r="E73" i="13" s="1"/>
  <c r="D143" i="21"/>
  <c r="E146" i="21" s="1"/>
  <c r="E114" i="21"/>
  <c r="E115" i="21"/>
  <c r="E138" i="21"/>
  <c r="E139" i="21"/>
  <c r="D165" i="21"/>
  <c r="E169" i="21" s="1"/>
  <c r="E161" i="21"/>
  <c r="E162" i="21"/>
  <c r="E134" i="20"/>
  <c r="E133" i="20"/>
  <c r="D161" i="20"/>
  <c r="E164" i="20" s="1"/>
  <c r="E114" i="20"/>
  <c r="D143" i="20"/>
  <c r="E146" i="20" s="1"/>
  <c r="E115" i="20"/>
  <c r="E138" i="20"/>
  <c r="E139" i="20"/>
  <c r="D166" i="20"/>
  <c r="E169" i="20" s="1"/>
  <c r="F71" i="13" l="1"/>
  <c r="L73" i="13" a="1"/>
  <c r="L73" i="13" s="1"/>
  <c r="J73" i="13"/>
  <c r="B74" i="13"/>
  <c r="A75" i="13"/>
  <c r="G75" i="13" s="1"/>
  <c r="D74" i="13"/>
  <c r="E74" i="13" s="1"/>
  <c r="E167" i="21"/>
  <c r="E165" i="21"/>
  <c r="E144" i="21"/>
  <c r="D171" i="21"/>
  <c r="E174" i="21" s="1"/>
  <c r="E143" i="21"/>
  <c r="E161" i="20"/>
  <c r="E162" i="20"/>
  <c r="E166" i="20"/>
  <c r="E167" i="20"/>
  <c r="E144" i="20"/>
  <c r="D171" i="20"/>
  <c r="E174" i="20" s="1"/>
  <c r="E143" i="20"/>
  <c r="L74" i="13" l="1" a="1"/>
  <c r="L74" i="13" s="1"/>
  <c r="J74" i="13"/>
  <c r="B75" i="13"/>
  <c r="A76" i="13"/>
  <c r="G76" i="13" s="1"/>
  <c r="D75" i="13"/>
  <c r="E75" i="13" s="1"/>
  <c r="E171" i="21"/>
  <c r="E172" i="21"/>
  <c r="E171" i="20"/>
  <c r="E172" i="20"/>
  <c r="F74" i="13" l="1"/>
  <c r="J75" i="13"/>
  <c r="L75" i="13" a="1"/>
  <c r="L75" i="13" s="1"/>
  <c r="B76" i="13"/>
  <c r="A77" i="13"/>
  <c r="G77" i="13" s="1"/>
  <c r="D76" i="13"/>
  <c r="E76" i="13" s="1"/>
  <c r="B120" i="19"/>
  <c r="B63" i="19"/>
  <c r="D37" i="19"/>
  <c r="E40" i="19" s="1"/>
  <c r="D14" i="19"/>
  <c r="E17" i="19" s="1"/>
  <c r="E10" i="19"/>
  <c r="E9" i="19"/>
  <c r="F6" i="19"/>
  <c r="B6" i="19"/>
  <c r="L4" i="19"/>
  <c r="B120" i="3"/>
  <c r="B63" i="3"/>
  <c r="B6" i="3"/>
  <c r="F6" i="3"/>
  <c r="D37" i="3"/>
  <c r="E40" i="3" s="1"/>
  <c r="D14" i="3"/>
  <c r="E17" i="3" s="1"/>
  <c r="E10" i="3"/>
  <c r="E9" i="3"/>
  <c r="L4" i="3"/>
  <c r="H77" i="13" a="1"/>
  <c r="H65" i="13" a="1"/>
  <c r="H64" i="13" a="1"/>
  <c r="H73" i="13" a="1"/>
  <c r="H76" i="13" a="1"/>
  <c r="H63" i="13" a="1"/>
  <c r="H66" i="13" a="1"/>
  <c r="H74" i="13" a="1"/>
  <c r="H68" i="13" a="1"/>
  <c r="H75" i="13" a="1"/>
  <c r="H72" i="13" a="1"/>
  <c r="H70" i="13" a="1"/>
  <c r="H69" i="13" a="1"/>
  <c r="H71" i="13" a="1"/>
  <c r="H67" i="13" a="1"/>
  <c r="D19" i="19" l="1"/>
  <c r="E14" i="3"/>
  <c r="E15" i="3"/>
  <c r="E38" i="3"/>
  <c r="E37" i="3"/>
  <c r="D19" i="3"/>
  <c r="D42" i="3"/>
  <c r="D66" i="3"/>
  <c r="L64" i="19" a="1"/>
  <c r="L64" i="19" s="1"/>
  <c r="J61" i="12" s="1"/>
  <c r="G62" i="12" s="1" a="1"/>
  <c r="G62" i="12" s="1"/>
  <c r="H76" i="13"/>
  <c r="I76" i="13" s="1"/>
  <c r="F76" i="13" s="1"/>
  <c r="H75" i="13"/>
  <c r="I75" i="13" s="1"/>
  <c r="F75" i="13" s="1"/>
  <c r="H74" i="13"/>
  <c r="I74" i="13" s="1"/>
  <c r="H73" i="13"/>
  <c r="I73" i="13" s="1"/>
  <c r="F73" i="13" s="1"/>
  <c r="L64" i="3" a="1"/>
  <c r="L64" i="3" s="1"/>
  <c r="D61" i="12" s="1"/>
  <c r="H72" i="13"/>
  <c r="I72" i="13" s="1"/>
  <c r="F72" i="13" s="1"/>
  <c r="H71" i="13"/>
  <c r="I71" i="13" s="1"/>
  <c r="H70" i="13"/>
  <c r="I70" i="13" s="1"/>
  <c r="F70" i="13" s="1"/>
  <c r="H69" i="13"/>
  <c r="I69" i="13" s="1"/>
  <c r="H68" i="13"/>
  <c r="I68" i="13" s="1"/>
  <c r="H67" i="13"/>
  <c r="I67" i="13" s="1"/>
  <c r="H66" i="13"/>
  <c r="I66" i="13" s="1"/>
  <c r="F66" i="13" s="1"/>
  <c r="H65" i="13"/>
  <c r="I65" i="13" s="1"/>
  <c r="F65" i="13" s="1"/>
  <c r="H64" i="13"/>
  <c r="I64" i="13" s="1"/>
  <c r="F64" i="13" s="1"/>
  <c r="H63" i="13"/>
  <c r="L7" i="3" a="1"/>
  <c r="L7" i="3" s="1"/>
  <c r="N7" i="3" s="1"/>
  <c r="L121" i="19" a="1"/>
  <c r="L121" i="19" s="1"/>
  <c r="G63" i="12" s="1"/>
  <c r="N2" i="3"/>
  <c r="I9" i="12" s="1" a="1"/>
  <c r="I9" i="12" s="1"/>
  <c r="L121" i="3" a="1"/>
  <c r="L121" i="3" s="1"/>
  <c r="N121" i="3" s="1"/>
  <c r="L76" i="13" a="1"/>
  <c r="L76" i="13" s="1"/>
  <c r="J76" i="13"/>
  <c r="H77" i="13"/>
  <c r="B77" i="13"/>
  <c r="A78" i="13"/>
  <c r="G78" i="13" s="1"/>
  <c r="D77" i="13"/>
  <c r="E77" i="13" s="1"/>
  <c r="L8" i="3"/>
  <c r="N8" i="19"/>
  <c r="L7" i="19" a="1"/>
  <c r="L7" i="19" s="1"/>
  <c r="N2" i="19"/>
  <c r="N8" i="3"/>
  <c r="L65" i="3"/>
  <c r="L122" i="3"/>
  <c r="N122" i="19"/>
  <c r="N65" i="19"/>
  <c r="L8" i="19"/>
  <c r="N5" i="20"/>
  <c r="N5" i="21"/>
  <c r="D42" i="19"/>
  <c r="E20" i="19"/>
  <c r="L65" i="19"/>
  <c r="E19" i="19"/>
  <c r="E15" i="19"/>
  <c r="D24" i="19"/>
  <c r="E27" i="19" s="1"/>
  <c r="E38" i="19"/>
  <c r="D66" i="19"/>
  <c r="E69" i="19" s="1"/>
  <c r="L122" i="19"/>
  <c r="E14" i="19"/>
  <c r="E37" i="19"/>
  <c r="N122" i="3"/>
  <c r="N65" i="3"/>
  <c r="Q61" i="12" a="1"/>
  <c r="H78" i="13" a="1"/>
  <c r="Q59" i="12" a="1"/>
  <c r="Q58" i="12" a="1"/>
  <c r="Q62" i="12" a="1"/>
  <c r="Q60" i="12" a="1"/>
  <c r="Q63" i="12" a="1"/>
  <c r="I10" i="12" l="1" a="1"/>
  <c r="I10" i="12" s="1"/>
  <c r="I14" i="12" s="1"/>
  <c r="K5" i="11"/>
  <c r="K4" i="11"/>
  <c r="E43" i="19"/>
  <c r="E45" i="19"/>
  <c r="D47" i="19"/>
  <c r="E22" i="19"/>
  <c r="E69" i="3"/>
  <c r="D94" i="3"/>
  <c r="E67" i="3"/>
  <c r="E66" i="3"/>
  <c r="E45" i="3"/>
  <c r="E42" i="3"/>
  <c r="D71" i="3"/>
  <c r="E43" i="3"/>
  <c r="E22" i="3"/>
  <c r="E20" i="3"/>
  <c r="E19" i="3"/>
  <c r="D47" i="3"/>
  <c r="D24" i="3"/>
  <c r="E42" i="19"/>
  <c r="D71" i="19"/>
  <c r="E74" i="19" s="1"/>
  <c r="N64" i="3"/>
  <c r="L5" i="3" s="1"/>
  <c r="Q61" i="12"/>
  <c r="J59" i="12"/>
  <c r="G60" i="12" s="1" a="1"/>
  <c r="G60" i="12" s="1"/>
  <c r="N64" i="19"/>
  <c r="G61" i="12"/>
  <c r="Q62" i="12"/>
  <c r="N121" i="19"/>
  <c r="Q59" i="12"/>
  <c r="A61" i="12"/>
  <c r="D62" i="12" s="1" a="1"/>
  <c r="D62" i="12" s="1"/>
  <c r="D59" i="12"/>
  <c r="Q58" i="12"/>
  <c r="A59" i="12"/>
  <c r="D60" i="12" s="1" a="1"/>
  <c r="D60" i="12" s="1"/>
  <c r="Q63" i="12"/>
  <c r="J63" i="12"/>
  <c r="G64" i="12" s="1" a="1"/>
  <c r="G64" i="12" s="1"/>
  <c r="Q60" i="12"/>
  <c r="D63" i="12"/>
  <c r="A63" i="12"/>
  <c r="D64" i="12" s="1" a="1"/>
  <c r="D64" i="12" s="1"/>
  <c r="I77" i="13"/>
  <c r="F77" i="13" s="1"/>
  <c r="L77" i="13" a="1"/>
  <c r="L77" i="13" s="1"/>
  <c r="J77" i="13"/>
  <c r="H78" i="13"/>
  <c r="B78" i="13"/>
  <c r="A79" i="13"/>
  <c r="G79" i="13" s="1"/>
  <c r="D78" i="13"/>
  <c r="E78" i="13" s="1"/>
  <c r="F12" i="12"/>
  <c r="F11" i="12"/>
  <c r="K4" i="12"/>
  <c r="J3" i="12"/>
  <c r="J5" i="11"/>
  <c r="N7" i="19"/>
  <c r="G59" i="12"/>
  <c r="E24" i="19"/>
  <c r="E25" i="19"/>
  <c r="D29" i="19"/>
  <c r="E32" i="19" s="1"/>
  <c r="D52" i="19"/>
  <c r="E55" i="19" s="1"/>
  <c r="E66" i="19"/>
  <c r="E67" i="19"/>
  <c r="D94" i="19"/>
  <c r="E97" i="19" s="1"/>
  <c r="D99" i="19"/>
  <c r="E102" i="19" s="1"/>
  <c r="H79" i="13" a="1"/>
  <c r="U60" i="12" a="1"/>
  <c r="U59" i="12" a="1"/>
  <c r="U58" i="12" a="1"/>
  <c r="E72" i="19" l="1"/>
  <c r="E50" i="19"/>
  <c r="E48" i="19"/>
  <c r="D76" i="19"/>
  <c r="E47" i="19"/>
  <c r="E71" i="19"/>
  <c r="E27" i="3"/>
  <c r="E24" i="3"/>
  <c r="E25" i="3"/>
  <c r="D52" i="3"/>
  <c r="D29" i="3"/>
  <c r="E50" i="3"/>
  <c r="E47" i="3"/>
  <c r="D76" i="3"/>
  <c r="E48" i="3"/>
  <c r="E74" i="3"/>
  <c r="E71" i="3"/>
  <c r="E72" i="3"/>
  <c r="D99" i="3"/>
  <c r="E97" i="3"/>
  <c r="E94" i="3"/>
  <c r="D123" i="3"/>
  <c r="E95" i="3"/>
  <c r="L5" i="19"/>
  <c r="E10" i="12" s="1"/>
  <c r="S66" i="12"/>
  <c r="S65" i="12"/>
  <c r="S68" i="12"/>
  <c r="S67" i="12"/>
  <c r="S60" i="12"/>
  <c r="S63" i="12"/>
  <c r="M26" i="12"/>
  <c r="S58" i="12"/>
  <c r="S64" i="12"/>
  <c r="S69" i="12"/>
  <c r="S61" i="12"/>
  <c r="S59" i="12"/>
  <c r="S62" i="12"/>
  <c r="I78" i="13"/>
  <c r="F78" i="13" s="1"/>
  <c r="L78" i="13" a="1"/>
  <c r="L78" i="13" s="1"/>
  <c r="J78" i="13"/>
  <c r="H79" i="13"/>
  <c r="B79" i="13"/>
  <c r="A80" i="13"/>
  <c r="G80" i="13" s="1"/>
  <c r="D79" i="13"/>
  <c r="E79" i="13" s="1"/>
  <c r="U59" i="12"/>
  <c r="U60" i="12"/>
  <c r="U58" i="12"/>
  <c r="M22" i="12"/>
  <c r="M24" i="12"/>
  <c r="M25" i="12"/>
  <c r="M21" i="12"/>
  <c r="M23" i="12"/>
  <c r="E9" i="12"/>
  <c r="N5" i="3"/>
  <c r="E99" i="19"/>
  <c r="D128" i="19"/>
  <c r="E131" i="19" s="1"/>
  <c r="E100" i="19"/>
  <c r="E94" i="19"/>
  <c r="D123" i="19"/>
  <c r="E126" i="19" s="1"/>
  <c r="E95" i="19"/>
  <c r="E52" i="19"/>
  <c r="D81" i="19"/>
  <c r="E84" i="19" s="1"/>
  <c r="E53" i="19"/>
  <c r="D57" i="19"/>
  <c r="E60" i="19" s="1"/>
  <c r="E30" i="19"/>
  <c r="E29" i="19"/>
  <c r="H80" i="13" a="1"/>
  <c r="U63" i="12" a="1"/>
  <c r="U62" i="12" a="1"/>
  <c r="U61" i="12" a="1"/>
  <c r="E79" i="19" l="1"/>
  <c r="D104" i="19"/>
  <c r="E76" i="19"/>
  <c r="E77" i="19"/>
  <c r="E102" i="3"/>
  <c r="E100" i="3"/>
  <c r="D128" i="3"/>
  <c r="E99" i="3"/>
  <c r="E32" i="3"/>
  <c r="E30" i="3"/>
  <c r="D57" i="3"/>
  <c r="E29" i="3"/>
  <c r="E126" i="3"/>
  <c r="E124" i="3"/>
  <c r="E123" i="3"/>
  <c r="D151" i="3"/>
  <c r="E79" i="3"/>
  <c r="E77" i="3"/>
  <c r="E76" i="3"/>
  <c r="D104" i="3"/>
  <c r="E55" i="3"/>
  <c r="E53" i="3"/>
  <c r="E52" i="3"/>
  <c r="D81" i="3"/>
  <c r="H9" i="12" a="1"/>
  <c r="H9" i="12" s="1"/>
  <c r="N5" i="19"/>
  <c r="F10" i="12" s="1"/>
  <c r="U62" i="12"/>
  <c r="U63" i="12"/>
  <c r="U61" i="12"/>
  <c r="T59" i="12"/>
  <c r="T67" i="12"/>
  <c r="T58" i="12"/>
  <c r="T68" i="12"/>
  <c r="T65" i="12"/>
  <c r="T66" i="12"/>
  <c r="T61" i="12"/>
  <c r="T69" i="12"/>
  <c r="T63" i="12"/>
  <c r="T62" i="12"/>
  <c r="T64" i="12"/>
  <c r="T60" i="12"/>
  <c r="I79" i="13"/>
  <c r="F79" i="13" s="1"/>
  <c r="J79" i="13"/>
  <c r="L79" i="13" a="1"/>
  <c r="L79" i="13" s="1"/>
  <c r="H80" i="13"/>
  <c r="D80" i="13"/>
  <c r="E80" i="13" s="1"/>
  <c r="A81" i="13"/>
  <c r="G81" i="13" s="1"/>
  <c r="B80" i="13"/>
  <c r="F9" i="12"/>
  <c r="E14" i="12"/>
  <c r="H10" i="12" a="1"/>
  <c r="H10" i="12" s="1"/>
  <c r="D109" i="19"/>
  <c r="E112" i="19" s="1"/>
  <c r="E81" i="19"/>
  <c r="E82" i="19"/>
  <c r="D151" i="19"/>
  <c r="E154" i="19" s="1"/>
  <c r="E123" i="19"/>
  <c r="E124" i="19"/>
  <c r="E128" i="19"/>
  <c r="E129" i="19"/>
  <c r="D156" i="19"/>
  <c r="E159" i="19" s="1"/>
  <c r="E57" i="19"/>
  <c r="D86" i="19"/>
  <c r="E89" i="19" s="1"/>
  <c r="E58" i="19"/>
  <c r="H81" i="13" a="1"/>
  <c r="E107" i="19" l="1"/>
  <c r="D133" i="19"/>
  <c r="E105" i="19"/>
  <c r="E104" i="19"/>
  <c r="E84" i="3"/>
  <c r="D109" i="3"/>
  <c r="E82" i="3"/>
  <c r="E81" i="3"/>
  <c r="E107" i="3"/>
  <c r="D133" i="3"/>
  <c r="E104" i="3"/>
  <c r="E105" i="3"/>
  <c r="E154" i="3"/>
  <c r="E151" i="3"/>
  <c r="E152" i="3"/>
  <c r="H14" i="12" a="1"/>
  <c r="H14" i="12" s="1"/>
  <c r="E60" i="3"/>
  <c r="D86" i="3"/>
  <c r="E57" i="3"/>
  <c r="E58" i="3"/>
  <c r="E131" i="3"/>
  <c r="D156" i="3"/>
  <c r="E128" i="3"/>
  <c r="E129" i="3"/>
  <c r="V63" i="12"/>
  <c r="V62" i="12"/>
  <c r="V61" i="12"/>
  <c r="V64" i="12"/>
  <c r="V65" i="12"/>
  <c r="V69" i="12"/>
  <c r="V68" i="12"/>
  <c r="V59" i="12"/>
  <c r="V60" i="12"/>
  <c r="V58" i="12"/>
  <c r="V66" i="12"/>
  <c r="V67" i="12"/>
  <c r="I80" i="13"/>
  <c r="F80" i="13" s="1"/>
  <c r="L80" i="13" a="1"/>
  <c r="L80" i="13" s="1"/>
  <c r="J80" i="13"/>
  <c r="H81" i="13"/>
  <c r="A82" i="13"/>
  <c r="G82" i="13" s="1"/>
  <c r="B81" i="13"/>
  <c r="D81" i="13"/>
  <c r="E81" i="13" s="1"/>
  <c r="F14" i="12"/>
  <c r="E156" i="19"/>
  <c r="E157" i="19"/>
  <c r="E86" i="19"/>
  <c r="E87" i="19"/>
  <c r="D114" i="19"/>
  <c r="E117" i="19" s="1"/>
  <c r="E151" i="19"/>
  <c r="E152" i="19"/>
  <c r="E109" i="19"/>
  <c r="D138" i="19"/>
  <c r="E141" i="19" s="1"/>
  <c r="E110" i="19"/>
  <c r="H82" i="13" a="1"/>
  <c r="E136" i="19" l="1"/>
  <c r="E134" i="19"/>
  <c r="D161" i="19"/>
  <c r="E133" i="19"/>
  <c r="E159" i="3"/>
  <c r="E156" i="3"/>
  <c r="E157" i="3"/>
  <c r="E89" i="3"/>
  <c r="E87" i="3"/>
  <c r="E86" i="3"/>
  <c r="D114" i="3"/>
  <c r="E136" i="3"/>
  <c r="E134" i="3"/>
  <c r="E133" i="3"/>
  <c r="D161" i="3"/>
  <c r="E112" i="3"/>
  <c r="E110" i="3"/>
  <c r="E109" i="3"/>
  <c r="D138" i="3"/>
  <c r="X67" i="12"/>
  <c r="X59" i="12"/>
  <c r="X64" i="12"/>
  <c r="X66" i="12"/>
  <c r="X68" i="12"/>
  <c r="X61" i="12"/>
  <c r="X58" i="12"/>
  <c r="X69" i="12"/>
  <c r="X63" i="12"/>
  <c r="X60" i="12"/>
  <c r="X65" i="12"/>
  <c r="X62" i="12"/>
  <c r="I81" i="13"/>
  <c r="F81" i="13" s="1"/>
  <c r="L81" i="13" a="1"/>
  <c r="L81" i="13" s="1"/>
  <c r="J81" i="13"/>
  <c r="H82" i="13"/>
  <c r="A83" i="13"/>
  <c r="G83" i="13" s="1"/>
  <c r="D82" i="13"/>
  <c r="E82" i="13" s="1"/>
  <c r="B82" i="13"/>
  <c r="E114" i="19"/>
  <c r="D143" i="19"/>
  <c r="E146" i="19" s="1"/>
  <c r="E115" i="19"/>
  <c r="E138" i="19"/>
  <c r="E139" i="19"/>
  <c r="D166" i="19"/>
  <c r="E169" i="19" s="1"/>
  <c r="H83" i="13" a="1"/>
  <c r="E164" i="19" l="1"/>
  <c r="E161" i="19"/>
  <c r="E162" i="19"/>
  <c r="E141" i="3"/>
  <c r="E138" i="3"/>
  <c r="D166" i="3"/>
  <c r="E139" i="3"/>
  <c r="E164" i="3"/>
  <c r="E161" i="3"/>
  <c r="E162" i="3"/>
  <c r="E117" i="3"/>
  <c r="E114" i="3"/>
  <c r="D143" i="3"/>
  <c r="E115" i="3"/>
  <c r="G36" i="12"/>
  <c r="H35" i="12" s="1"/>
  <c r="G44" i="12"/>
  <c r="H43" i="12" s="1"/>
  <c r="G43" i="12"/>
  <c r="I43" i="12" s="1"/>
  <c r="A44" i="12"/>
  <c r="B43" i="12" s="1"/>
  <c r="A39" i="12"/>
  <c r="G35" i="12"/>
  <c r="G40" i="12"/>
  <c r="H39" i="12" s="1"/>
  <c r="A35" i="12"/>
  <c r="G39" i="12"/>
  <c r="I39" i="12" s="1"/>
  <c r="A36" i="12"/>
  <c r="B35" i="12" s="1"/>
  <c r="A43" i="12"/>
  <c r="A40" i="12"/>
  <c r="B39" i="12" s="1"/>
  <c r="I82" i="13"/>
  <c r="F82" i="13" s="1"/>
  <c r="L82" i="13" a="1"/>
  <c r="L82" i="13" s="1"/>
  <c r="J82" i="13"/>
  <c r="H83" i="13"/>
  <c r="A84" i="13"/>
  <c r="G84" i="13" s="1"/>
  <c r="D83" i="13"/>
  <c r="E83" i="13" s="1"/>
  <c r="B83" i="13"/>
  <c r="E166" i="19"/>
  <c r="E167" i="19"/>
  <c r="D171" i="19"/>
  <c r="E174" i="19" s="1"/>
  <c r="E143" i="19"/>
  <c r="E144" i="19"/>
  <c r="H84" i="13" a="1"/>
  <c r="E146" i="3" l="1"/>
  <c r="E144" i="3"/>
  <c r="E143" i="3"/>
  <c r="D171" i="3"/>
  <c r="E169" i="3"/>
  <c r="E167" i="3"/>
  <c r="E166" i="3"/>
  <c r="I40" i="12"/>
  <c r="C39" i="12"/>
  <c r="C40" i="12"/>
  <c r="C43" i="12"/>
  <c r="C44" i="12"/>
  <c r="C35" i="12"/>
  <c r="C36" i="12"/>
  <c r="I44" i="12"/>
  <c r="I35" i="12"/>
  <c r="I36" i="12"/>
  <c r="I83" i="13"/>
  <c r="F83" i="13" s="1"/>
  <c r="J83" i="13"/>
  <c r="L83" i="13" a="1"/>
  <c r="L83" i="13" s="1"/>
  <c r="H84" i="13"/>
  <c r="A85" i="13"/>
  <c r="G85" i="13" s="1"/>
  <c r="D84" i="13"/>
  <c r="E84" i="13" s="1"/>
  <c r="B84" i="13"/>
  <c r="E171" i="19"/>
  <c r="E172" i="19"/>
  <c r="H85" i="13" a="1"/>
  <c r="E174" i="3" l="1"/>
  <c r="E172" i="3"/>
  <c r="E171" i="3"/>
  <c r="I84" i="13"/>
  <c r="F84" i="13" s="1"/>
  <c r="L84" i="13" a="1"/>
  <c r="L84" i="13" s="1"/>
  <c r="J84" i="13"/>
  <c r="H85" i="13"/>
  <c r="A86" i="13"/>
  <c r="G86" i="13" s="1"/>
  <c r="B85" i="13"/>
  <c r="D85" i="13"/>
  <c r="E85" i="13" s="1"/>
  <c r="H86" i="13" a="1"/>
  <c r="I85" i="13" l="1"/>
  <c r="F85" i="13" s="1"/>
  <c r="L85" i="13" a="1"/>
  <c r="L85" i="13" s="1"/>
  <c r="J85" i="13"/>
  <c r="H86" i="13"/>
  <c r="A87" i="13"/>
  <c r="G87" i="13" s="1"/>
  <c r="D86" i="13"/>
  <c r="E86" i="13" s="1"/>
  <c r="B86" i="13"/>
  <c r="H87" i="13" a="1"/>
  <c r="I86" i="13" l="1"/>
  <c r="F86" i="13" s="1"/>
  <c r="L86" i="13" a="1"/>
  <c r="L86" i="13" s="1"/>
  <c r="J86" i="13"/>
  <c r="H87" i="13"/>
  <c r="A88" i="13"/>
  <c r="G88" i="13" s="1"/>
  <c r="B87" i="13"/>
  <c r="D87" i="13"/>
  <c r="E87" i="13" s="1"/>
  <c r="H88" i="13" a="1"/>
  <c r="I87" i="13" l="1"/>
  <c r="F87" i="13" s="1"/>
  <c r="J87" i="13"/>
  <c r="L87" i="13" a="1"/>
  <c r="L87" i="13" s="1"/>
  <c r="H88" i="13"/>
  <c r="A89" i="13"/>
  <c r="G89" i="13" s="1"/>
  <c r="B88" i="13"/>
  <c r="D88" i="13"/>
  <c r="E88" i="13" s="1"/>
  <c r="H89" i="13" a="1"/>
  <c r="I88" i="13" l="1"/>
  <c r="F88" i="13" s="1"/>
  <c r="L88" i="13" a="1"/>
  <c r="L88" i="13" s="1"/>
  <c r="J88" i="13"/>
  <c r="H89" i="13"/>
  <c r="A90" i="13"/>
  <c r="G90" i="13" s="1"/>
  <c r="B89" i="13"/>
  <c r="D89" i="13"/>
  <c r="E89" i="13" s="1"/>
  <c r="H90" i="13" a="1"/>
  <c r="I89" i="13" l="1"/>
  <c r="F89" i="13" s="1"/>
  <c r="L89" i="13" a="1"/>
  <c r="L89" i="13" s="1"/>
  <c r="J89" i="13"/>
  <c r="H90" i="13"/>
  <c r="A91" i="13"/>
  <c r="G91" i="13" s="1"/>
  <c r="D90" i="13"/>
  <c r="E90" i="13" s="1"/>
  <c r="B90" i="13"/>
  <c r="H91" i="13" a="1"/>
  <c r="I90" i="13" l="1"/>
  <c r="F90" i="13" s="1"/>
  <c r="L90" i="13" a="1"/>
  <c r="L90" i="13" s="1"/>
  <c r="J90" i="13"/>
  <c r="H91" i="13"/>
  <c r="A92" i="13"/>
  <c r="G92" i="13" s="1"/>
  <c r="D91" i="13"/>
  <c r="E91" i="13" s="1"/>
  <c r="B91" i="13"/>
  <c r="H92" i="13" a="1"/>
  <c r="I91" i="13" l="1"/>
  <c r="F91" i="13" s="1"/>
  <c r="J91" i="13"/>
  <c r="L91" i="13" a="1"/>
  <c r="L91" i="13" s="1"/>
  <c r="H92" i="13"/>
  <c r="A93" i="13"/>
  <c r="G93" i="13" s="1"/>
  <c r="D92" i="13"/>
  <c r="E92" i="13" s="1"/>
  <c r="B92" i="13"/>
  <c r="H93" i="13" a="1"/>
  <c r="I92" i="13" l="1"/>
  <c r="F92" i="13" s="1"/>
  <c r="L92" i="13" a="1"/>
  <c r="L92" i="13" s="1"/>
  <c r="J92" i="13"/>
  <c r="H93" i="13"/>
  <c r="A94" i="13"/>
  <c r="G94" i="13" s="1"/>
  <c r="B93" i="13"/>
  <c r="D93" i="13"/>
  <c r="E93" i="13" s="1"/>
  <c r="H94" i="13" a="1"/>
  <c r="I93" i="13" l="1"/>
  <c r="F93" i="13" s="1"/>
  <c r="L93" i="13" a="1"/>
  <c r="L93" i="13" s="1"/>
  <c r="J93" i="13"/>
  <c r="H94" i="13"/>
  <c r="A95" i="13"/>
  <c r="G95" i="13" s="1"/>
  <c r="D94" i="13"/>
  <c r="E94" i="13" s="1"/>
  <c r="B94" i="13"/>
  <c r="H95" i="13" a="1"/>
  <c r="I94" i="13" l="1"/>
  <c r="F94" i="13" s="1"/>
  <c r="L94" i="13" a="1"/>
  <c r="L94" i="13" s="1"/>
  <c r="J94" i="13"/>
  <c r="H95" i="13"/>
  <c r="A96" i="13"/>
  <c r="G96" i="13" s="1"/>
  <c r="B95" i="13"/>
  <c r="D95" i="13"/>
  <c r="E95" i="13" s="1"/>
  <c r="H96" i="13" a="1"/>
  <c r="I95" i="13" l="1"/>
  <c r="F95" i="13" s="1"/>
  <c r="J95" i="13"/>
  <c r="L95" i="13" a="1"/>
  <c r="L95" i="13" s="1"/>
  <c r="H96" i="13"/>
  <c r="A97" i="13"/>
  <c r="G97" i="13" s="1"/>
  <c r="D96" i="13"/>
  <c r="E96" i="13" s="1"/>
  <c r="B96" i="13"/>
  <c r="H97" i="13" a="1"/>
  <c r="I96" i="13" l="1"/>
  <c r="F96" i="13" s="1"/>
  <c r="L96" i="13" a="1"/>
  <c r="L96" i="13" s="1"/>
  <c r="J96" i="13"/>
  <c r="H97" i="13"/>
  <c r="A98" i="13"/>
  <c r="G98" i="13" s="1"/>
  <c r="D97" i="13"/>
  <c r="E97" i="13" s="1"/>
  <c r="B97" i="13"/>
  <c r="H98" i="13" a="1"/>
  <c r="I97" i="13" l="1"/>
  <c r="F97" i="13" s="1"/>
  <c r="L97" i="13" a="1"/>
  <c r="L97" i="13" s="1"/>
  <c r="J97" i="13"/>
  <c r="H98" i="13"/>
  <c r="A99" i="13"/>
  <c r="G99" i="13" s="1"/>
  <c r="D98" i="13"/>
  <c r="E98" i="13" s="1"/>
  <c r="B98" i="13"/>
  <c r="H99" i="13" a="1"/>
  <c r="I98" i="13" l="1"/>
  <c r="F98" i="13" s="1"/>
  <c r="L98" i="13" a="1"/>
  <c r="L98" i="13" s="1"/>
  <c r="J98" i="13"/>
  <c r="H99" i="13"/>
  <c r="A100" i="13"/>
  <c r="G100" i="13" s="1"/>
  <c r="D99" i="13"/>
  <c r="E99" i="13" s="1"/>
  <c r="B99" i="13"/>
  <c r="H100" i="13" a="1"/>
  <c r="I99" i="13" l="1"/>
  <c r="F99" i="13" s="1"/>
  <c r="J99" i="13"/>
  <c r="L99" i="13" a="1"/>
  <c r="L99" i="13" s="1"/>
  <c r="H100" i="13"/>
  <c r="A101" i="13"/>
  <c r="G101" i="13" s="1"/>
  <c r="D100" i="13"/>
  <c r="E100" i="13" s="1"/>
  <c r="B100" i="13"/>
  <c r="H101" i="13" a="1"/>
  <c r="I100" i="13" l="1"/>
  <c r="F100" i="13" s="1"/>
  <c r="J100" i="13"/>
  <c r="L100" i="13" a="1"/>
  <c r="L100" i="13" s="1"/>
  <c r="H101" i="13"/>
  <c r="A102" i="13"/>
  <c r="G102" i="13" s="1"/>
  <c r="D101" i="13"/>
  <c r="E101" i="13" s="1"/>
  <c r="B101" i="13"/>
  <c r="H102" i="13" a="1"/>
  <c r="I101" i="13" l="1"/>
  <c r="F101" i="13" s="1"/>
  <c r="L101" i="13" a="1"/>
  <c r="L101" i="13" s="1"/>
  <c r="J101" i="13"/>
  <c r="H102" i="13"/>
  <c r="A103" i="13"/>
  <c r="G103" i="13" s="1"/>
  <c r="D102" i="13"/>
  <c r="E102" i="13" s="1"/>
  <c r="B102" i="13"/>
  <c r="H103" i="13" a="1"/>
  <c r="I102" i="13" l="1"/>
  <c r="F102" i="13" s="1"/>
  <c r="L102" i="13" a="1"/>
  <c r="L102" i="13" s="1"/>
  <c r="J102" i="13"/>
  <c r="H103" i="13"/>
  <c r="A104" i="13"/>
  <c r="G104" i="13" s="1"/>
  <c r="B103" i="13"/>
  <c r="D103" i="13"/>
  <c r="E103" i="13" s="1"/>
  <c r="H104" i="13" a="1"/>
  <c r="I103" i="13" l="1"/>
  <c r="F103" i="13" s="1"/>
  <c r="J103" i="13"/>
  <c r="L103" i="13" a="1"/>
  <c r="L103" i="13" s="1"/>
  <c r="H104" i="13"/>
  <c r="A105" i="13"/>
  <c r="G105" i="13" s="1"/>
  <c r="B104" i="13"/>
  <c r="D104" i="13"/>
  <c r="E104" i="13" s="1"/>
  <c r="H105" i="13" a="1"/>
  <c r="I104" i="13" l="1"/>
  <c r="F104" i="13" s="1"/>
  <c r="L104" i="13" a="1"/>
  <c r="L104" i="13" s="1"/>
  <c r="J104" i="13"/>
  <c r="H105" i="13"/>
  <c r="A106" i="13"/>
  <c r="G106" i="13" s="1"/>
  <c r="D105" i="13"/>
  <c r="E105" i="13" s="1"/>
  <c r="B105" i="13"/>
  <c r="H106" i="13" a="1"/>
  <c r="I105" i="13" l="1"/>
  <c r="F105" i="13" s="1"/>
  <c r="L105" i="13" a="1"/>
  <c r="L105" i="13" s="1"/>
  <c r="J105" i="13"/>
  <c r="H106" i="13"/>
  <c r="A107" i="13"/>
  <c r="G107" i="13" s="1"/>
  <c r="D106" i="13"/>
  <c r="E106" i="13" s="1"/>
  <c r="B106" i="13"/>
  <c r="H107" i="13" a="1"/>
  <c r="I106" i="13" l="1"/>
  <c r="F106" i="13" s="1"/>
  <c r="L106" i="13" a="1"/>
  <c r="L106" i="13" s="1"/>
  <c r="J106" i="13"/>
  <c r="H107" i="13"/>
  <c r="A108" i="13"/>
  <c r="G108" i="13" s="1"/>
  <c r="D107" i="13"/>
  <c r="E107" i="13" s="1"/>
  <c r="B107" i="13"/>
  <c r="H108" i="13" a="1"/>
  <c r="I107" i="13" l="1"/>
  <c r="F107" i="13" s="1"/>
  <c r="J107" i="13"/>
  <c r="L107" i="13" a="1"/>
  <c r="L107" i="13" s="1"/>
  <c r="H108" i="13"/>
  <c r="A109" i="13"/>
  <c r="G109" i="13" s="1"/>
  <c r="D108" i="13"/>
  <c r="E108" i="13" s="1"/>
  <c r="B108" i="13"/>
  <c r="H109" i="13" a="1"/>
  <c r="I108" i="13" l="1"/>
  <c r="F108" i="13" s="1"/>
  <c r="L108" i="13" a="1"/>
  <c r="L108" i="13" s="1"/>
  <c r="J108" i="13"/>
  <c r="H109" i="13"/>
  <c r="A110" i="13"/>
  <c r="G110" i="13" s="1"/>
  <c r="B109" i="13"/>
  <c r="D109" i="13"/>
  <c r="E109" i="13" s="1"/>
  <c r="H110" i="13" a="1"/>
  <c r="I109" i="13" l="1"/>
  <c r="F109" i="13" s="1"/>
  <c r="L109" i="13" a="1"/>
  <c r="L109" i="13" s="1"/>
  <c r="J109" i="13"/>
  <c r="H110" i="13"/>
  <c r="A111" i="13"/>
  <c r="G111" i="13" s="1"/>
  <c r="D110" i="13"/>
  <c r="E110" i="13" s="1"/>
  <c r="B110" i="13"/>
  <c r="H111" i="13" a="1"/>
  <c r="I110" i="13" l="1"/>
  <c r="F110" i="13" s="1"/>
  <c r="L110" i="13" a="1"/>
  <c r="L110" i="13" s="1"/>
  <c r="J110" i="13"/>
  <c r="H111" i="13"/>
  <c r="A112" i="13"/>
  <c r="G112" i="13" s="1"/>
  <c r="D111" i="13"/>
  <c r="E111" i="13" s="1"/>
  <c r="B111" i="13"/>
  <c r="H112" i="13" a="1"/>
  <c r="I111" i="13" l="1"/>
  <c r="F111" i="13" s="1"/>
  <c r="J111" i="13"/>
  <c r="L111" i="13" a="1"/>
  <c r="L111" i="13" s="1"/>
  <c r="H112" i="13"/>
  <c r="A113" i="13"/>
  <c r="G113" i="13" s="1"/>
  <c r="D112" i="13"/>
  <c r="E112" i="13" s="1"/>
  <c r="B112" i="13"/>
  <c r="H113" i="13" a="1"/>
  <c r="I112" i="13" l="1"/>
  <c r="F112" i="13" s="1"/>
  <c r="L112" i="13" a="1"/>
  <c r="L112" i="13" s="1"/>
  <c r="J112" i="13"/>
  <c r="H113" i="13"/>
  <c r="A114" i="13"/>
  <c r="G114" i="13" s="1"/>
  <c r="D113" i="13"/>
  <c r="E113" i="13" s="1"/>
  <c r="B113" i="13"/>
  <c r="H114" i="13" a="1"/>
  <c r="I113" i="13" l="1"/>
  <c r="F113" i="13" s="1"/>
  <c r="L113" i="13" a="1"/>
  <c r="L113" i="13" s="1"/>
  <c r="J113" i="13"/>
  <c r="H114" i="13"/>
  <c r="A115" i="13"/>
  <c r="G115" i="13" s="1"/>
  <c r="D114" i="13"/>
  <c r="E114" i="13" s="1"/>
  <c r="B114" i="13"/>
  <c r="H115" i="13" a="1"/>
  <c r="I114" i="13" l="1"/>
  <c r="F114" i="13" s="1"/>
  <c r="L114" i="13" a="1"/>
  <c r="L114" i="13" s="1"/>
  <c r="J114" i="13"/>
  <c r="H115" i="13"/>
  <c r="A116" i="13"/>
  <c r="G116" i="13" s="1"/>
  <c r="D115" i="13"/>
  <c r="E115" i="13" s="1"/>
  <c r="B115" i="13"/>
  <c r="H116" i="13" a="1"/>
  <c r="I115" i="13" l="1"/>
  <c r="F115" i="13" s="1"/>
  <c r="J115" i="13"/>
  <c r="L115" i="13" a="1"/>
  <c r="L115" i="13" s="1"/>
  <c r="H116" i="13"/>
  <c r="A117" i="13"/>
  <c r="G117" i="13" s="1"/>
  <c r="B116" i="13"/>
  <c r="D116" i="13"/>
  <c r="E116" i="13" s="1"/>
  <c r="H117" i="13" a="1"/>
  <c r="I116" i="13" l="1"/>
  <c r="F116" i="13" s="1"/>
  <c r="J116" i="13"/>
  <c r="L116" i="13" a="1"/>
  <c r="L116" i="13" s="1"/>
  <c r="H117" i="13"/>
  <c r="A118" i="13"/>
  <c r="G118" i="13" s="1"/>
  <c r="B117" i="13"/>
  <c r="D117" i="13"/>
  <c r="E117" i="13" s="1"/>
  <c r="H118" i="13" a="1"/>
  <c r="I117" i="13" l="1"/>
  <c r="F117" i="13" s="1"/>
  <c r="L117" i="13" a="1"/>
  <c r="L117" i="13" s="1"/>
  <c r="J117" i="13"/>
  <c r="H118" i="13"/>
  <c r="A119" i="13"/>
  <c r="G119" i="13" s="1"/>
  <c r="D118" i="13"/>
  <c r="E118" i="13" s="1"/>
  <c r="B118" i="13"/>
  <c r="H119" i="13" a="1"/>
  <c r="I118" i="13" l="1"/>
  <c r="F118" i="13" s="1"/>
  <c r="L118" i="13" a="1"/>
  <c r="L118" i="13" s="1"/>
  <c r="J118" i="13"/>
  <c r="H119" i="13"/>
  <c r="A120" i="13"/>
  <c r="G120" i="13" s="1"/>
  <c r="B119" i="13"/>
  <c r="D119" i="13"/>
  <c r="E119" i="13" s="1"/>
  <c r="H120" i="13" a="1"/>
  <c r="I119" i="13" l="1"/>
  <c r="F119" i="13" s="1"/>
  <c r="J119" i="13"/>
  <c r="L119" i="13" a="1"/>
  <c r="L119" i="13" s="1"/>
  <c r="H120" i="13"/>
  <c r="A121" i="13"/>
  <c r="G121" i="13" s="1"/>
  <c r="B120" i="13"/>
  <c r="D120" i="13"/>
  <c r="E120" i="13" s="1"/>
  <c r="H121" i="13" a="1"/>
  <c r="I120" i="13" l="1"/>
  <c r="F120" i="13" s="1"/>
  <c r="L120" i="13" a="1"/>
  <c r="L120" i="13" s="1"/>
  <c r="J120" i="13"/>
  <c r="H121" i="13"/>
  <c r="A122" i="13"/>
  <c r="G122" i="13" s="1"/>
  <c r="D121" i="13"/>
  <c r="E121" i="13" s="1"/>
  <c r="B121" i="13"/>
  <c r="H122" i="13" a="1"/>
  <c r="I121" i="13" l="1"/>
  <c r="F121" i="13" s="1"/>
  <c r="L121" i="13" a="1"/>
  <c r="L121" i="13" s="1"/>
  <c r="J121" i="13"/>
  <c r="H122" i="13"/>
  <c r="A123" i="13"/>
  <c r="G123" i="13" s="1"/>
  <c r="D122" i="13"/>
  <c r="E122" i="13" s="1"/>
  <c r="B122" i="13"/>
  <c r="H123" i="13" a="1"/>
  <c r="I122" i="13" l="1"/>
  <c r="F122" i="13" s="1"/>
  <c r="L122" i="13" a="1"/>
  <c r="L122" i="13" s="1"/>
  <c r="J122" i="13"/>
  <c r="H123" i="13"/>
  <c r="A124" i="13"/>
  <c r="G124" i="13" s="1"/>
  <c r="D123" i="13"/>
  <c r="E123" i="13" s="1"/>
  <c r="B123" i="13"/>
  <c r="H124" i="13" a="1"/>
  <c r="I123" i="13" l="1"/>
  <c r="F123" i="13" s="1"/>
  <c r="J123" i="13"/>
  <c r="L123" i="13" a="1"/>
  <c r="L123" i="13" s="1"/>
  <c r="H124" i="13"/>
  <c r="A125" i="13"/>
  <c r="G125" i="13" s="1"/>
  <c r="D124" i="13"/>
  <c r="E124" i="13" s="1"/>
  <c r="B124" i="13"/>
  <c r="H125" i="13" a="1"/>
  <c r="I124" i="13" l="1"/>
  <c r="F124" i="13" s="1"/>
  <c r="L124" i="13" a="1"/>
  <c r="L124" i="13" s="1"/>
  <c r="J124" i="13"/>
  <c r="H125" i="13"/>
  <c r="A126" i="13"/>
  <c r="G126" i="13" s="1"/>
  <c r="D125" i="13"/>
  <c r="E125" i="13" s="1"/>
  <c r="B125" i="13"/>
  <c r="H126" i="13" a="1"/>
  <c r="I125" i="13" l="1"/>
  <c r="F125" i="13" s="1"/>
  <c r="L125" i="13" a="1"/>
  <c r="L125" i="13" s="1"/>
  <c r="J125" i="13"/>
  <c r="H126" i="13"/>
  <c r="A127" i="13"/>
  <c r="G127" i="13" s="1"/>
  <c r="D126" i="13"/>
  <c r="E126" i="13" s="1"/>
  <c r="B126" i="13"/>
  <c r="H127" i="13" a="1"/>
  <c r="I126" i="13" l="1"/>
  <c r="F126" i="13" s="1"/>
  <c r="L126" i="13" a="1"/>
  <c r="L126" i="13" s="1"/>
  <c r="J126" i="13"/>
  <c r="H127" i="13"/>
  <c r="A128" i="13"/>
  <c r="G128" i="13" s="1"/>
  <c r="D127" i="13"/>
  <c r="E127" i="13" s="1"/>
  <c r="B127" i="13"/>
  <c r="H128" i="13" a="1"/>
  <c r="I127" i="13" l="1"/>
  <c r="F127" i="13" s="1"/>
  <c r="J127" i="13"/>
  <c r="L127" i="13" a="1"/>
  <c r="L127" i="13" s="1"/>
  <c r="H128" i="13"/>
  <c r="A129" i="13"/>
  <c r="G129" i="13" s="1"/>
  <c r="D128" i="13"/>
  <c r="E128" i="13" s="1"/>
  <c r="B128" i="13"/>
  <c r="H129" i="13" a="1"/>
  <c r="I128" i="13" l="1"/>
  <c r="F128" i="13" s="1"/>
  <c r="L128" i="13" a="1"/>
  <c r="L128" i="13" s="1"/>
  <c r="J128" i="13"/>
  <c r="H129" i="13"/>
  <c r="A130" i="13"/>
  <c r="G130" i="13" s="1"/>
  <c r="D129" i="13"/>
  <c r="E129" i="13" s="1"/>
  <c r="B129" i="13"/>
  <c r="H130" i="13" a="1"/>
  <c r="I129" i="13" l="1"/>
  <c r="F129" i="13" s="1"/>
  <c r="L129" i="13" a="1"/>
  <c r="L129" i="13" s="1"/>
  <c r="J129" i="13"/>
  <c r="H130" i="13"/>
  <c r="A131" i="13"/>
  <c r="G131" i="13" s="1"/>
  <c r="D130" i="13"/>
  <c r="E130" i="13" s="1"/>
  <c r="B130" i="13"/>
  <c r="H131" i="13" a="1"/>
  <c r="I130" i="13" l="1"/>
  <c r="F130" i="13" s="1"/>
  <c r="L130" i="13" a="1"/>
  <c r="L130" i="13" s="1"/>
  <c r="J130" i="13"/>
  <c r="H131" i="13"/>
  <c r="A132" i="13"/>
  <c r="G132" i="13" s="1"/>
  <c r="D131" i="13"/>
  <c r="E131" i="13" s="1"/>
  <c r="B131" i="13"/>
  <c r="H132" i="13" a="1"/>
  <c r="I131" i="13" l="1"/>
  <c r="F131" i="13" s="1"/>
  <c r="J131" i="13"/>
  <c r="L131" i="13" a="1"/>
  <c r="L131" i="13" s="1"/>
  <c r="H132" i="13"/>
  <c r="A133" i="13"/>
  <c r="G133" i="13" s="1"/>
  <c r="D132" i="13"/>
  <c r="E132" i="13" s="1"/>
  <c r="B132" i="13"/>
  <c r="H133" i="13" a="1"/>
  <c r="I132" i="13" l="1"/>
  <c r="F132" i="13" s="1"/>
  <c r="J132" i="13"/>
  <c r="L132" i="13" a="1"/>
  <c r="L132" i="13" s="1"/>
  <c r="H133" i="13"/>
  <c r="A134" i="13"/>
  <c r="G134" i="13" s="1"/>
  <c r="B133" i="13"/>
  <c r="D133" i="13"/>
  <c r="E133" i="13" s="1"/>
  <c r="H134" i="13" a="1"/>
  <c r="I133" i="13" l="1"/>
  <c r="F133" i="13" s="1"/>
  <c r="L133" i="13" a="1"/>
  <c r="L133" i="13" s="1"/>
  <c r="J133" i="13"/>
  <c r="H134" i="13"/>
  <c r="A135" i="13"/>
  <c r="G135" i="13" s="1"/>
  <c r="D134" i="13"/>
  <c r="E134" i="13" s="1"/>
  <c r="B134" i="13"/>
  <c r="H135" i="13" a="1"/>
  <c r="I134" i="13" l="1"/>
  <c r="F134" i="13" s="1"/>
  <c r="L134" i="13" a="1"/>
  <c r="L134" i="13" s="1"/>
  <c r="J134" i="13"/>
  <c r="H135" i="13"/>
  <c r="A136" i="13"/>
  <c r="G136" i="13" s="1"/>
  <c r="D135" i="13"/>
  <c r="E135" i="13" s="1"/>
  <c r="B135" i="13"/>
  <c r="H136" i="13" a="1"/>
  <c r="I135" i="13" l="1"/>
  <c r="F135" i="13" s="1"/>
  <c r="J135" i="13"/>
  <c r="L135" i="13" a="1"/>
  <c r="L135" i="13" s="1"/>
  <c r="H136" i="13"/>
  <c r="A137" i="13"/>
  <c r="G137" i="13" s="1"/>
  <c r="B136" i="13"/>
  <c r="D136" i="13"/>
  <c r="E136" i="13" s="1"/>
  <c r="H137" i="13" a="1"/>
  <c r="I136" i="13" l="1"/>
  <c r="F136" i="13" s="1"/>
  <c r="L136" i="13" a="1"/>
  <c r="L136" i="13" s="1"/>
  <c r="J136" i="13"/>
  <c r="H137" i="13"/>
  <c r="A138" i="13"/>
  <c r="G138" i="13" s="1"/>
  <c r="D137" i="13"/>
  <c r="E137" i="13" s="1"/>
  <c r="B137" i="13"/>
  <c r="H138" i="13" a="1"/>
  <c r="I137" i="13" l="1"/>
  <c r="F137" i="13" s="1"/>
  <c r="L137" i="13" a="1"/>
  <c r="L137" i="13" s="1"/>
  <c r="J137" i="13"/>
  <c r="H138" i="13"/>
  <c r="A139" i="13"/>
  <c r="G139" i="13" s="1"/>
  <c r="D138" i="13"/>
  <c r="E138" i="13" s="1"/>
  <c r="B138" i="13"/>
  <c r="H139" i="13" a="1"/>
  <c r="I138" i="13" l="1"/>
  <c r="F138" i="13" s="1"/>
  <c r="L138" i="13" a="1"/>
  <c r="L138" i="13" s="1"/>
  <c r="J138" i="13"/>
  <c r="H139" i="13"/>
  <c r="A140" i="13"/>
  <c r="G140" i="13" s="1"/>
  <c r="D139" i="13"/>
  <c r="E139" i="13" s="1"/>
  <c r="B139" i="13"/>
  <c r="H140" i="13" a="1"/>
  <c r="I139" i="13" l="1"/>
  <c r="F139" i="13" s="1"/>
  <c r="J139" i="13"/>
  <c r="L139" i="13" a="1"/>
  <c r="L139" i="13" s="1"/>
  <c r="H140" i="13"/>
  <c r="A141" i="13"/>
  <c r="G141" i="13" s="1"/>
  <c r="D140" i="13"/>
  <c r="E140" i="13" s="1"/>
  <c r="B140" i="13"/>
  <c r="H141" i="13" a="1"/>
  <c r="I140" i="13" l="1"/>
  <c r="F140" i="13" s="1"/>
  <c r="L140" i="13" a="1"/>
  <c r="L140" i="13" s="1"/>
  <c r="J140" i="13"/>
  <c r="H141" i="13"/>
  <c r="A142" i="13"/>
  <c r="G142" i="13" s="1"/>
  <c r="B141" i="13"/>
  <c r="D141" i="13"/>
  <c r="E141" i="13" s="1"/>
  <c r="H142" i="13" a="1"/>
  <c r="I141" i="13" l="1"/>
  <c r="F141" i="13" s="1"/>
  <c r="L141" i="13" a="1"/>
  <c r="L141" i="13" s="1"/>
  <c r="J141" i="13"/>
  <c r="H142" i="13"/>
  <c r="A143" i="13"/>
  <c r="G143" i="13" s="1"/>
  <c r="D142" i="13"/>
  <c r="E142" i="13" s="1"/>
  <c r="B142" i="13"/>
  <c r="H143" i="13" a="1"/>
  <c r="I142" i="13" l="1"/>
  <c r="F142" i="13" s="1"/>
  <c r="L142" i="13" a="1"/>
  <c r="L142" i="13" s="1"/>
  <c r="J142" i="13"/>
  <c r="H143" i="13"/>
  <c r="A144" i="13"/>
  <c r="G144" i="13" s="1"/>
  <c r="D143" i="13"/>
  <c r="E143" i="13" s="1"/>
  <c r="B143" i="13"/>
  <c r="H144" i="13" a="1"/>
  <c r="I143" i="13" l="1"/>
  <c r="F143" i="13" s="1"/>
  <c r="J143" i="13"/>
  <c r="L143" i="13" a="1"/>
  <c r="L143" i="13" s="1"/>
  <c r="H144" i="13"/>
  <c r="A145" i="13"/>
  <c r="G145" i="13" s="1"/>
  <c r="D144" i="13"/>
  <c r="E144" i="13" s="1"/>
  <c r="B144" i="13"/>
  <c r="H145" i="13" a="1"/>
  <c r="I144" i="13" l="1"/>
  <c r="F144" i="13" s="1"/>
  <c r="L144" i="13" a="1"/>
  <c r="L144" i="13" s="1"/>
  <c r="J144" i="13"/>
  <c r="H145" i="13"/>
  <c r="A146" i="13"/>
  <c r="G146" i="13" s="1"/>
  <c r="D145" i="13"/>
  <c r="E145" i="13" s="1"/>
  <c r="B145" i="13"/>
  <c r="H146" i="13" a="1"/>
  <c r="I145" i="13" l="1"/>
  <c r="F145" i="13" s="1"/>
  <c r="L145" i="13" a="1"/>
  <c r="L145" i="13" s="1"/>
  <c r="J145" i="13"/>
  <c r="H146" i="13"/>
  <c r="A147" i="13"/>
  <c r="G147" i="13" s="1"/>
  <c r="D146" i="13"/>
  <c r="E146" i="13" s="1"/>
  <c r="B146" i="13"/>
  <c r="H147" i="13" a="1"/>
  <c r="I146" i="13" l="1"/>
  <c r="F146" i="13" s="1"/>
  <c r="L146" i="13" a="1"/>
  <c r="L146" i="13" s="1"/>
  <c r="J146" i="13"/>
  <c r="H147" i="13"/>
  <c r="A148" i="13"/>
  <c r="G148" i="13" s="1"/>
  <c r="D147" i="13"/>
  <c r="E147" i="13" s="1"/>
  <c r="B147" i="13"/>
  <c r="H148" i="13" a="1"/>
  <c r="I147" i="13" l="1"/>
  <c r="F147" i="13" s="1"/>
  <c r="J147" i="13"/>
  <c r="L147" i="13" a="1"/>
  <c r="L147" i="13" s="1"/>
  <c r="H148" i="13"/>
  <c r="A149" i="13"/>
  <c r="G149" i="13" s="1"/>
  <c r="D148" i="13"/>
  <c r="E148" i="13" s="1"/>
  <c r="B148" i="13"/>
  <c r="H149" i="13" a="1"/>
  <c r="I148" i="13" l="1"/>
  <c r="F148" i="13" s="1"/>
  <c r="J148" i="13"/>
  <c r="L148" i="13" a="1"/>
  <c r="L148" i="13" s="1"/>
  <c r="H149" i="13"/>
  <c r="A150" i="13"/>
  <c r="G150" i="13" s="1"/>
  <c r="B149" i="13"/>
  <c r="D149" i="13"/>
  <c r="E149" i="13" s="1"/>
  <c r="H150" i="13" a="1"/>
  <c r="I149" i="13" l="1"/>
  <c r="F149" i="13" s="1"/>
  <c r="L149" i="13" a="1"/>
  <c r="L149" i="13" s="1"/>
  <c r="J149" i="13"/>
  <c r="H150" i="13"/>
  <c r="A151" i="13"/>
  <c r="G151" i="13" s="1"/>
  <c r="D150" i="13"/>
  <c r="E150" i="13" s="1"/>
  <c r="B150" i="13"/>
  <c r="H151" i="13" a="1"/>
  <c r="I150" i="13" l="1"/>
  <c r="F150" i="13" s="1"/>
  <c r="L150" i="13" a="1"/>
  <c r="L150" i="13" s="1"/>
  <c r="J150" i="13"/>
  <c r="H151" i="13"/>
  <c r="A152" i="13"/>
  <c r="G152" i="13" s="1"/>
  <c r="B151" i="13"/>
  <c r="D151" i="13"/>
  <c r="E151" i="13" s="1"/>
  <c r="H152" i="13" a="1"/>
  <c r="I151" i="13" l="1"/>
  <c r="F151" i="13" s="1"/>
  <c r="J151" i="13"/>
  <c r="L151" i="13" a="1"/>
  <c r="L151" i="13" s="1"/>
  <c r="H152" i="13"/>
  <c r="A153" i="13"/>
  <c r="G153" i="13" s="1"/>
  <c r="B152" i="13"/>
  <c r="D152" i="13"/>
  <c r="E152" i="13" s="1"/>
  <c r="H153" i="13" a="1"/>
  <c r="I152" i="13" l="1"/>
  <c r="F152" i="13" s="1"/>
  <c r="L152" i="13" a="1"/>
  <c r="L152" i="13" s="1"/>
  <c r="J152" i="13"/>
  <c r="H153" i="13"/>
  <c r="A154" i="13"/>
  <c r="G154" i="13" s="1"/>
  <c r="B153" i="13"/>
  <c r="D153" i="13"/>
  <c r="E153" i="13" s="1"/>
  <c r="H154" i="13" a="1"/>
  <c r="I153" i="13" l="1"/>
  <c r="F153" i="13" s="1"/>
  <c r="L153" i="13" a="1"/>
  <c r="L153" i="13" s="1"/>
  <c r="J153" i="13"/>
  <c r="H154" i="13"/>
  <c r="A155" i="13"/>
  <c r="G155" i="13" s="1"/>
  <c r="D154" i="13"/>
  <c r="E154" i="13" s="1"/>
  <c r="B154" i="13"/>
  <c r="H155" i="13" a="1"/>
  <c r="I154" i="13" l="1"/>
  <c r="F154" i="13" s="1"/>
  <c r="L154" i="13" a="1"/>
  <c r="L154" i="13" s="1"/>
  <c r="J154" i="13"/>
  <c r="H155" i="13"/>
  <c r="A156" i="13"/>
  <c r="G156" i="13" s="1"/>
  <c r="D155" i="13"/>
  <c r="E155" i="13" s="1"/>
  <c r="B155" i="13"/>
  <c r="H156" i="13" a="1"/>
  <c r="I155" i="13" l="1"/>
  <c r="F155" i="13" s="1"/>
  <c r="J155" i="13"/>
  <c r="L155" i="13" a="1"/>
  <c r="L155" i="13" s="1"/>
  <c r="H156" i="13"/>
  <c r="A157" i="13"/>
  <c r="G157" i="13" s="1"/>
  <c r="D156" i="13"/>
  <c r="E156" i="13" s="1"/>
  <c r="B156" i="13"/>
  <c r="H157" i="13" a="1"/>
  <c r="I156" i="13" l="1"/>
  <c r="F156" i="13" s="1"/>
  <c r="L156" i="13" a="1"/>
  <c r="L156" i="13" s="1"/>
  <c r="J156" i="13"/>
  <c r="H157" i="13"/>
  <c r="A158" i="13"/>
  <c r="G158" i="13" s="1"/>
  <c r="D157" i="13"/>
  <c r="E157" i="13" s="1"/>
  <c r="B157" i="13"/>
  <c r="H158" i="13" a="1"/>
  <c r="I157" i="13" l="1"/>
  <c r="F157" i="13" s="1"/>
  <c r="L157" i="13" a="1"/>
  <c r="L157" i="13" s="1"/>
  <c r="J157" i="13"/>
  <c r="H158" i="13"/>
  <c r="A159" i="13"/>
  <c r="G159" i="13" s="1"/>
  <c r="D158" i="13"/>
  <c r="E158" i="13" s="1"/>
  <c r="B158" i="13"/>
  <c r="H159" i="13" a="1"/>
  <c r="I158" i="13" l="1"/>
  <c r="F158" i="13" s="1"/>
  <c r="L158" i="13" a="1"/>
  <c r="L158" i="13" s="1"/>
  <c r="J158" i="13"/>
  <c r="H159" i="13"/>
  <c r="A160" i="13"/>
  <c r="G160" i="13" s="1"/>
  <c r="D159" i="13"/>
  <c r="E159" i="13" s="1"/>
  <c r="B159" i="13"/>
  <c r="H160" i="13" a="1"/>
  <c r="I159" i="13" l="1"/>
  <c r="F159" i="13" s="1"/>
  <c r="J159" i="13"/>
  <c r="L159" i="13" a="1"/>
  <c r="L159" i="13" s="1"/>
  <c r="H160" i="13"/>
  <c r="A161" i="13"/>
  <c r="G161" i="13" s="1"/>
  <c r="B160" i="13"/>
  <c r="D160" i="13"/>
  <c r="E160" i="13" s="1"/>
  <c r="H161" i="13" a="1"/>
  <c r="I160" i="13" l="1"/>
  <c r="F160" i="13" s="1"/>
  <c r="L160" i="13" a="1"/>
  <c r="L160" i="13" s="1"/>
  <c r="J160" i="13"/>
  <c r="H161" i="13"/>
  <c r="A162" i="13"/>
  <c r="G162" i="13" s="1"/>
  <c r="D161" i="13"/>
  <c r="E161" i="13" s="1"/>
  <c r="B161" i="13"/>
  <c r="H162" i="13" a="1"/>
  <c r="I161" i="13" l="1"/>
  <c r="F161" i="13" s="1"/>
  <c r="L161" i="13" a="1"/>
  <c r="L161" i="13" s="1"/>
  <c r="J161" i="13"/>
  <c r="H162" i="13"/>
  <c r="A163" i="13"/>
  <c r="G163" i="13" s="1"/>
  <c r="D162" i="13"/>
  <c r="E162" i="13" s="1"/>
  <c r="B162" i="13"/>
  <c r="H163" i="13" a="1"/>
  <c r="I162" i="13" l="1"/>
  <c r="F162" i="13" s="1"/>
  <c r="L162" i="13" a="1"/>
  <c r="L162" i="13" s="1"/>
  <c r="J162" i="13"/>
  <c r="H163" i="13"/>
  <c r="A164" i="13"/>
  <c r="G164" i="13" s="1"/>
  <c r="D163" i="13"/>
  <c r="E163" i="13" s="1"/>
  <c r="B163" i="13"/>
  <c r="H164" i="13" a="1"/>
  <c r="I163" i="13" l="1"/>
  <c r="F163" i="13" s="1"/>
  <c r="J163" i="13"/>
  <c r="L163" i="13" a="1"/>
  <c r="L163" i="13" s="1"/>
  <c r="H164" i="13"/>
  <c r="A165" i="13"/>
  <c r="G165" i="13" s="1"/>
  <c r="B164" i="13"/>
  <c r="D164" i="13"/>
  <c r="E164" i="13" s="1"/>
  <c r="H165" i="13" a="1"/>
  <c r="I164" i="13" l="1"/>
  <c r="F164" i="13" s="1"/>
  <c r="J164" i="13"/>
  <c r="L164" i="13" a="1"/>
  <c r="L164" i="13" s="1"/>
  <c r="H165" i="13"/>
  <c r="A166" i="13"/>
  <c r="G166" i="13" s="1"/>
  <c r="B165" i="13"/>
  <c r="D165" i="13"/>
  <c r="E165" i="13" s="1"/>
  <c r="H166" i="13" a="1"/>
  <c r="I165" i="13" l="1"/>
  <c r="F165" i="13" s="1"/>
  <c r="L165" i="13" a="1"/>
  <c r="L165" i="13" s="1"/>
  <c r="J165" i="13"/>
  <c r="H166" i="13"/>
  <c r="A167" i="13"/>
  <c r="G167" i="13" s="1"/>
  <c r="D166" i="13"/>
  <c r="E166" i="13" s="1"/>
  <c r="B166" i="13"/>
  <c r="H167" i="13" a="1"/>
  <c r="I166" i="13" l="1"/>
  <c r="F166" i="13" s="1"/>
  <c r="L166" i="13" a="1"/>
  <c r="L166" i="13" s="1"/>
  <c r="J166" i="13"/>
  <c r="H167" i="13"/>
  <c r="A168" i="13"/>
  <c r="G168" i="13" s="1"/>
  <c r="B167" i="13"/>
  <c r="D167" i="13"/>
  <c r="E167" i="13" s="1"/>
  <c r="H168" i="13" a="1"/>
  <c r="I167" i="13" l="1"/>
  <c r="F167" i="13" s="1"/>
  <c r="J167" i="13"/>
  <c r="L167" i="13" a="1"/>
  <c r="L167" i="13" s="1"/>
  <c r="H168" i="13"/>
  <c r="A169" i="13"/>
  <c r="G169" i="13" s="1"/>
  <c r="B168" i="13"/>
  <c r="D168" i="13"/>
  <c r="E168" i="13" s="1"/>
  <c r="H169" i="13" a="1"/>
  <c r="I168" i="13" l="1"/>
  <c r="F168" i="13" s="1"/>
  <c r="L168" i="13" a="1"/>
  <c r="L168" i="13" s="1"/>
  <c r="J168" i="13"/>
  <c r="H169" i="13"/>
  <c r="A170" i="13"/>
  <c r="G170" i="13" s="1"/>
  <c r="B169" i="13"/>
  <c r="D169" i="13"/>
  <c r="E169" i="13" s="1"/>
  <c r="H170" i="13" a="1"/>
  <c r="I169" i="13" l="1"/>
  <c r="F169" i="13" s="1"/>
  <c r="L169" i="13" a="1"/>
  <c r="L169" i="13" s="1"/>
  <c r="J169" i="13"/>
  <c r="H170" i="13"/>
  <c r="A171" i="13"/>
  <c r="G171" i="13" s="1"/>
  <c r="D170" i="13"/>
  <c r="E170" i="13" s="1"/>
  <c r="B170" i="13"/>
  <c r="H171" i="13" a="1"/>
  <c r="I170" i="13" l="1"/>
  <c r="F170" i="13" s="1"/>
  <c r="L170" i="13" a="1"/>
  <c r="L170" i="13" s="1"/>
  <c r="J170" i="13"/>
  <c r="H171" i="13"/>
  <c r="A172" i="13"/>
  <c r="G172" i="13" s="1"/>
  <c r="D171" i="13"/>
  <c r="E171" i="13" s="1"/>
  <c r="B171" i="13"/>
  <c r="H172" i="13" a="1"/>
  <c r="I171" i="13" l="1"/>
  <c r="F171" i="13" s="1"/>
  <c r="J171" i="13"/>
  <c r="L171" i="13" a="1"/>
  <c r="L171" i="13" s="1"/>
  <c r="H172" i="13"/>
  <c r="A173" i="13"/>
  <c r="G173" i="13" s="1"/>
  <c r="D172" i="13"/>
  <c r="E172" i="13" s="1"/>
  <c r="B172" i="13"/>
  <c r="H173" i="13" a="1"/>
  <c r="I172" i="13" l="1"/>
  <c r="F172" i="13" s="1"/>
  <c r="L172" i="13" a="1"/>
  <c r="L172" i="13" s="1"/>
  <c r="J172" i="13"/>
  <c r="H173" i="13"/>
  <c r="A174" i="13"/>
  <c r="G174" i="13" s="1"/>
  <c r="B173" i="13"/>
  <c r="D173" i="13"/>
  <c r="E173" i="13" s="1"/>
  <c r="H174" i="13" a="1"/>
  <c r="I173" i="13" l="1"/>
  <c r="F173" i="13" s="1"/>
  <c r="L173" i="13" a="1"/>
  <c r="L173" i="13" s="1"/>
  <c r="J173" i="13"/>
  <c r="H174" i="13"/>
  <c r="A175" i="13"/>
  <c r="G175" i="13" s="1"/>
  <c r="D174" i="13"/>
  <c r="E174" i="13" s="1"/>
  <c r="B174" i="13"/>
  <c r="H175" i="13" a="1"/>
  <c r="I174" i="13" l="1"/>
  <c r="F174" i="13" s="1"/>
  <c r="L174" i="13" a="1"/>
  <c r="L174" i="13" s="1"/>
  <c r="J174" i="13"/>
  <c r="H175" i="13"/>
  <c r="A176" i="13"/>
  <c r="G176" i="13" s="1"/>
  <c r="D175" i="13"/>
  <c r="E175" i="13" s="1"/>
  <c r="B175" i="13"/>
  <c r="H176" i="13" a="1"/>
  <c r="I175" i="13" l="1"/>
  <c r="F175" i="13" s="1"/>
  <c r="J175" i="13"/>
  <c r="L175" i="13" a="1"/>
  <c r="L175" i="13" s="1"/>
  <c r="H176" i="13"/>
  <c r="A177" i="13"/>
  <c r="G177" i="13" s="1"/>
  <c r="D176" i="13"/>
  <c r="E176" i="13" s="1"/>
  <c r="B176" i="13"/>
  <c r="H177" i="13" a="1"/>
  <c r="I176" i="13" l="1"/>
  <c r="F176" i="13" s="1"/>
  <c r="L176" i="13" a="1"/>
  <c r="L176" i="13" s="1"/>
  <c r="J176" i="13"/>
  <c r="H177" i="13"/>
  <c r="A178" i="13"/>
  <c r="G178" i="13" s="1"/>
  <c r="D177" i="13"/>
  <c r="E177" i="13" s="1"/>
  <c r="B177" i="13"/>
  <c r="H178" i="13" a="1"/>
  <c r="I177" i="13" l="1"/>
  <c r="F177" i="13" s="1"/>
  <c r="L177" i="13" a="1"/>
  <c r="L177" i="13" s="1"/>
  <c r="J177" i="13"/>
  <c r="H178" i="13"/>
  <c r="A179" i="13"/>
  <c r="G179" i="13" s="1"/>
  <c r="D178" i="13"/>
  <c r="E178" i="13" s="1"/>
  <c r="B178" i="13"/>
  <c r="H179" i="13" a="1"/>
  <c r="I178" i="13" l="1"/>
  <c r="F178" i="13" s="1"/>
  <c r="L178" i="13" a="1"/>
  <c r="L178" i="13" s="1"/>
  <c r="J178" i="13"/>
  <c r="H179" i="13"/>
  <c r="A180" i="13"/>
  <c r="G180" i="13" s="1"/>
  <c r="D179" i="13"/>
  <c r="E179" i="13" s="1"/>
  <c r="B179" i="13"/>
  <c r="H180" i="13" a="1"/>
  <c r="I179" i="13" l="1"/>
  <c r="F179" i="13" s="1"/>
  <c r="J179" i="13"/>
  <c r="L179" i="13" a="1"/>
  <c r="L179" i="13" s="1"/>
  <c r="H180" i="13"/>
  <c r="A181" i="13"/>
  <c r="G181" i="13" s="1"/>
  <c r="D180" i="13"/>
  <c r="E180" i="13" s="1"/>
  <c r="B180" i="13"/>
  <c r="H181" i="13" a="1"/>
  <c r="I180" i="13" l="1"/>
  <c r="F180" i="13" s="1"/>
  <c r="J180" i="13"/>
  <c r="L180" i="13" a="1"/>
  <c r="L180" i="13" s="1"/>
  <c r="H181" i="13"/>
  <c r="A182" i="13"/>
  <c r="G182" i="13" s="1"/>
  <c r="B181" i="13"/>
  <c r="D181" i="13"/>
  <c r="E181" i="13" s="1"/>
  <c r="H182" i="13" a="1"/>
  <c r="I181" i="13" l="1"/>
  <c r="F181" i="13" s="1"/>
  <c r="L181" i="13" a="1"/>
  <c r="L181" i="13" s="1"/>
  <c r="J181" i="13"/>
  <c r="H182" i="13"/>
  <c r="D182" i="13"/>
  <c r="E182" i="13" s="1"/>
  <c r="B182" i="13"/>
  <c r="B18" i="13" s="1" a="1"/>
  <c r="B18" i="13" l="1"/>
  <c r="D18" i="13" s="1"/>
  <c r="J18" i="13" s="1" a="1"/>
  <c r="J18" i="13" s="1"/>
  <c r="D26" i="13"/>
  <c r="J26" i="13" s="1" a="1"/>
  <c r="J26" i="13" s="1"/>
  <c r="D21" i="13"/>
  <c r="J21" i="13" s="1" a="1"/>
  <c r="J21" i="13" s="1"/>
  <c r="D23" i="13"/>
  <c r="J23" i="13" s="1" a="1"/>
  <c r="J23" i="13" s="1"/>
  <c r="D29" i="13"/>
  <c r="J29" i="13" s="1" a="1"/>
  <c r="J29" i="13" s="1"/>
  <c r="D25" i="13"/>
  <c r="J25" i="13" s="1" a="1"/>
  <c r="J25" i="13" s="1"/>
  <c r="D20" i="13"/>
  <c r="J20" i="13" s="1" a="1"/>
  <c r="J20" i="13" s="1"/>
  <c r="D28" i="13"/>
  <c r="J28" i="13" s="1" a="1"/>
  <c r="J28" i="13" s="1"/>
  <c r="D24" i="13"/>
  <c r="J24" i="13" s="1" a="1"/>
  <c r="J24" i="13" s="1"/>
  <c r="D19" i="13"/>
  <c r="J19" i="13" s="1" a="1"/>
  <c r="J19" i="13" s="1"/>
  <c r="D22" i="13"/>
  <c r="J22" i="13" s="1" a="1"/>
  <c r="J22" i="13" s="1"/>
  <c r="D27" i="13"/>
  <c r="J27" i="13" s="1" a="1"/>
  <c r="J27" i="13" s="1"/>
  <c r="I182" i="13"/>
  <c r="L182" i="13" a="1"/>
  <c r="L182" i="13" s="1"/>
  <c r="J182" i="13"/>
  <c r="F19" i="13" l="1"/>
  <c r="H19" i="13" s="1"/>
  <c r="F20" i="13"/>
  <c r="H20" i="13" s="1"/>
  <c r="F21" i="13"/>
  <c r="H21" i="13" s="1"/>
  <c r="F22" i="13"/>
  <c r="H22" i="13" s="1"/>
  <c r="F23" i="13"/>
  <c r="H23" i="13" s="1"/>
  <c r="F24" i="13"/>
  <c r="H24" i="13" s="1"/>
  <c r="F25" i="13"/>
  <c r="H25" i="13" s="1"/>
  <c r="F26" i="13"/>
  <c r="H26" i="13" s="1"/>
  <c r="F27" i="13"/>
  <c r="H27" i="13" s="1"/>
  <c r="F28" i="13"/>
  <c r="H28" i="13" s="1"/>
  <c r="F29" i="13"/>
  <c r="H29" i="13" s="1"/>
  <c r="F182" i="13" l="1"/>
  <c r="I63" i="13"/>
  <c r="C9" i="13" s="1"/>
  <c r="L63" i="13" l="1" a="1"/>
  <c r="L63" i="13" s="1"/>
  <c r="J63" i="13"/>
  <c r="M34" i="13" a="1"/>
  <c r="M34" i="13" s="1"/>
  <c r="N34" i="13" s="1"/>
  <c r="D34" i="13" s="1"/>
  <c r="C10" i="13"/>
  <c r="F18" i="13"/>
  <c r="H18" i="13" l="1"/>
  <c r="N45" i="13"/>
  <c r="D45" i="13" s="1"/>
  <c r="N39" i="13"/>
  <c r="D39" i="13" s="1"/>
  <c r="N36" i="13"/>
  <c r="D36" i="13" s="1"/>
  <c r="N55" i="13"/>
  <c r="N42" i="13"/>
  <c r="D42" i="13" s="1"/>
  <c r="N52" i="13"/>
  <c r="D52" i="13" s="1"/>
  <c r="N53" i="13"/>
  <c r="N38" i="13"/>
  <c r="D38" i="13" s="1"/>
  <c r="N48" i="13"/>
  <c r="D48" i="13" s="1"/>
  <c r="N56" i="13"/>
  <c r="N50" i="13"/>
  <c r="D50" i="13" s="1"/>
  <c r="F63" i="13"/>
  <c r="N43" i="13"/>
  <c r="D43" i="13" s="1"/>
  <c r="N44" i="13"/>
  <c r="D44" i="13" s="1"/>
  <c r="N37" i="13"/>
  <c r="D37" i="13" s="1"/>
  <c r="N41" i="13"/>
  <c r="D41" i="13" s="1"/>
  <c r="N49" i="13"/>
  <c r="D49" i="13" s="1"/>
  <c r="N46" i="13"/>
  <c r="D46" i="13" s="1"/>
  <c r="N47" i="13"/>
  <c r="D47" i="13" s="1"/>
  <c r="N35" i="13"/>
  <c r="D35" i="13" s="1"/>
  <c r="N40" i="13"/>
  <c r="D40" i="13" s="1"/>
  <c r="N51" i="13"/>
  <c r="D51" i="13" s="1"/>
  <c r="N63" i="13" l="1" a="1"/>
  <c r="N63" i="13" s="1"/>
  <c r="C34" i="13" a="1"/>
  <c r="C34"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<sst xmlns="http://schemas.openxmlformats.org/spreadsheetml/2006/main" count="6760" uniqueCount="1830">
  <si>
    <t>Table 1: Answer Options</t>
  </si>
  <si>
    <t>Table 2: Industries</t>
  </si>
  <si>
    <t>Table 3: Org Sizes</t>
  </si>
  <si>
    <t>Table 4: Geo Scope</t>
  </si>
  <si>
    <t>Table 5: Data Sensitivity</t>
  </si>
  <si>
    <t>Table 6: Regulatory Requirements</t>
  </si>
  <si>
    <t>Table 7: Risk Multiplier Matrix</t>
  </si>
  <si>
    <t>Table 8: Maturity Levels</t>
  </si>
  <si>
    <t>Table 9:  Practice Names and Weights</t>
  </si>
  <si>
    <t>Table 10: Dimension Metadata</t>
  </si>
  <si>
    <t>Table 11: Industry Benchmarks</t>
  </si>
  <si>
    <t>Table 12: Recommendation Templates</t>
  </si>
  <si>
    <t>Table 13: Compliance Framework Mappings</t>
  </si>
  <si>
    <t>Table 14: Score Color Thresholds</t>
  </si>
  <si>
    <t>Table 15: Chart Data Ranges</t>
  </si>
  <si>
    <t>Not Implemented</t>
  </si>
  <si>
    <t>Financial Services</t>
  </si>
  <si>
    <t>Fortune 500/Global Enterprise</t>
  </si>
  <si>
    <t>Global (10+ countries)</t>
  </si>
  <si>
    <t>Highly Classified/Secret</t>
  </si>
  <si>
    <t>Multiple Major Frameworks</t>
  </si>
  <si>
    <t xml:space="preserve"> Category </t>
  </si>
  <si>
    <t xml:space="preserve"> Factor </t>
  </si>
  <si>
    <t xml:space="preserve"> Value </t>
  </si>
  <si>
    <t xml:space="preserve"> Score_Min </t>
  </si>
  <si>
    <t xml:space="preserve"> Score_Max </t>
  </si>
  <si>
    <t xml:space="preserve"> Level </t>
  </si>
  <si>
    <t xml:space="preserve"> Practice_ID </t>
  </si>
  <si>
    <t xml:space="preserve"> Practice_Name </t>
  </si>
  <si>
    <t xml:space="preserve"> Weight </t>
  </si>
  <si>
    <t xml:space="preserve"> Dim_ID </t>
  </si>
  <si>
    <t xml:space="preserve"> Dimension_Name </t>
  </si>
  <si>
    <t xml:space="preserve"> Short_Name </t>
  </si>
  <si>
    <t xml:space="preserve"> Color </t>
  </si>
  <si>
    <t xml:space="preserve"> Industry_Size </t>
  </si>
  <si>
    <t xml:space="preserve"> Avg_Overall </t>
  </si>
  <si>
    <t xml:space="preserve"> Avg_CVI </t>
  </si>
  <si>
    <t xml:space="preserve"> Avg_SGRM </t>
  </si>
  <si>
    <t xml:space="preserve"> Avg_DPE </t>
  </si>
  <si>
    <t xml:space="preserve"> Avg_ITR </t>
  </si>
  <si>
    <t xml:space="preserve"> Recommendation_Type </t>
  </si>
  <si>
    <t xml:space="preserve"> Recommendation_Text </t>
  </si>
  <si>
    <t xml:space="preserve"> Question_ID </t>
  </si>
  <si>
    <t xml:space="preserve"> Framework </t>
  </si>
  <si>
    <t xml:space="preserve"> Control_ID </t>
  </si>
  <si>
    <t xml:space="preserve"> Score_Threshold </t>
  </si>
  <si>
    <t xml:space="preserve"> Color_Code </t>
  </si>
  <si>
    <t xml:space="preserve"> Chart_Type </t>
  </si>
  <si>
    <t xml:space="preserve"> Data_Range </t>
  </si>
  <si>
    <t>Partially Implemented</t>
  </si>
  <si>
    <t>Healthcare</t>
  </si>
  <si>
    <t>Large Enterprise (1000+ employees)</t>
  </si>
  <si>
    <t>Multi-region (3-9 countries)</t>
  </si>
  <si>
    <t>Confidential/Sensitive</t>
  </si>
  <si>
    <t>Single Major Framework</t>
  </si>
  <si>
    <t xml:space="preserve"> 0.30 </t>
  </si>
  <si>
    <t xml:space="preserve"> 1.5 </t>
  </si>
  <si>
    <t xml:space="preserve"> 0.0 </t>
  </si>
  <si>
    <t xml:space="preserve"> Basic </t>
  </si>
  <si>
    <t xml:space="preserve"> 0.35 </t>
  </si>
  <si>
    <t xml:space="preserve"> 1 </t>
  </si>
  <si>
    <t xml:space="preserve"> Critical Vulnerability Identification </t>
  </si>
  <si>
    <t xml:space="preserve"> CVI </t>
  </si>
  <si>
    <t xml:space="preserve"> #1E3A5F </t>
  </si>
  <si>
    <t xml:space="preserve"> 3.2 </t>
  </si>
  <si>
    <t xml:space="preserve"> 3.4 </t>
  </si>
  <si>
    <t xml:space="preserve"> 3.5 </t>
  </si>
  <si>
    <t xml:space="preserve"> 3.1 </t>
  </si>
  <si>
    <t xml:space="preserve"> 2.9 </t>
  </si>
  <si>
    <t xml:space="preserve"> Overall </t>
  </si>
  <si>
    <t xml:space="preserve"> Immediate action required. Your organization shows significant gaps in quantum readiness. Focus on establishing basic security foundations. </t>
  </si>
  <si>
    <t xml:space="preserve"> </t>
  </si>
  <si>
    <t xml:space="preserve"> 1.0 </t>
  </si>
  <si>
    <t xml:space="preserve"> #FFCDD2 </t>
  </si>
  <si>
    <t xml:space="preserve"> Radar_Labels </t>
  </si>
  <si>
    <t xml:space="preserve"> {"CVI";"SGRM";"DPE";"ITR"} </t>
  </si>
  <si>
    <t>Mostly Implemented</t>
  </si>
  <si>
    <t>Defense/Military</t>
  </si>
  <si>
    <t>Mid-Market (100-999 employees)</t>
  </si>
  <si>
    <t>Regional (2 countries)</t>
  </si>
  <si>
    <t>Internal Use Only</t>
  </si>
  <si>
    <t>Industry Standards Only</t>
  </si>
  <si>
    <t xml:space="preserve"> 1.6 </t>
  </si>
  <si>
    <t xml:space="preserve"> 2.5 </t>
  </si>
  <si>
    <t xml:space="preserve"> Developing </t>
  </si>
  <si>
    <t xml:space="preserve"> 2 </t>
  </si>
  <si>
    <t xml:space="preserve"> Strategic Governance &amp; Risk Management </t>
  </si>
  <si>
    <t xml:space="preserve"> SGRM </t>
  </si>
  <si>
    <t xml:space="preserve"> #4A90E2 </t>
  </si>
  <si>
    <t xml:space="preserve"> 2.8 </t>
  </si>
  <si>
    <t xml:space="preserve"> 2.7 </t>
  </si>
  <si>
    <t xml:space="preserve"> You have basic controls but need systematic improvements. Prioritize high-impact areas and develop a quantum readiness roadmap. </t>
  </si>
  <si>
    <t xml:space="preserve"> #FFF3CD </t>
  </si>
  <si>
    <t xml:space="preserve"> Radar_Values </t>
  </si>
  <si>
    <t xml:space="preserve"> {Dim1_Score;Dim2_Score;Dim3_Score;Dim4_Score} </t>
  </si>
  <si>
    <t>Fully Implemented</t>
  </si>
  <si>
    <t>Technology</t>
  </si>
  <si>
    <t>Small Business (&lt;100 employees)</t>
  </si>
  <si>
    <t>Single Country</t>
  </si>
  <si>
    <t>Public/Non-sensitive</t>
  </si>
  <si>
    <t>Minimal Requirements</t>
  </si>
  <si>
    <t xml:space="preserve"> 2.6 </t>
  </si>
  <si>
    <t xml:space="preserve"> Established </t>
  </si>
  <si>
    <t xml:space="preserve"> 3 </t>
  </si>
  <si>
    <t xml:space="preserve"> Data Protection &amp; Encryption </t>
  </si>
  <si>
    <t xml:space="preserve"> DPE </t>
  </si>
  <si>
    <t xml:space="preserve"> #28A745 </t>
  </si>
  <si>
    <t xml:space="preserve"> 2.2 </t>
  </si>
  <si>
    <t xml:space="preserve"> 2.1 </t>
  </si>
  <si>
    <t xml:space="preserve"> 2.4 </t>
  </si>
  <si>
    <t xml:space="preserve"> 2.3 </t>
  </si>
  <si>
    <t xml:space="preserve"> 2.0 </t>
  </si>
  <si>
    <t xml:space="preserve"> Good foundation in place. Focus on optimizing existing controls and addressing remaining gaps for quantum resilience. </t>
  </si>
  <si>
    <t xml:space="preserve"> #D4EDDA </t>
  </si>
  <si>
    <t xml:space="preserve"> Progress_Bar </t>
  </si>
  <si>
    <t xml:space="preserve"> {Questions_Answered/120} </t>
  </si>
  <si>
    <t>Energy/Utilities</t>
  </si>
  <si>
    <t xml:space="preserve"> 1.3 </t>
  </si>
  <si>
    <t xml:space="preserve"> 3.6 </t>
  </si>
  <si>
    <t xml:space="preserve"> 3.9 </t>
  </si>
  <si>
    <t xml:space="preserve"> Advanced </t>
  </si>
  <si>
    <t xml:space="preserve"> 0.40 </t>
  </si>
  <si>
    <t xml:space="preserve"> 4 </t>
  </si>
  <si>
    <t xml:space="preserve"> Infrastructure &amp; Technical Readiness </t>
  </si>
  <si>
    <t xml:space="preserve"> ITR </t>
  </si>
  <si>
    <t xml:space="preserve"> #FFC107 </t>
  </si>
  <si>
    <t xml:space="preserve"> 3.0 </t>
  </si>
  <si>
    <t xml:space="preserve"> 3.3 </t>
  </si>
  <si>
    <t xml:space="preserve"> Strong quantum readiness. Continue monitoring emerging threats and maintain your security posture. </t>
  </si>
  <si>
    <t xml:space="preserve"> #C3E6CB </t>
  </si>
  <si>
    <t xml:space="preserve"> Maturity_Donut </t>
  </si>
  <si>
    <t xml:space="preserve"> COUNTIF by maturity level </t>
  </si>
  <si>
    <t>Manufacturing</t>
  </si>
  <si>
    <t xml:space="preserve"> 4.0 </t>
  </si>
  <si>
    <t xml:space="preserve"> Optimizing </t>
  </si>
  <si>
    <t xml:space="preserve"> Implement comprehensive asset discovery and establish vulnerability management processes. </t>
  </si>
  <si>
    <t xml:space="preserve"> #E1BEE7 </t>
  </si>
  <si>
    <t>Retail</t>
  </si>
  <si>
    <t xml:space="preserve"> 0.25 </t>
  </si>
  <si>
    <t xml:space="preserve"> 1.9 </t>
  </si>
  <si>
    <t xml:space="preserve"> 1.8 </t>
  </si>
  <si>
    <t xml:space="preserve"> Establish quantum risk governance structure and develop strategic planning capabilities. </t>
  </si>
  <si>
    <t>Government</t>
  </si>
  <si>
    <t xml:space="preserve"> 3.7 </t>
  </si>
  <si>
    <t xml:space="preserve"> Deploy quantum-resistant encryption and implement robust key management systems. </t>
  </si>
  <si>
    <t>Education</t>
  </si>
  <si>
    <t xml:space="preserve"> Strengthen infrastructure security and develop incident response capabilities. </t>
  </si>
  <si>
    <t>Telecommunications</t>
  </si>
  <si>
    <t>Transportation</t>
  </si>
  <si>
    <t xml:space="preserve"> 0.20 </t>
  </si>
  <si>
    <t>Other</t>
  </si>
  <si>
    <t xml:space="preserve"> 0.15 </t>
  </si>
  <si>
    <t xml:space="preserve"> 0.10 </t>
  </si>
  <si>
    <t xml:space="preserve"> Score_Range_Min</t>
  </si>
  <si>
    <t>Score_Range_Max</t>
  </si>
  <si>
    <t xml:space="preserve"> 0.0</t>
  </si>
  <si>
    <t xml:space="preserve">1.5 </t>
  </si>
  <si>
    <t xml:space="preserve"> 1.6</t>
  </si>
  <si>
    <t xml:space="preserve">2.5 </t>
  </si>
  <si>
    <t xml:space="preserve"> 2.6</t>
  </si>
  <si>
    <t xml:space="preserve">3.5 </t>
  </si>
  <si>
    <t xml:space="preserve"> 3.6</t>
  </si>
  <si>
    <t xml:space="preserve">4.0 </t>
  </si>
  <si>
    <t xml:space="preserve">2.0 </t>
  </si>
  <si>
    <t>Organization Profile</t>
  </si>
  <si>
    <t>overall score</t>
  </si>
  <si>
    <t>Your Answer</t>
  </si>
  <si>
    <t>Rating</t>
  </si>
  <si>
    <t>Level 1</t>
  </si>
  <si>
    <t>Evidence to look for</t>
  </si>
  <si>
    <t>Level 2</t>
  </si>
  <si>
    <t>Level 3</t>
  </si>
  <si>
    <t>Level 4</t>
  </si>
  <si>
    <t>Level 5</t>
  </si>
  <si>
    <t>Dimension</t>
  </si>
  <si>
    <t>Practice</t>
  </si>
  <si>
    <t>Stream</t>
  </si>
  <si>
    <t>Level</t>
  </si>
  <si>
    <t>Question Text</t>
  </si>
  <si>
    <t>Explanation</t>
  </si>
  <si>
    <t>Q#</t>
  </si>
  <si>
    <t>Evidence to Look For</t>
  </si>
  <si>
    <t>Notes</t>
  </si>
  <si>
    <t>CVI</t>
  </si>
  <si>
    <t>1.1: Cryptographic Discovery &amp; Inventory Management</t>
  </si>
  <si>
    <t>Foundation (60%)</t>
  </si>
  <si>
    <t>Level 1 - Basic</t>
  </si>
  <si>
    <t>How does your organization identify cryptographic assets?</t>
  </si>
  <si>
    <t>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t>
  </si>
  <si>
    <t>Level 2 - Developing</t>
  </si>
  <si>
    <t>How does your organization document cryptographic assets?</t>
  </si>
  <si>
    <t>This examines how systematically you document identified cryptographic assets, including the level of detail captured (algorithms, key sizes, expiration dates) and how this information is maintained.</t>
  </si>
  <si>
    <t>Level 3 - Established</t>
  </si>
  <si>
    <t>How does your organization govern cryptographic asset ownership and accountability?</t>
  </si>
  <si>
    <t>This examines whether your organization has clear, enforceable ownership of cryptographic assets—ensuring someone is responsible for maintaining inventory accuracy, supporting migration planning, and responding to vulnerabilities across all systems and environments.</t>
  </si>
  <si>
    <t>Level 4 - Advanced</t>
  </si>
  <si>
    <t>How does your organization validate cryptographic asset inventory completeness?</t>
  </si>
  <si>
    <t>This examines how you ensure your cryptographic asset inventory is accurate and comprehensive, without significant gaps or outdated information about algorithms, key sizes, or implementations.</t>
  </si>
  <si>
    <t>Level 5 - Optimizing</t>
  </si>
  <si>
    <t>How does your organization ensure cryptographic visibility across third-party and cloud systems?</t>
  </si>
  <si>
    <t>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t>
  </si>
  <si>
    <t>Advanced (40%)</t>
  </si>
  <si>
    <t>How is cryptographic asset inventory data used for strategic planning?</t>
  </si>
  <si>
    <t>This examines whether and how cryptographic asset information influences organizational security planning and resource allocation for quantum readiness.</t>
  </si>
  <si>
    <t>How are cryptographic assets prioritized for quantum-resistance upgrades?</t>
  </si>
  <si>
    <t>This examines how you determine which cryptographic assets should be addressed first in your quantum readiness efforts, based on vulnerability, importance, and other factors.</t>
  </si>
  <si>
    <t>How is cryptographic asset inventory maintained over time?</t>
  </si>
  <si>
    <t>This examines your processes for keeping cryptographic asset inventory information current as systems change, certificates are renewed, and new applications are deployed.</t>
  </si>
  <si>
    <t>How does your organization include IoT and embedded devices in its cryptographic inventory and quantum readiness planning?</t>
  </si>
  <si>
    <t>This evaluates whether and how your organization identifies and manages cryptographic implementations in IoT and embedded devices—systems that often rely on hardcoded, legacy, or constrained cryptography.</t>
  </si>
  <si>
    <t>How does your organization stay informed about quantum computing and cryptanalysis advancements?</t>
  </si>
  <si>
    <t>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t>
  </si>
  <si>
    <t>1.2: Vulnerability Assessment &amp; Classification</t>
  </si>
  <si>
    <t>How does your organization assess quantum vulnerability of cryptographic assets?</t>
  </si>
  <si>
    <t>This examines your approach to evaluating how susceptible your cryptographic implementations are to quantum attacks (the weaknesses in the cryptography) based on algorithm types, key sizes, and implementation details.</t>
  </si>
  <si>
    <t>How does your organization classify quantum vulnerability severity?</t>
  </si>
  <si>
    <t>This evaluates how your organization prioritizes the urgency of addressing quantum vulnerabilities by considering factors such as key establishment vs digital signatures, algorithm, key size, implementation context, data exposure, and the long-term sensitivity of protected data.</t>
  </si>
  <si>
    <t>How does your organization validate vulnerability findings?</t>
  </si>
  <si>
    <t>This examines your approach to verifying that identified cryptographic vulnerabilities are accurate and properly characterized in terms of algorithm types, key sizes, and implementation details.</t>
  </si>
  <si>
    <t>How does your organization integrate emerging quantum threats into planning and strategy?</t>
  </si>
  <si>
    <t>This evaluates how your organization uses insights from quantum computing and cryptanalysis developments to shape cryptographic roadmaps, prioritize asset upgrades, and inform long-term risk mitigation strategies.</t>
  </si>
  <si>
    <t>How does your organization contribute to (quantum) cryptanalysis and mitigation research?</t>
  </si>
  <si>
    <t>This examines your organization’s role in advancing the broader field of classical and post-quantum cryptographic research—such as algorithm analysis, vulnerability assessment, and mitigation strategies—through collaboration, knowledge sharing, or original research.</t>
  </si>
  <si>
    <t>How are vulnerability findings communicated to stakeholders?</t>
  </si>
  <si>
    <t>This assesses how effectively your organization shares information about quantum-related cryptographic vulnerabilities with relevant internal stakeholders—including technical teams, system owners, and executives.</t>
  </si>
  <si>
    <t>How does your organization assess the quantum vulnerability of cryptographic mechanisms used for data authenticity and long-term integrity?</t>
  </si>
  <si>
    <t>This examines whether your organization evaluates the post-quantum risks to digital signatures and message authentication mechanisms used to verify authenticity and protect the integrity of data over time.</t>
  </si>
  <si>
    <t>How does your organization validate the correctness and secure configuration of deployed cryptographic implementations?</t>
  </si>
  <si>
    <t>This assesses whether your organization verifies that deployed cryptographic functions are implemented according to specifications, use secure parameters (e.g., key sizes, cipher modes), and conform to standards.</t>
  </si>
  <si>
    <t>How does your organization assess trends in cryptographic vulnerabilities over time?</t>
  </si>
  <si>
    <t>This examines whether your organization tracks how cryptographic vulnerabilities evolve due to system changes, algorithm deprecation, or quantum computing progress—and whether this information is used to monitor readiness and guide remediation priorities.</t>
  </si>
  <si>
    <t>How does your organization apply quantum vulnerability insights to improve cryptographic practices and standards?</t>
  </si>
  <si>
    <t>This examines how insights gained from quantum-focused cryptographic assessments—such as algorithm weaknesses, misconfigurations, or systemic gaps—are used to improve implementation practices, internal standards, and future decision-making.</t>
  </si>
  <si>
    <t>1.3: Cryptographic Dependency Mapping</t>
  </si>
  <si>
    <t>How does your organization identify and map cryptographic dependencies across systems and services?</t>
  </si>
  <si>
    <t>This assesses your ability to discover and document how cryptographic implementations connect systems, applications, services, and devices—such as shared keys, certificates, protocols, or libraries.</t>
  </si>
  <si>
    <t>How does your organization document and maintain cryptographic dependencies between systems and services?</t>
  </si>
  <si>
    <t>This examines whether and how your organization records cryptographic interdependencies—such as shared certificates, keys, protocols, or algorithm implementations—across systems, applications, and services.</t>
  </si>
  <si>
    <t>How does your organization analyze the impact of cryptographic changes across dependent systems and services?</t>
  </si>
  <si>
    <t>This examines whether your organization performs impact analysis to understand how cryptographic changes—such as algorithm upgrades, key rotations, or certificate transitions—affect interconnected systems, services, and workflows.</t>
  </si>
  <si>
    <t>How does your organization validate the accuracy and completeness of cryptographic dependency mapping?</t>
  </si>
  <si>
    <t>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t>
  </si>
  <si>
    <t>How does your organization keep cryptographic dependency information current as systems evolve?</t>
  </si>
  <si>
    <t>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t>
  </si>
  <si>
    <t>How is cryptographic dependency information used to inform migration planning and operational risk management?</t>
  </si>
  <si>
    <t>This assesses whether your organization uses knowledge of cryptographic interdependencies—such as shared certificates, protocol chains, or API relationships—to guide transition sequencing, prevent cascading failures, and prioritize mitigation efforts.</t>
  </si>
  <si>
    <t>How does your organization manage cryptographic dependencies in software build systems and code-signing infrastructure?</t>
  </si>
  <si>
    <t>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t>
  </si>
  <si>
    <t>How does your organization assess cryptographic dependencies and transition constraints in operational technology (OT) and industrial control environments?</t>
  </si>
  <si>
    <t>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t>
  </si>
  <si>
    <t>How are cryptographic dependencies evaluated for architectural complexity and transition fragility?</t>
  </si>
  <si>
    <t>This assesses whether your organization evaluates how tightly coupled cryptographic components are across systems, and how susceptible the architecture is to cascading failures or upgrade bottlenecks during quantum-safe transitions.</t>
  </si>
  <si>
    <t>How are cryptographic dependencies tracked across CI/CD pipelines, shared libraries, and external APIs?</t>
  </si>
  <si>
    <t>Explanation: This assesses whether your organization identifies and manages cryptographic interdependencies introduced through development workflows, software components, or third-party interfaces, which may impact the timing or feasibility of quantum-resilient transitions.</t>
  </si>
  <si>
    <t>SGRM</t>
  </si>
  <si>
    <t>2.1: Executive Leadership &amp; Policy Management</t>
  </si>
  <si>
    <t>How is quantum risk oversight structured at the executive level?</t>
  </si>
  <si>
    <t>This examines how your organization has established leadership responsibility and accountability for quantum computing risks, including the governance structures that provide oversight of quantum readiness initiatives.</t>
  </si>
  <si>
    <t>How comprehensive is your quantum risk policy framework?</t>
  </si>
  <si>
    <t>This assesses the maturity of your organization's policy structure specifically addressing quantum computing risks, including the scope, depth, and implementation of policies that guide quantum readiness activities.</t>
  </si>
  <si>
    <t>How are quantum security initiatives funded and resourced?</t>
  </si>
  <si>
    <t>This examines how your organization allocates financial resources and personnel to quantum readiness initiatives, including the maturity of budgeting processes and investment tracking for quantum security efforts.</t>
  </si>
  <si>
    <t>How do you measure quantum risk governance effectiveness?</t>
  </si>
  <si>
    <t>This assesses your organization's ability to evaluate the performance of quantum security governance activities, including metrics, analytics, and continuous improvement practices.</t>
  </si>
  <si>
    <t>How does leadership drive quantum security innovation?</t>
  </si>
  <si>
    <t>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t>
  </si>
  <si>
    <t>How is quantum risk integrated into organizational strategy and long-term planning?</t>
  </si>
  <si>
    <t>How are quantum security policies reviewed and maintained over time?</t>
  </si>
  <si>
    <t>This assesses your organization's ability to ensure quantum-related policies remain current, accurate, and actionable as threats evolve and mitigation strategies advance.</t>
  </si>
  <si>
    <t>How is executive leadership kept informed and prepared to guide quantum security strategy?</t>
  </si>
  <si>
    <t>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t>
  </si>
  <si>
    <t>How do you monitor and manage progress across your quantum readiness program and cryptographic transition activities?</t>
  </si>
  <si>
    <t>This assesses your organization's approach to tracking the advancement of quantum readiness initiatives across all relevant domains—cryptographic remediation, policy implementation, vendor upgrades, and workforce enablement.</t>
  </si>
  <si>
    <t>How does your organization contribute to shaping industry-wide quantum security and cryptographic agility practices?</t>
  </si>
  <si>
    <t>This assesses your organization's contributions to industry knowledge sharing, standards development, and thought leadership in quantum security and cryptographic transition planning—including efforts to drive interoperability, agility, and preparedness across sectors.</t>
  </si>
  <si>
    <t>2.2: Risk Assessment &amp; Compliance Management</t>
  </si>
  <si>
    <t>How comprehensive is your quantum risk assessment methodology?</t>
  </si>
  <si>
    <t>This examines your organization's approach to identifying and evaluating quantum computing risks, including structured assessment frameworks, risk categorization, prioritization methods, and how the results inform cryptographic agility and transition planning.</t>
  </si>
  <si>
    <t>How automated is your quantum risk monitoring and integration into cryptographic transition planning?</t>
  </si>
  <si>
    <t>This assesses your organization's capabilities for continuously monitoring quantum computing threats and their impact on cryptographic assets, and how this surveillance is integrated into cryptographic agility planning and transition execution.</t>
  </si>
  <si>
    <t>How do you quantify quantum risk exposure?</t>
  </si>
  <si>
    <t>This examines your organization's methods for measuring the potential impact of quantum computing threats, including structured risk scoring, data sensitivity analysis, and the use of quantitative models to support cryptographic agility planning and business-aligned prioritization.</t>
  </si>
  <si>
    <t>How do you validate the effectiveness of quantum risk controls?</t>
  </si>
  <si>
    <t>This examines your organization's approach to verifying whether quantum-related risk mitigation controls—such as cryptographic upgrades, monitoring systems, and vendor safeguards—are functioning as intended and delivering the expected reduction in quantum risk exposure.</t>
  </si>
  <si>
    <t>How do you update your quantum risk assessment methodology as new threats and cryptographic developments emerge?</t>
  </si>
  <si>
    <t>This examines your organization's ability to evolve its quantum risk assessment framework in response to advances in quantum computing, cryptanalysis, and PQC research—ensuring that risk models, prioritization criteria, and cryptographic agility planning remain current and effective.</t>
  </si>
  <si>
    <t>How mature is your quantum security compliance program?</t>
  </si>
  <si>
    <t>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t>
  </si>
  <si>
    <t>How does your organization adapt cryptographic practices in response to evolving quantum security standards and regulatory requirements?</t>
  </si>
  <si>
    <t>This examines your organization's ability to track changes in quantum-related regulations and standards (e.g., NIST, ETSI), and update internal controls, cryptographic configurations, and transition plans accordingly to maintain compliance and agility.</t>
  </si>
  <si>
    <t>How do you track and map compliance across quantum-relevant controls and systems?</t>
  </si>
  <si>
    <t>This examines your organization's ability to trace quantum security compliance requirements to specific systems, policies, and enforcement controls—ensuring coverage, accountability, and auditability across the enterprise.</t>
  </si>
  <si>
    <t>How do you measure cryptographic remediation progress for regulated domains?</t>
  </si>
  <si>
    <t>This assesses your organization’s ability to track and measure progress on closing quantum security compliance gaps across high-risk, regulated domains such as PKI infrastructure, TLS endpoints, code signing workflows, and software supply chain protections.</t>
  </si>
  <si>
    <t>How do you ensure quantum security requirements are integrated into audits and control testing?</t>
  </si>
  <si>
    <t>This assesses your organization’s ability to operationalize quantum readiness by embedding quantum security controls into audit procedures and technical control testing.</t>
  </si>
  <si>
    <t>2.3: Third-Party &amp; Supply Chain Risk Management</t>
  </si>
  <si>
    <t>How comprehensive is your assessment of vendor quantum readiness and cryptographic agility?</t>
  </si>
  <si>
    <t>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t>
  </si>
  <si>
    <t>How do you manage quantum security and cryptographic agility requirements for vendors handling sensitive systems?</t>
  </si>
  <si>
    <t>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t>
  </si>
  <si>
    <t>How do you audit vendor controls for quantum security in critical systems?</t>
  </si>
  <si>
    <t>This assesses your organization’s approach to verifying that vendors have implemented effective quantum-safe and cryptographic agility controls across high-risk systems such as code signing infrastructure, TLS endpoints, HSM configurations, CI/CD pipelines, and PKI integrations.</t>
  </si>
  <si>
    <t>How does your organization enforce and validate vendor cryptographic agility under real-world constraints?</t>
  </si>
  <si>
    <t>How do you evaluate vendor support for hardware dependencies?</t>
  </si>
  <si>
    <t>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t>
  </si>
  <si>
    <t>How does your organization assess and manage quantum-related risks across its supply chain?</t>
  </si>
  <si>
    <t>This assesses your organization’s maturity in identifying, evaluating, and mitigating quantum computing risks within its vendor ecosystem and broader supply chain—focusing on structured frameworks, assessment methodologies, and the ability to adapt to evolving threats.</t>
  </si>
  <si>
    <t>How does your organization perform technical evaluation of quantum risk across individual supply chain vendors and components?</t>
  </si>
  <si>
    <t>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t>
  </si>
  <si>
    <t>How do you identify and prioritize supply chain systems that could delay or block enterprise cryptographic transitions?</t>
  </si>
  <si>
    <t>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t>
  </si>
  <si>
    <t>How does your organization evaluate fallback or downgrade risks in supply chain cryptographic protocols?</t>
  </si>
  <si>
    <t>This examines your organization’s ability to identify and assess downgrade paths or fallback mechanisms in vendor-supplied cryptographic protocols that could undermine post-quantum security, such as legacy cipher support, weak default configurations, or disabled algorithm negotiation.</t>
  </si>
  <si>
    <t>How does your organization improve vendor risk practices?</t>
  </si>
  <si>
    <t>This assesses your organization's contributions to advancing vendor risk management practices for quantum security, including innovation, standardization, and collaboration to strengthen cryptographic readiness across the broader supply chain.</t>
  </si>
  <si>
    <t>DPE</t>
  </si>
  <si>
    <t>How does your organization identify data requiring quantum-resistant protection?</t>
  </si>
  <si>
    <t>This examines how your organization identifies sensitive or long-lived data that may require protection against evolving threats, including the future risks posed by quantum computing.</t>
  </si>
  <si>
    <t>How does your organization classify data based on quantum risk?</t>
  </si>
  <si>
    <t>This examines your approach to categorizing data assets according to their vulnerability to quantum computing threats, considering factors like protection timeframe, sensitivity, and business impact.</t>
  </si>
  <si>
    <t>How does your organization implement quantum-resistant controls?</t>
  </si>
  <si>
    <t>This examines how your organization deploys cryptographic safeguards that protect data against quantum computing threats, including algorithm selection, key management, and control validation.</t>
  </si>
  <si>
    <t>How does your organization validate protection controls?</t>
  </si>
  <si>
    <t>This examines your approach to verifying that quantum-resistant data protection controls are correctly implemented and delivering the intended level of security across different environments.</t>
  </si>
  <si>
    <t>How does your organization tailor data protection requirements for constrained or specialized environments?</t>
  </si>
  <si>
    <t>This examines whether your protection requirements account for platform-specific constraints—such as limited hardware, fragmented protocols, or cloud-native designs—especially in IoT, embedded, industrial, or multi-cloud systems.</t>
  </si>
  <si>
    <t>How does your organization define protection strategies based on data lifecycle and retention needs?</t>
  </si>
  <si>
    <t>This examines your organization’s strategic approach to aligning quantum-resistant protections with data lifecycles—ensuring that encryption and integrity controls remain valid for the duration the data must remain secure or verifiable.</t>
  </si>
  <si>
    <t>How does your organization define protection strategies for unstructured or semi-structured data?</t>
  </si>
  <si>
    <t>This examines whether your data protection strategy explicitly addresses hard-to-classify data types—such as email, documents, collaboration tools, messaging logs, or data lakes—which may contain quantum-sensitive information.</t>
  </si>
  <si>
    <t>How does your organization measure the effectiveness of data protection controls?</t>
  </si>
  <si>
    <t>This examines your approach to assessing whether applied data protection controls meet their intended objectives—such as correctly aligning with data classifications and minimizing residual risk.</t>
  </si>
  <si>
    <t>How does your organization identify opportunities to improve data protection controls?</t>
  </si>
  <si>
    <t>This examines how your organization uncovers new protection gaps or improvement areas—through testing, quantum threat updates, performance analysis, or feedback from control validation and classification alignment.</t>
  </si>
  <si>
    <t>How does your organization assess the performance of data protection controls?</t>
  </si>
  <si>
    <t>This examines how your organization tests and monitors the performance of encryption, key management, and related protection mechanisms—including their impact on system efficiency, usability, and operational feasibility across environments.</t>
  </si>
  <si>
    <t>How does your organization ensure that symmetric encryption for sensitive stored data is secure against quantum algorithms?</t>
  </si>
  <si>
    <t>This examines how your organization applies and validates symmetric encryption controls for data at rest, ensuring that key sizes, encryption algorithms, and system design provide sufficient security against quantum computing threats and can be updated over time.</t>
  </si>
  <si>
    <t>How does your organization manage encryption keys for stored data in an agile manner?</t>
  </si>
  <si>
    <t>This examines your organization’s approach to the lifecycle management of encryption keys for data at rest, including generation, storage, rotation, retirement, and readiness to adapt to quantum-safe key types or wrapping mechanisms.</t>
  </si>
  <si>
    <t>How does your organization ensure strong, adaptable protection and recoverability for backup and archived data?</t>
  </si>
  <si>
    <t>This examines your organization’s approach to securing backup and archived data over extended retention periods, including the use of encryption, key management practices, and recovery validation that can support evolving cryptographic requirements.</t>
  </si>
  <si>
    <t>How does your organization ensure long-term cryptographic integrity of stored and archived data?</t>
  </si>
  <si>
    <t>This examines how your organization applies integrity protections—such as digital signatures, hashes, and time-stamps—to detect tampering in stored or archived data and ensure those mechanisms remain effective over the full data retention period.</t>
  </si>
  <si>
    <t>How does your organization test whether storage encryption and key management controls are strong enough for long-term resilience, including future quantum threats?</t>
  </si>
  <si>
    <t>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t>
  </si>
  <si>
    <t>How is your organization’s storage security strategy designed to support long-term data protection and resilience?</t>
  </si>
  <si>
    <t>This examines your approach to building a strategic framework for protecting stored data over time, including how your architecture, encryption models, and lifecycle policies account for data retention timelines, algorithm management, and evolving cryptographic requirements.</t>
  </si>
  <si>
    <t>How does your organization assess the upgrade and cryptographic support constraints of storage systems?</t>
  </si>
  <si>
    <t>This examines your organization’s ability to evaluate whether storage platforms can support current and future encryption requirements, considering factors such as key size support, algorithm agility, re-encryption feasibility, and performance or architectural limitations.</t>
  </si>
  <si>
    <t>How does your organization measure the effectiveness of encryption and key management controls used to protect stored data?</t>
  </si>
  <si>
    <t>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t>
  </si>
  <si>
    <t>How does your organization identify opportunities to improve the security of encryption and key management for stored data?</t>
  </si>
  <si>
    <t>This examines how your organization detects and evaluates potential improvements to storage encryption and key lifecycle controls, including response to control weaknesses, emerging threats, and evolving requirements such as retention timelines or cryptographic standards.</t>
  </si>
  <si>
    <t>How does your organization enhance its storage encryption and key management capabilities over time?</t>
  </si>
  <si>
    <t>This examines your organization’s approach to advancing storage security by continuously evolving encryption methods, key lifecycle processes, and system capabilities in response to emerging threats, technology advancements, and long-term data protection requirements.</t>
  </si>
  <si>
    <t>How does your organization implement cryptographic protections within data-in-transit protocols?</t>
  </si>
  <si>
    <t>This examines how your organization applies cryptographic mechanisms—such as encryption, digital signatures, key exchange, and authentication—within communication protocols to protect data in transit from interception, tampering, or spoofing.</t>
  </si>
  <si>
    <t>How does your organization manage secure communication protocols?</t>
  </si>
  <si>
    <t>This examines your approach to selecting, configuring, and maintaining communication protocols that provide encryption, authentication, and integrity for data in transit, ensuring they are securely implemented, interoperable, and aligned with organizational requirements.</t>
  </si>
  <si>
    <t>How does your organization ensure trusted identity and authentication in secure network communications?</t>
  </si>
  <si>
    <t>This examines your approach to enforcing trust models in transit security—ensuring that endpoints are authenticated and that cryptographic protections provide not only encryption but also integrity and verified identity across systems and services.</t>
  </si>
  <si>
    <t>How does your organization enforce minimum cryptographic standards to prevent downgrade attacks in data-in-transit protocols?</t>
  </si>
  <si>
    <t>This examines how your organization ensures that communication protocols reject insecure configurations and prevent fallback to deprecated cryptographic settings—such as weak cipher suites, insecure versions, or unauthenticated channels.</t>
  </si>
  <si>
    <t>How does your organization validate the effectiveness of cryptographic protections used in transit protocols?</t>
  </si>
  <si>
    <t>This examines your approach to testing and verifying whether the encryption, key exchange, authentication, and integrity protections used in transit protocols are correctly implemented and aligned with security objectives.</t>
  </si>
  <si>
    <t>How does your organization define its approach to protecting data in transit?</t>
  </si>
  <si>
    <t>This examines whether your organization has established a clear, documented foundation for protecting data in transit, including guidance on protocol selection, encryption requirements, and key management responsibilities.</t>
  </si>
  <si>
    <t>How does your organization prioritize communication channels for enhanced cryptographic protection?</t>
  </si>
  <si>
    <t>This examines how your organization determines which systems or communication paths receive stronger transit protections—based on factors such as data sensitivity, threat exposure, business impact, and technical feasibility.</t>
  </si>
  <si>
    <t>How does your organization manage and validate trust anchors for secure communication protocols?</t>
  </si>
  <si>
    <t>This examines your approach to managing root certificates, public keys, and trust stores used in transit protocols—ensuring that connections are authenticated against current, trusted authorities and that revocation or compromise is handled effectively.</t>
  </si>
  <si>
    <t>How does your organization assess and enforce cryptographic protections in third-party or externally managed communication channels?</t>
  </si>
  <si>
    <t>This examines your approach to ensuring that cryptographic protections—such as encryption, authentication, and protocol strength—are applied effectively to data in transit even when the communication path is partially or fully controlled by external providers, partners, or vendors.</t>
  </si>
  <si>
    <t>How does your organization plan for interoperability and backward compatibility during cryptographic transitions in transit protocols?</t>
  </si>
  <si>
    <t>This examines how your organization manages the risks and dependencies associated with upgrading transit-layer cryptography—ensuring that secure communication remains functional across legacy systems, third-party clients, and modern endpoints during algorithm or protocol changes.</t>
  </si>
  <si>
    <t>ITR</t>
  </si>
  <si>
    <t>How does your organization assess the cryptographic agility and quantum readiness of its technical infrastructure?</t>
  </si>
  <si>
    <t>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t>
  </si>
  <si>
    <t>How does your organization plan infrastructure upgrades to support cryptographic agility and quantum readiness?</t>
  </si>
  <si>
    <t>This examines how your organization prepares its infrastructure for cryptographic transitions—developing upgrade plans that account for flexibility in algorithm use, compatibility with evolving cryptographic standards, and the future adoption of quantum-resistant algorithms.</t>
  </si>
  <si>
    <t>How does your organization evaluate cryptographic hardware readiness for quantum-era requirements?</t>
  </si>
  <si>
    <t>This examines how your organization assesses the ability of its hardware-based cryptographic modules—such as HSMs, TPMs, or offload engines—to support key size expansion, hybrid key management, and future algorithm migration necessary for cryptographic agility and quantum resilience.</t>
  </si>
  <si>
    <t>How does your organization identify and address cryptographic upgrade blockers in legacy or third-party systems?</t>
  </si>
  <si>
    <t>This examines whether your organization actively discovers systems—including legacy applications, third-party platforms, or unmanaged devices—that may delay or prevent adoption of new cryptographic algorithms due to architectural, licensing, or vendor limitations.</t>
  </si>
  <si>
    <t>How does your organization incorporate cryptographic agility requirements into system and software design processes?</t>
  </si>
  <si>
    <t>This examines how cryptographic flexibility—such as support for multiple algorithms, pluggable crypto libraries, or hybrid key configurations—is considered and documented during design and architecture phases of new systems, platforms, or software components.</t>
  </si>
  <si>
    <t>How does your organization plan for cryptographic upgrade sequencing and dependency management?</t>
  </si>
  <si>
    <t>This examines how your organization identifies and plans for system, service, and vendor interdependencies that affect the order and coordination of cryptographic upgrades—ensuring upgrades are phased to avoid disruption, misalignment, or security gaps during the quantum transition.</t>
  </si>
  <si>
    <t>How does your organization provide technical environments and tooling to support cryptographic transition planning and implementation?</t>
  </si>
  <si>
    <t>This examines whether your organization has established the environments, tools, and cryptographic test infrastructure required to evaluate, prototype, and validate new algorithms, certificate types, key management models, and transition strategies in a controlled setting.</t>
  </si>
  <si>
    <t>How does your organization embed cryptographic agility into system architecture design?</t>
  </si>
  <si>
    <t>This examines whether architectural decisions across systems and applications explicitly account for the need to support multiple algorithms, enable seamless cryptographic upgrades, and abstract cryptographic dependencies to minimize transition risks.</t>
  </si>
  <si>
    <t>How does your organization define and measure technical milestones for cryptographic transitions?</t>
  </si>
  <si>
    <t>This examines whether your organization establishes and tracks concrete, cryptography-specific milestones to guide planning and execution—such as upgrading libraries, introducing hybrid certificates, phasing out weak algorithms, or implementing algorithm agility controls.</t>
  </si>
  <si>
    <t>How does your organization contribute to the development and advancement of technical standards for cryptographic agility and quantum-resistant implementations?</t>
  </si>
  <si>
    <t>This examines your organization’s involvement in shaping or advancing cryptographic standards—such as those related to agility, hybrid certificate handling, key management, or post-quantum protocol design.</t>
  </si>
  <si>
    <t>How does your organization define the technical capabilities required to support quantum-resistant implementation?</t>
  </si>
  <si>
    <t>This examines whether your organization has identified the specific skills, technologies, and delivery capabilities needed to implement cryptographic agility and post-quantum upgrades, including where current gaps exist.</t>
  </si>
  <si>
    <t>How does your organization allocate and protect specialized resources for cryptographic implementation and transition efforts?</t>
  </si>
  <si>
    <t>This examines whether your organization dedicates and prioritizes the technical resources—such as cryptographic experts, secure environments, and transition-enabling tools—required to support cryptographic upgrades and ensure continuity across agile and post-quantum implementations.</t>
  </si>
  <si>
    <t>How does your organization ensure the quality and correctness of cryptographic implementations?</t>
  </si>
  <si>
    <t>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t>
  </si>
  <si>
    <t>How does your organization monitor the operational impact of cryptographic implementations after deployment?</t>
  </si>
  <si>
    <t>This examines whether your organization tracks how cryptographic changes—such as new algorithms, larger key sizes, or protocol upgrades—affect system performance, reliability, and user experience, and whether findings are used to inform future implementation improvements.</t>
  </si>
  <si>
    <t>How does your organization ensure cryptographic implementation libraries, patterns, and tools remain up to date with evolving standards?</t>
  </si>
  <si>
    <t>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t>
  </si>
  <si>
    <t>How structured is your delivery process for implementing cryptographic changes?</t>
  </si>
  <si>
    <t>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t>
  </si>
  <si>
    <t>How does your organization ensure consistent implementation of cryptographic practices across systems</t>
  </si>
  <si>
    <t>This examines whether your organization has established common patterns, standards, and verification methods to ensure cryptographic practices—such as algorithm selection, key management, protocol use, and configuration—are applied uniformly across teams, systems, and environments.</t>
  </si>
  <si>
    <t>How does your organization identify and manage risks associated with cryptographic transitions?</t>
  </si>
  <si>
    <t>This examines your approach to identifying, assessing, and mitigating risks that arise during cryptographic transitions including technical, architectural, and integration-related risks.</t>
  </si>
  <si>
    <t>How does your organization track and benchmark cryptographic delivery outcomes across implementation projects?</t>
  </si>
  <si>
    <t>This examines whether your organization evaluates cryptographic delivery efforts for consistency, speed, and success across different teams, environments, or vendors to identify systemic issues and improve readiness.</t>
  </si>
  <si>
    <t>How does your organization enforce cryptographic change readiness and agility through its CI/CD and software delivery pipelines?</t>
  </si>
  <si>
    <t>This examines whether your organization integrates cryptographic policy enforcement into delivery workflows—ensuring new code, configurations, or services comply with cryptographic agility, key management, and post-quantum preparedness requirements at build and deployment time.</t>
  </si>
  <si>
    <t>How comprehensive is your testing strategy for cryptographic transitions and quantum-resistant implementations?</t>
  </si>
  <si>
    <t>This examines your organization’s approach to preparing for the testing of quantum-resistant and cryptographically agile systems—including test planning, methodologies, and coverage of new algorithms, hybrid mechanisms, and security validation requirements.</t>
  </si>
  <si>
    <t>How does your organization validate cryptographic fallback mechanisms and recovery readiness during transition testing?</t>
  </si>
  <si>
    <t>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t>
  </si>
  <si>
    <t>How does your organization test the performance and scalability of cryptographic implementations under realistic and constrained conditions?</t>
  </si>
  <si>
    <t>This examines whether your testing strategy includes performance and load testing of cryptographic operations under realistic operational conditions, including constrained devices, high-throughput services, or latency-sensitive systems.</t>
  </si>
  <si>
    <t>How does your organization generate and manage assurance evidence from cryptographic testing activities?</t>
  </si>
  <si>
    <t>This examines whether your testing practices produce reliable, traceable, and meaningful outputs—such as logs, artifacts, and validation records—that demonstrate the correctness, security, and performance of cryptographic transitions to internal and external stakeholders.</t>
  </si>
  <si>
    <t>How does your organization adapt cryptographic testing practices in response to evolving threats, implementation risks, and post-quantum developments?</t>
  </si>
  <si>
    <t>This examines whether your organization updates and enhances its cryptographic testing scope, tools, and methodologies based on new threat intelligence, protocol changes, PQC migration updates, or observed failures.</t>
  </si>
  <si>
    <t>How structured is your validation process for cryptographic transitions?</t>
  </si>
  <si>
    <t>This examines whether your organization has a defined process to validate that cryptographic transitions meet functional, security, and performance requirements before deployment.</t>
  </si>
  <si>
    <t>How does your organization ensure consistent validation practices across cryptographic transitions and systems?</t>
  </si>
  <si>
    <t>This examines whether your organization applies standardized validation procedures—such as test criteria, success thresholds, and evaluation methods—consistently across teams, systems, and environments during cryptographic migrations.</t>
  </si>
  <si>
    <t>How does your organization ensure validation of cryptographic implementations aligns with regulatory, industry, and internal compliance requirements?</t>
  </si>
  <si>
    <t>This examines whether your validation practices for cryptographic transitions are aligned with applicable compliance requirements, such as cryptographic standards, certification frameworks, and sector-specific regulations.</t>
  </si>
  <si>
    <t>How does your organization assess cryptographic weaknesses or downgrade risks in third-party and externally managed systems during implementation testing?</t>
  </si>
  <si>
    <t>This examines whether your testing and validation efforts include evaluation of cryptographic risks introduced by external systems—such as APIs, SaaS platforms, or vendor-integrated components—including legacy protocol fallback, insecure defaults, or inconsistent cryptographic controls.</t>
  </si>
  <si>
    <t>How does your organization contribute to industry standards or best practices for validating cryptographic implementations?</t>
  </si>
  <si>
    <t>This examines whether your organization plays a role in shaping how cryptographic implementations are validated across the industry, including contributions to standards bodies, community initiatives, test frameworks, or validation methodologies.</t>
  </si>
  <si>
    <t>ID.AM-1</t>
  </si>
  <si>
    <t>-</t>
  </si>
  <si>
    <t>AC.L1-3.1.1</t>
  </si>
  <si>
    <t>SI-12</t>
  </si>
  <si>
    <t>CM-8</t>
  </si>
  <si>
    <t>A.8.1.1</t>
  </si>
  <si>
    <t>CC6.1</t>
  </si>
  <si>
    <t>ID.AM-5</t>
  </si>
  <si>
    <t>AC.L2-3.1.3</t>
  </si>
  <si>
    <t>RA-2</t>
  </si>
  <si>
    <t>A.8.2.1</t>
  </si>
  <si>
    <t>CC6.2</t>
  </si>
  <si>
    <t>ID.AM-2</t>
  </si>
  <si>
    <t>1.1.1</t>
  </si>
  <si>
    <t>SC.L2-3.13.11</t>
  </si>
  <si>
    <t>SC-13</t>
  </si>
  <si>
    <t>A.8.1.2</t>
  </si>
  <si>
    <t>CM.L2-3.4.1</t>
  </si>
  <si>
    <t>CM-8a</t>
  </si>
  <si>
    <t>CM.L2-3.4.2</t>
  </si>
  <si>
    <t>CM-8b</t>
  </si>
  <si>
    <t>ID.AM-3</t>
  </si>
  <si>
    <t>AC.L1-3.1.2</t>
  </si>
  <si>
    <t>A.13.1.1</t>
  </si>
  <si>
    <t>CC6.6</t>
  </si>
  <si>
    <t>SC.L2-3.13.8</t>
  </si>
  <si>
    <t>SC-7</t>
  </si>
  <si>
    <t>A.13.2.1</t>
  </si>
  <si>
    <t>ID.BE-4</t>
  </si>
  <si>
    <t>1.1.2</t>
  </si>
  <si>
    <t>RA.L2-3.11.1</t>
  </si>
  <si>
    <t>A.5.1.1</t>
  </si>
  <si>
    <t>CC3.2</t>
  </si>
  <si>
    <t>ID.SC-1</t>
  </si>
  <si>
    <t>CM.L2-3.4.3</t>
  </si>
  <si>
    <t>SA-4</t>
  </si>
  <si>
    <t>A.15.1.1</t>
  </si>
  <si>
    <t>CC9.1</t>
  </si>
  <si>
    <t>ID.AM-4</t>
  </si>
  <si>
    <t>CM.L2-3.4.4</t>
  </si>
  <si>
    <t>CM-3</t>
  </si>
  <si>
    <t>A.8.1.3</t>
  </si>
  <si>
    <t>ID.RA-1</t>
  </si>
  <si>
    <t>RA.L2-3.11.2</t>
  </si>
  <si>
    <t>RA-5</t>
  </si>
  <si>
    <t>A.12.6.1</t>
  </si>
  <si>
    <t>CC7.1</t>
  </si>
  <si>
    <t>2.1.1</t>
  </si>
  <si>
    <t>A.18.2.3</t>
  </si>
  <si>
    <t>ID.RA-3</t>
  </si>
  <si>
    <t>2.1.2</t>
  </si>
  <si>
    <t>RA.L2-3.11.3</t>
  </si>
  <si>
    <t>RA-3</t>
  </si>
  <si>
    <t>CC7.2</t>
  </si>
  <si>
    <t>ID.SC-2</t>
  </si>
  <si>
    <t>SR.L2-3.12.1</t>
  </si>
  <si>
    <t>SA-12</t>
  </si>
  <si>
    <t>A.15.2.1</t>
  </si>
  <si>
    <t>CC9.2</t>
  </si>
  <si>
    <t>DE.CM-8</t>
  </si>
  <si>
    <t>SI.L2-3.14.3</t>
  </si>
  <si>
    <t>SI-5</t>
  </si>
  <si>
    <t>ID.RA-5</t>
  </si>
  <si>
    <t>RA-5b</t>
  </si>
  <si>
    <t>CA.L2-3.12.3</t>
  </si>
  <si>
    <t>CA-7</t>
  </si>
  <si>
    <t>CA.L3-3.12.2</t>
  </si>
  <si>
    <t>CA-8</t>
  </si>
  <si>
    <t>A.18.2.1</t>
  </si>
  <si>
    <t>CA.L3-3.12.4</t>
  </si>
  <si>
    <t>ID.RA-4</t>
  </si>
  <si>
    <t>A.5.1.2</t>
  </si>
  <si>
    <t>3.1.1</t>
  </si>
  <si>
    <t>ID.RM-2</t>
  </si>
  <si>
    <t>RA-3c</t>
  </si>
  <si>
    <t>A.6.1.3</t>
  </si>
  <si>
    <t>CC3.3</t>
  </si>
  <si>
    <t>ID.RM-1</t>
  </si>
  <si>
    <t>PM-9</t>
  </si>
  <si>
    <t>A.6.1.4</t>
  </si>
  <si>
    <t>RS.MI-3</t>
  </si>
  <si>
    <t>RM.L2-3.11.3</t>
  </si>
  <si>
    <t>CA-5</t>
  </si>
  <si>
    <t>A.16.1.6</t>
  </si>
  <si>
    <t>CC7.3</t>
  </si>
  <si>
    <t>ID.RM-3</t>
  </si>
  <si>
    <t>RA-3d</t>
  </si>
  <si>
    <t>DE.CM-1</t>
  </si>
  <si>
    <t>CA.L2-3.12.1</t>
  </si>
  <si>
    <t>A.6.1.5</t>
  </si>
  <si>
    <t>PM-6</t>
  </si>
  <si>
    <t>CC4.1</t>
  </si>
  <si>
    <t>ID.SC-3</t>
  </si>
  <si>
    <t>SA-9</t>
  </si>
  <si>
    <t>A.15.2.2</t>
  </si>
  <si>
    <t>ID.RA-2</t>
  </si>
  <si>
    <t>3.1.2</t>
  </si>
  <si>
    <t>PM.L2-3.11.1</t>
  </si>
  <si>
    <t>PM-16</t>
  </si>
  <si>
    <t>A.6.1.2</t>
  </si>
  <si>
    <t>GV.OC-1</t>
  </si>
  <si>
    <t>PM-1</t>
  </si>
  <si>
    <t>CC1.1</t>
  </si>
  <si>
    <t>GV.OC-2</t>
  </si>
  <si>
    <t>PM-2</t>
  </si>
  <si>
    <t>CC1.2</t>
  </si>
  <si>
    <t>4.1.1</t>
  </si>
  <si>
    <t>GV.OC-3</t>
  </si>
  <si>
    <t>CC1.3</t>
  </si>
  <si>
    <t>GV.PO-1</t>
  </si>
  <si>
    <t>PL-1</t>
  </si>
  <si>
    <t>A.5.2.1</t>
  </si>
  <si>
    <t>CC1.4</t>
  </si>
  <si>
    <t>GV.RR-1</t>
  </si>
  <si>
    <t>A.5.3.1</t>
  </si>
  <si>
    <t>GV.RM-1</t>
  </si>
  <si>
    <t>PM-3</t>
  </si>
  <si>
    <t>CC1.5</t>
  </si>
  <si>
    <t>GV.SP-1</t>
  </si>
  <si>
    <t>4.1.2</t>
  </si>
  <si>
    <t>PM-8</t>
  </si>
  <si>
    <t>CC2.1</t>
  </si>
  <si>
    <t>GV.MT-1</t>
  </si>
  <si>
    <t>A.9.1.1</t>
  </si>
  <si>
    <t>A.9.1.3</t>
  </si>
  <si>
    <t>CC4.2</t>
  </si>
  <si>
    <t>A.6.1.1</t>
  </si>
  <si>
    <t>CC3.1</t>
  </si>
  <si>
    <t>4.2.1</t>
  </si>
  <si>
    <t>PR.IP-2</t>
  </si>
  <si>
    <t>CA.L2-3.12.2</t>
  </si>
  <si>
    <t>CA-2</t>
  </si>
  <si>
    <t>CC3.4</t>
  </si>
  <si>
    <t>RS.AN-5</t>
  </si>
  <si>
    <t>IR.L2-3.6.2</t>
  </si>
  <si>
    <t>IR-4</t>
  </si>
  <si>
    <t>A.16.1.4</t>
  </si>
  <si>
    <t>ID.BE-5</t>
  </si>
  <si>
    <t>CP.L2-3.11.1</t>
  </si>
  <si>
    <t>CP-2</t>
  </si>
  <si>
    <t>A.17.1.1</t>
  </si>
  <si>
    <t>GV.PO-2</t>
  </si>
  <si>
    <t>CA.L2-3.12.4</t>
  </si>
  <si>
    <t>CA-1</t>
  </si>
  <si>
    <t>A.18.1.1</t>
  </si>
  <si>
    <t>ID.GV-3</t>
  </si>
  <si>
    <t>CC2.2</t>
  </si>
  <si>
    <t>PR.IP-1</t>
  </si>
  <si>
    <t>CC5.1</t>
  </si>
  <si>
    <t>PR.DS-6</t>
  </si>
  <si>
    <t>A.18.2.2</t>
  </si>
  <si>
    <t>CC5.2</t>
  </si>
  <si>
    <t>CC5.3</t>
  </si>
  <si>
    <t>DE.CM-6</t>
  </si>
  <si>
    <t>A.18.1.3</t>
  </si>
  <si>
    <t>GV.OV-3</t>
  </si>
  <si>
    <t>CA-6</t>
  </si>
  <si>
    <t>A.18.1.4</t>
  </si>
  <si>
    <t>CC5.4</t>
  </si>
  <si>
    <t>PR.IP-7</t>
  </si>
  <si>
    <t>CC2.3</t>
  </si>
  <si>
    <t>PR.DS-1</t>
  </si>
  <si>
    <t>5.1.1</t>
  </si>
  <si>
    <t>SC.L2-3.13.16</t>
  </si>
  <si>
    <t>SC-28</t>
  </si>
  <si>
    <t>A.8.2.3</t>
  </si>
  <si>
    <t>PR.DS-2</t>
  </si>
  <si>
    <t>5.1.2</t>
  </si>
  <si>
    <t>SC-8</t>
  </si>
  <si>
    <t>5.1.3</t>
  </si>
  <si>
    <t>PR.DS-5</t>
  </si>
  <si>
    <t>5.1.4</t>
  </si>
  <si>
    <t>CC6.7</t>
  </si>
  <si>
    <t>5.1.5</t>
  </si>
  <si>
    <t>PR.DS-3</t>
  </si>
  <si>
    <t>IA.L2-3.5.3</t>
  </si>
  <si>
    <t>IA-5</t>
  </si>
  <si>
    <t>A.9.1.2</t>
  </si>
  <si>
    <t>5.1.6</t>
  </si>
  <si>
    <t>5.1.7</t>
  </si>
  <si>
    <t>DE.CM-3</t>
  </si>
  <si>
    <t>SI-4</t>
  </si>
  <si>
    <t>A.12.4.1</t>
  </si>
  <si>
    <t>PR.AC-1</t>
  </si>
  <si>
    <t>5.2.1</t>
  </si>
  <si>
    <t>SC.L2-3.13.10</t>
  </si>
  <si>
    <t>SC-12</t>
  </si>
  <si>
    <t>A.10.1.2</t>
  </si>
  <si>
    <t>5.2.2</t>
  </si>
  <si>
    <t>SC.L3-3.13.11</t>
  </si>
  <si>
    <t>5.2.3</t>
  </si>
  <si>
    <t>5.2.4</t>
  </si>
  <si>
    <t>PR.AC-4</t>
  </si>
  <si>
    <t>5.2.5</t>
  </si>
  <si>
    <t>SC.L3-3.13.10</t>
  </si>
  <si>
    <t>CC6.3</t>
  </si>
  <si>
    <t>DE.AE-3</t>
  </si>
  <si>
    <t>AU.L2-3.3.1</t>
  </si>
  <si>
    <t>AU-2</t>
  </si>
  <si>
    <t>5.2.6</t>
  </si>
  <si>
    <t>IR.L2-3.6.1</t>
  </si>
  <si>
    <t>A.16.1.5</t>
  </si>
  <si>
    <t>5.2.7</t>
  </si>
  <si>
    <t>MP.L2-3.8.1</t>
  </si>
  <si>
    <t>MP.L2-3.8.2</t>
  </si>
  <si>
    <t>MP-3</t>
  </si>
  <si>
    <t>A.8.2.2</t>
  </si>
  <si>
    <t>MP.L2-3.8.3</t>
  </si>
  <si>
    <t>MP-1</t>
  </si>
  <si>
    <t>PR.IP-6</t>
  </si>
  <si>
    <t>MP-6</t>
  </si>
  <si>
    <t>A.8.3.1</t>
  </si>
  <si>
    <t>CC6.5</t>
  </si>
  <si>
    <t>A.8.3.2</t>
  </si>
  <si>
    <t>PR.PT-2</t>
  </si>
  <si>
    <t>MP.L2-3.8.7</t>
  </si>
  <si>
    <t>MP-5</t>
  </si>
  <si>
    <t>CC6.4</t>
  </si>
  <si>
    <t>SC.L2-3.13.2</t>
  </si>
  <si>
    <t>PR.PT-1</t>
  </si>
  <si>
    <t>AC-1</t>
  </si>
  <si>
    <t>P1.1</t>
  </si>
  <si>
    <t>PR.AC-5</t>
  </si>
  <si>
    <t>SC.L2-3.13.5</t>
  </si>
  <si>
    <t>A.13.1.3</t>
  </si>
  <si>
    <t>AC.L3-3.1.2</t>
  </si>
  <si>
    <t>AC-4</t>
  </si>
  <si>
    <t>SC.L3-3.13.5</t>
  </si>
  <si>
    <t>SC.L1-3.13.1</t>
  </si>
  <si>
    <t>SI.L2-3.14.6</t>
  </si>
  <si>
    <t>PR.AC-3</t>
  </si>
  <si>
    <t>6.1.1</t>
  </si>
  <si>
    <t>AC.L2-3.1.12</t>
  </si>
  <si>
    <t>AC-17</t>
  </si>
  <si>
    <t>AC-3</t>
  </si>
  <si>
    <t>CM-2</t>
  </si>
  <si>
    <t>A.12.1.1</t>
  </si>
  <si>
    <t>A.12.1.2</t>
  </si>
  <si>
    <t>PR.IP-12</t>
  </si>
  <si>
    <t>SI.L1-3.14.1</t>
  </si>
  <si>
    <t>SI-2</t>
  </si>
  <si>
    <t>SI.L2-3.14.2</t>
  </si>
  <si>
    <t>CM-6</t>
  </si>
  <si>
    <t>CM.L2-3.4.6</t>
  </si>
  <si>
    <t>CM-7</t>
  </si>
  <si>
    <t>A.12.5.1</t>
  </si>
  <si>
    <t>IA.L1-3.5.1</t>
  </si>
  <si>
    <t>A.9.2.4</t>
  </si>
  <si>
    <t>PR.IP-3</t>
  </si>
  <si>
    <t>RS.RP-1</t>
  </si>
  <si>
    <t>IR-1</t>
  </si>
  <si>
    <t>A.16.1.1</t>
  </si>
  <si>
    <t>RS.CO-3</t>
  </si>
  <si>
    <t>IR-7</t>
  </si>
  <si>
    <t>A.16.1.2</t>
  </si>
  <si>
    <t>DE.AE-1</t>
  </si>
  <si>
    <t>RS.AN-1</t>
  </si>
  <si>
    <t>A.16.1.7</t>
  </si>
  <si>
    <t>CC7.4</t>
  </si>
  <si>
    <t>RS.MI-1</t>
  </si>
  <si>
    <t>RC.RP-1</t>
  </si>
  <si>
    <t>CP.L2-3.11.2</t>
  </si>
  <si>
    <t>A1.2</t>
  </si>
  <si>
    <t>PR.IP-4</t>
  </si>
  <si>
    <t>CP-9</t>
  </si>
  <si>
    <t>A.12.3.1</t>
  </si>
  <si>
    <t>A.17.1.2</t>
  </si>
  <si>
    <t>RS.IM-1</t>
  </si>
  <si>
    <t>IR.L2-3.6.3</t>
  </si>
  <si>
    <t>CC7.5</t>
  </si>
  <si>
    <t>IR-3</t>
  </si>
  <si>
    <t>A.17.1.3</t>
  </si>
  <si>
    <t>NIST PQC</t>
  </si>
  <si>
    <t>FISMA</t>
  </si>
  <si>
    <t>FedRAMP</t>
  </si>
  <si>
    <t>SOC2</t>
  </si>
  <si>
    <t>Q1</t>
  </si>
  <si>
    <t>Q2</t>
  </si>
  <si>
    <t>Q3</t>
  </si>
  <si>
    <t>Q4</t>
  </si>
  <si>
    <t>Q5</t>
  </si>
  <si>
    <t>Q6</t>
  </si>
  <si>
    <t>Q7</t>
  </si>
  <si>
    <t>Q8</t>
  </si>
  <si>
    <t>Q9</t>
  </si>
  <si>
    <t>Q10</t>
  </si>
  <si>
    <t>Q11</t>
  </si>
  <si>
    <t>Q12</t>
  </si>
  <si>
    <t>Q13</t>
  </si>
  <si>
    <t>Q14</t>
  </si>
  <si>
    <t>Q15</t>
  </si>
  <si>
    <t>Q16</t>
  </si>
  <si>
    <t>Q17</t>
  </si>
  <si>
    <t>Q18</t>
  </si>
  <si>
    <t>Q19</t>
  </si>
  <si>
    <t>Q20</t>
  </si>
  <si>
    <t>Q21</t>
  </si>
  <si>
    <t>Q22</t>
  </si>
  <si>
    <t>Q23</t>
  </si>
  <si>
    <t>Q24</t>
  </si>
  <si>
    <t>Q25</t>
  </si>
  <si>
    <t>Q26</t>
  </si>
  <si>
    <t>Q27</t>
  </si>
  <si>
    <t>Q28</t>
  </si>
  <si>
    <t>Q29</t>
  </si>
  <si>
    <t>Q30</t>
  </si>
  <si>
    <t>Q31</t>
  </si>
  <si>
    <t>Q32</t>
  </si>
  <si>
    <t>Q33</t>
  </si>
  <si>
    <t>Q34</t>
  </si>
  <si>
    <t>Q35</t>
  </si>
  <si>
    <t>Q36</t>
  </si>
  <si>
    <t>Q37</t>
  </si>
  <si>
    <t>Q38</t>
  </si>
  <si>
    <t>Q39</t>
  </si>
  <si>
    <t>Q40</t>
  </si>
  <si>
    <t>Q41</t>
  </si>
  <si>
    <t>Q42</t>
  </si>
  <si>
    <t>Q43</t>
  </si>
  <si>
    <t>Q44</t>
  </si>
  <si>
    <t>Q45</t>
  </si>
  <si>
    <t>Q46</t>
  </si>
  <si>
    <t>Q47</t>
  </si>
  <si>
    <t>Q48</t>
  </si>
  <si>
    <t>Q49</t>
  </si>
  <si>
    <t>Q50</t>
  </si>
  <si>
    <t>Q51</t>
  </si>
  <si>
    <t>Q52</t>
  </si>
  <si>
    <t>Q53</t>
  </si>
  <si>
    <t>Q54</t>
  </si>
  <si>
    <t>Q55</t>
  </si>
  <si>
    <t>Q56</t>
  </si>
  <si>
    <t>Q57</t>
  </si>
  <si>
    <t>Q58</t>
  </si>
  <si>
    <t>Q59</t>
  </si>
  <si>
    <t>Q60</t>
  </si>
  <si>
    <t>Q61</t>
  </si>
  <si>
    <t>Q62</t>
  </si>
  <si>
    <t>Q63</t>
  </si>
  <si>
    <t>Q64</t>
  </si>
  <si>
    <t>Q65</t>
  </si>
  <si>
    <t>Q66</t>
  </si>
  <si>
    <t>Q67</t>
  </si>
  <si>
    <t>Q68</t>
  </si>
  <si>
    <t>Q69</t>
  </si>
  <si>
    <t>Q70</t>
  </si>
  <si>
    <t>Q71</t>
  </si>
  <si>
    <t>Q72</t>
  </si>
  <si>
    <t>Q73</t>
  </si>
  <si>
    <t>Q74</t>
  </si>
  <si>
    <t>Q75</t>
  </si>
  <si>
    <t>Q76</t>
  </si>
  <si>
    <t>Q77</t>
  </si>
  <si>
    <t>Q78</t>
  </si>
  <si>
    <t>Q79</t>
  </si>
  <si>
    <t>Q80</t>
  </si>
  <si>
    <t>Q81</t>
  </si>
  <si>
    <t>Q82</t>
  </si>
  <si>
    <t>Q83</t>
  </si>
  <si>
    <t>Q84</t>
  </si>
  <si>
    <t>Q85</t>
  </si>
  <si>
    <t>Q86</t>
  </si>
  <si>
    <t>Q87</t>
  </si>
  <si>
    <t>Q88</t>
  </si>
  <si>
    <t>Q89</t>
  </si>
  <si>
    <t>Q90</t>
  </si>
  <si>
    <t>Q91</t>
  </si>
  <si>
    <t>Q92</t>
  </si>
  <si>
    <t>Q93</t>
  </si>
  <si>
    <t>Q94</t>
  </si>
  <si>
    <t>Q95</t>
  </si>
  <si>
    <t>Q96</t>
  </si>
  <si>
    <t>Q97</t>
  </si>
  <si>
    <t>Q98</t>
  </si>
  <si>
    <t>Q99</t>
  </si>
  <si>
    <t>Q100</t>
  </si>
  <si>
    <t>Q101</t>
  </si>
  <si>
    <t>Q102</t>
  </si>
  <si>
    <t>Q103</t>
  </si>
  <si>
    <t>Q104</t>
  </si>
  <si>
    <t>Q105</t>
  </si>
  <si>
    <t>Q106</t>
  </si>
  <si>
    <t>Q107</t>
  </si>
  <si>
    <t>Q108</t>
  </si>
  <si>
    <t>Q109</t>
  </si>
  <si>
    <t>Q110</t>
  </si>
  <si>
    <t>Q111</t>
  </si>
  <si>
    <t>Q112</t>
  </si>
  <si>
    <t>Q113</t>
  </si>
  <si>
    <t>Q114</t>
  </si>
  <si>
    <t>Q115</t>
  </si>
  <si>
    <t>Q116</t>
  </si>
  <si>
    <t>Q117</t>
  </si>
  <si>
    <t>Q118</t>
  </si>
  <si>
    <t>Q119</t>
  </si>
  <si>
    <t>Q120</t>
  </si>
  <si>
    <t>Asset Discovery &amp; Classification</t>
  </si>
  <si>
    <t>Foundation</t>
  </si>
  <si>
    <t>Advanced</t>
  </si>
  <si>
    <t>Risk Prioritization &amp; Tracking</t>
  </si>
  <si>
    <t>Organization Name</t>
  </si>
  <si>
    <t>Industry</t>
  </si>
  <si>
    <t>Size</t>
  </si>
  <si>
    <t>Geographical Scope</t>
  </si>
  <si>
    <t>Data Sensitivity</t>
  </si>
  <si>
    <t>Regulatory Requirements</t>
  </si>
  <si>
    <t>Organization Multiplier</t>
  </si>
  <si>
    <t>===</t>
  </si>
  <si>
    <t>Strategic Governance &amp; Risk Management</t>
  </si>
  <si>
    <t>QRAMM Assessment</t>
  </si>
  <si>
    <t>Vulnerability Scanning &amp; Analysis</t>
  </si>
  <si>
    <t>Governance Structure &amp; Leadership</t>
  </si>
  <si>
    <t>Risk Management Framework</t>
  </si>
  <si>
    <t>Compliance &amp; Audit</t>
  </si>
  <si>
    <t>Encryption Implementation</t>
  </si>
  <si>
    <t>Key Management Systems</t>
  </si>
  <si>
    <t>Data Classification &amp; Handling</t>
  </si>
  <si>
    <t>Network Security Architecture</t>
  </si>
  <si>
    <t>System Hardening &amp; Updates</t>
  </si>
  <si>
    <t>Incident Response &amp; Recovery</t>
  </si>
  <si>
    <t>adjusted score</t>
  </si>
  <si>
    <t>Quantum Readiness Assurance Maturity Model</t>
  </si>
  <si>
    <t>Introduction</t>
  </si>
  <si>
    <t xml:space="preserve">Critical Vulnerability Identification </t>
  </si>
  <si>
    <t>CVI_1</t>
  </si>
  <si>
    <t>CVI_2</t>
  </si>
  <si>
    <t>CVI_3</t>
  </si>
  <si>
    <t>SGRM_1</t>
  </si>
  <si>
    <t>SGRM_2</t>
  </si>
  <si>
    <t>SGRM_3</t>
  </si>
  <si>
    <t>DPE_1</t>
  </si>
  <si>
    <t>DPE_2</t>
  </si>
  <si>
    <t>DPE_3</t>
  </si>
  <si>
    <t>ITR_1</t>
  </si>
  <si>
    <t>ITR_2</t>
  </si>
  <si>
    <t>ITR_3</t>
  </si>
  <si>
    <t>Data Protection Engineering</t>
  </si>
  <si>
    <t>Implementation &amp; Technical Readiness</t>
  </si>
  <si>
    <t>Scorecard</t>
  </si>
  <si>
    <t>Maturity Level</t>
  </si>
  <si>
    <t>Cryptographic Visibility &amp; Inventory</t>
  </si>
  <si>
    <t>Basic</t>
  </si>
  <si>
    <t>Total QRAMM Score</t>
  </si>
  <si>
    <t>Profile-based insights</t>
  </si>
  <si>
    <t>Practice Area Heatmaps</t>
  </si>
  <si>
    <t>Dimension Scoring Summary</t>
  </si>
  <si>
    <t>Raw Score</t>
  </si>
  <si>
    <t>Weighted Score</t>
  </si>
  <si>
    <t>g</t>
  </si>
  <si>
    <t>Healthcare_Fortune 500/Global Enterprise</t>
  </si>
  <si>
    <t>Healthcare_Large Enterprise (1000+ employees)</t>
  </si>
  <si>
    <t>Healthcare_Mid-Market (100-999 employees)</t>
  </si>
  <si>
    <t>Healthcare_Small Business (&lt;100 employees)</t>
  </si>
  <si>
    <t>Technology_Fortune 500/Global Enterprise</t>
  </si>
  <si>
    <t>Technology_Large Enterprise (1000+ employees)</t>
  </si>
  <si>
    <t>Technology_Mid-Market (100-999 employees)</t>
  </si>
  <si>
    <t>Technology_Small Business (&lt;100 employees)</t>
  </si>
  <si>
    <t>Financial Services_Fortune 500/Global Enterprise</t>
  </si>
  <si>
    <t>Financial Services_Large Enterprise (1000+ employees)</t>
  </si>
  <si>
    <t>Financial Services_Mid-Market (100-999 employees)</t>
  </si>
  <si>
    <t>Financial Services_Small Business (&lt;100 employees)</t>
  </si>
  <si>
    <t>Other_All</t>
  </si>
  <si>
    <t xml:space="preserve"> Practice ID </t>
  </si>
  <si>
    <t xml:space="preserve"> Practice Name </t>
  </si>
  <si>
    <t xml:space="preserve"> Strength Description </t>
  </si>
  <si>
    <t>Cryptographic Discovery</t>
  </si>
  <si>
    <t>Comprehensive cryptographic asset inventory with automated discovery, real-time updates, and complete visibility across all environments</t>
  </si>
  <si>
    <t>Vulnerability Assessment</t>
  </si>
  <si>
    <t>Advanced quantum threat detection with continuous monitoring, automated risk scoring, and proactive vulnerability remediation</t>
  </si>
  <si>
    <t>Dependency Mapping</t>
  </si>
  <si>
    <t>Complete cryptographic dependency visualization with impact analysis, migration planning, and automated relationship tracking</t>
  </si>
  <si>
    <t>Leadership &amp; Governance</t>
  </si>
  <si>
    <t>Strong executive commitment with dedicated quantum security team, board-level oversight, and strategic investment</t>
  </si>
  <si>
    <t>Policy Framework</t>
  </si>
  <si>
    <t>Comprehensive quantum security policies with clear accountability, regular updates, and organization-wide enforcement</t>
  </si>
  <si>
    <t>Risk Management</t>
  </si>
  <si>
    <t>Integrated quantum risk framework with quantified impacts, continuous monitoring, and data-driven decision making</t>
  </si>
  <si>
    <t>Data Classification</t>
  </si>
  <si>
    <t>Strategic data categorization with quantum risk scoring, automated classification, and protection requirement mapping</t>
  </si>
  <si>
    <t>PQC Implementation</t>
  </si>
  <si>
    <t>Advanced quantum-safe cryptography deployment with algorithm agility, performance optimization, and seamless integration</t>
  </si>
  <si>
    <t>Lifecycle Management</t>
  </si>
  <si>
    <t>Mature crypto lifecycle processes with automated rotation, certificate management, and smooth algorithm transitions</t>
  </si>
  <si>
    <t>Infrastructure Assessment</t>
  </si>
  <si>
    <t>Thorough infrastructure evaluation with detailed gap analysis, modernization roadmap, and resource optimization</t>
  </si>
  <si>
    <t>Implementation Planning</t>
  </si>
  <si>
    <t>Strategic quantum transition planning with phased approach, risk mitigation, and minimal business disruption</t>
  </si>
  <si>
    <t>Operational Readiness</t>
  </si>
  <si>
    <t>Excellent operational capabilities with 24/7 monitoring, incident response, and continuous improvement culture</t>
  </si>
  <si>
    <t xml:space="preserve"> Weakness Description </t>
  </si>
  <si>
    <t xml:space="preserve"> Risk Level </t>
  </si>
  <si>
    <t>Limited or no cryptographic asset visibility creating dangerous blind spots for quantum threats</t>
  </si>
  <si>
    <t>HIGH</t>
  </si>
  <si>
    <t>Inadequate quantum threat assessment leaving organization exposed to "harvest now, decrypt later" attacks</t>
  </si>
  <si>
    <t>CRITICAL</t>
  </si>
  <si>
    <t>Poor understanding of cryptographic dependencies preventing effective migration planning</t>
  </si>
  <si>
    <t>Lack of executive awareness and commitment resulting in insufficient resources and priority</t>
  </si>
  <si>
    <t>Missing or outdated policies creating confusion and inconsistent quantum security practices</t>
  </si>
  <si>
    <t>MODERATE</t>
  </si>
  <si>
    <t>No quantum risk integration leaving organization unprepared for cryptographic failures</t>
  </si>
  <si>
    <t>Poor data categorization preventing appropriate quantum protection measures</t>
  </si>
  <si>
    <t>No quantum-safe cryptography deployment leaving sensitive data vulnerable</t>
  </si>
  <si>
    <t>Manual or ad-hoc processes creating security gaps during transitions</t>
  </si>
  <si>
    <t>Unknown infrastructure readiness blocking quantum security initiatives</t>
  </si>
  <si>
    <t>No transition strategy risking failed implementations and business disruption</t>
  </si>
  <si>
    <t>Inadequate operational capabilities preventing effective quantum security management</t>
  </si>
  <si>
    <t>Strength Descriptions (Score &gt;= 3.6)</t>
  </si>
  <si>
    <t>Weakness Descriptions (Score &lt; 2.6)</t>
  </si>
  <si>
    <t xml:space="preserve"> Practice </t>
  </si>
  <si>
    <t>Run discovery pilot on critical systems (1 week)</t>
  </si>
  <si>
    <t>Expand discovery to all production (2 weeks)</t>
  </si>
  <si>
    <t>Automate discovery processes (3 weeks)</t>
  </si>
  <si>
    <t>Conduct quantum threat briefing (2 days)</t>
  </si>
  <si>
    <t>Implement basic vulnerability scanning (2 weeks)</t>
  </si>
  <si>
    <t>Add threat intelligence feeds (3 weeks)</t>
  </si>
  <si>
    <t>Map top 10 critical dependencies (1 week)</t>
  </si>
  <si>
    <t>Document all system dependencies (3 weeks)</t>
  </si>
  <si>
    <t>Implement dependency tracking (4 weeks)</t>
  </si>
  <si>
    <t>Schedule executive quantum briefing (3 days)</t>
  </si>
  <si>
    <t>Form quantum task force (1 week)</t>
  </si>
  <si>
    <t>Establish steering committee (2 weeks)</t>
  </si>
  <si>
    <t>Draft initial quantum policy (1 week)</t>
  </si>
  <si>
    <t>Review and approve policies (2 weeks)</t>
  </si>
  <si>
    <t>Implement policy training (3 weeks)</t>
  </si>
  <si>
    <t>Add quantum to risk register (3 days)</t>
  </si>
  <si>
    <t>Quantify quantum risks (2 weeks)</t>
  </si>
  <si>
    <t>Integrate into ERM (4 weeks)</t>
  </si>
  <si>
    <t>Classify top 20% of data (1 week)</t>
  </si>
  <si>
    <t>Expand to 80% coverage (3 weeks)</t>
  </si>
  <si>
    <t>Automate classification (4 weeks)</t>
  </si>
  <si>
    <t>Test PQC algorithms (2 weeks)</t>
  </si>
  <si>
    <t>Pilot on non-critical systems (4 weeks)</t>
  </si>
  <si>
    <t>Plan production rollout (6 weeks)</t>
  </si>
  <si>
    <t>Document current processes (1 week)</t>
  </si>
  <si>
    <t>Define lifecycle procedures (2 weeks)</t>
  </si>
  <si>
    <t>Implement automation (4 weeks)</t>
  </si>
  <si>
    <t>Audit critical infrastructure (1 week)</t>
  </si>
  <si>
    <t>Assess full environment (3 weeks)</t>
  </si>
  <si>
    <t>Create modernization plan (4 weeks)</t>
  </si>
  <si>
    <t>Create high-level roadmap (1 week)</t>
  </si>
  <si>
    <t>Develop detailed plan (3 weeks)</t>
  </si>
  <si>
    <t>Finalize with stakeholders (4 weeks)</t>
  </si>
  <si>
    <t>Define operational procedures (1 week)</t>
  </si>
  <si>
    <t>Train operations team (2 weeks)</t>
  </si>
  <si>
    <t>Implement monitoring (3 weeks)</t>
  </si>
  <si>
    <t>Quick Win Actions</t>
  </si>
  <si>
    <t xml:space="preserve"> Dimension </t>
  </si>
  <si>
    <t xml:space="preserve"> Low Score Impact </t>
  </si>
  <si>
    <t xml:space="preserve"> High Score Benefit </t>
  </si>
  <si>
    <t>Blind to quantum threats, unable to prioritize protection efforts, risk of sudden cryptographic failure</t>
  </si>
  <si>
    <t>Complete visibility enables proactive protection, efficient resource allocation, and confident decision-making</t>
  </si>
  <si>
    <t>Uncoordinated efforts waste resources, compliance failures, lack of accountability for quantum readiness</t>
  </si>
  <si>
    <t>Strong governance ensures adequate investment, clear accountability, and sustainable quantum security program</t>
  </si>
  <si>
    <t>Sensitive data exposed to quantum attacks, regulatory non-compliance, potential data breaches</t>
  </si>
  <si>
    <t>Robust protection maintains confidentiality, ensures compliance, and protects organizational reputation</t>
  </si>
  <si>
    <t>Technical debt prevents implementation, integration failures, operational disruptions</t>
  </si>
  <si>
    <t>Modern infrastructure enables smooth transitions, maintains availability, and supports business growth</t>
  </si>
  <si>
    <t xml:space="preserve"> Industry </t>
  </si>
  <si>
    <t xml:space="preserve"> Organization Size </t>
  </si>
  <si>
    <t xml:space="preserve"> Top Priority </t>
  </si>
  <si>
    <t xml:space="preserve"> Rationale </t>
  </si>
  <si>
    <t>DPE + SGRM</t>
  </si>
  <si>
    <t>Protect transaction data while ensuring governance for regulatory compliance</t>
  </si>
  <si>
    <t>DPE + CVI</t>
  </si>
  <si>
    <t>Focus on data protection and understanding cryptographic exposure</t>
  </si>
  <si>
    <t>DPE + ITR</t>
  </si>
  <si>
    <t>Implement basic protections with managed service providers</t>
  </si>
  <si>
    <t>HIPAA compliance requires both protection and documented governance</t>
  </si>
  <si>
    <t>All Equal</t>
  </si>
  <si>
    <t>Federal mandates require comprehensive approach across all dimensions</t>
  </si>
  <si>
    <t>CVI + DPE</t>
  </si>
  <si>
    <t>Mission-critical systems need immediate visibility and protection</t>
  </si>
  <si>
    <t>ITR + CVI</t>
  </si>
  <si>
    <t>Complex systems require infrastructure readiness and asset visibility</t>
  </si>
  <si>
    <t>ITR + DPE</t>
  </si>
  <si>
    <t>Technical capability enables faster implementation of protections</t>
  </si>
  <si>
    <t>Focus on payment systems and intellectual property protection</t>
  </si>
  <si>
    <t>Top Strengths</t>
  </si>
  <si>
    <t>Developing</t>
  </si>
  <si>
    <t>Established</t>
  </si>
  <si>
    <t>Optimizing</t>
  </si>
  <si>
    <t>Incomplete Assessment</t>
  </si>
  <si>
    <t>Practice Area Maturity Distribution</t>
  </si>
  <si>
    <t>Legend</t>
  </si>
  <si>
    <t>Highlights and Recommendations</t>
  </si>
  <si>
    <t>Top Area for Improvement</t>
  </si>
  <si>
    <t>Score</t>
  </si>
  <si>
    <t>Rank</t>
  </si>
  <si>
    <t>Weighting</t>
  </si>
  <si>
    <t>Dimension Score</t>
  </si>
  <si>
    <t>Rank With Weighting Tiebreaker</t>
  </si>
  <si>
    <t>Rank with Dim Score Tiebreaker</t>
  </si>
  <si>
    <t>Alphabetical</t>
  </si>
  <si>
    <t>FINAL RANK</t>
  </si>
  <si>
    <t>Lookups</t>
  </si>
  <si>
    <t>Your Industry</t>
  </si>
  <si>
    <t>Your Organization Size</t>
  </si>
  <si>
    <t>Top Prioritiy</t>
  </si>
  <si>
    <t>Lookup Column</t>
  </si>
  <si>
    <t>Rationale</t>
  </si>
  <si>
    <t>QRAMM Compliance Mapping</t>
  </si>
  <si>
    <t>Select Framework</t>
  </si>
  <si>
    <t>Compliance Frameworks</t>
  </si>
  <si>
    <t>NIST CSF 2.0</t>
  </si>
  <si>
    <t>CMMC 2.0</t>
  </si>
  <si>
    <t>ISO 27001</t>
  </si>
  <si>
    <t>CIS v8</t>
  </si>
  <si>
    <t>Overall Score</t>
  </si>
  <si>
    <t>Mapped Controls</t>
  </si>
  <si>
    <t>Full Coverage</t>
  </si>
  <si>
    <t>Partial Coverage</t>
  </si>
  <si>
    <t>No Coverage</t>
  </si>
  <si>
    <t>Framework Category Coverage</t>
  </si>
  <si>
    <t>Detailed Mapping</t>
  </si>
  <si>
    <t>QRAMM Practice</t>
  </si>
  <si>
    <t>Framework Control</t>
  </si>
  <si>
    <t>Relevance</t>
  </si>
  <si>
    <t>Your Score</t>
  </si>
  <si>
    <t>Coverage</t>
  </si>
  <si>
    <t>Gap Priority</t>
  </si>
  <si>
    <t>Helper Column</t>
  </si>
  <si>
    <t>Question Reference</t>
  </si>
  <si>
    <t>Dimension Name</t>
  </si>
  <si>
    <t>Practice ID</t>
  </si>
  <si>
    <t>Practice Name</t>
  </si>
  <si>
    <t>Framework Dimensions</t>
  </si>
  <si>
    <t>ID</t>
  </si>
  <si>
    <t>DE</t>
  </si>
  <si>
    <t>RS</t>
  </si>
  <si>
    <t>GV</t>
  </si>
  <si>
    <t>PR</t>
  </si>
  <si>
    <t>RC</t>
  </si>
  <si>
    <t>AC</t>
  </si>
  <si>
    <t>SC</t>
  </si>
  <si>
    <t>CM</t>
  </si>
  <si>
    <t>RA</t>
  </si>
  <si>
    <t>SR</t>
  </si>
  <si>
    <t>SI</t>
  </si>
  <si>
    <t>CA</t>
  </si>
  <si>
    <t>PM</t>
  </si>
  <si>
    <t>IR</t>
  </si>
  <si>
    <t>CP</t>
  </si>
  <si>
    <t>IA</t>
  </si>
  <si>
    <t>AU</t>
  </si>
  <si>
    <t>MP</t>
  </si>
  <si>
    <t>SA</t>
  </si>
  <si>
    <t>PL</t>
  </si>
  <si>
    <t>12</t>
  </si>
  <si>
    <t>13</t>
  </si>
  <si>
    <t>15</t>
  </si>
  <si>
    <t>18</t>
  </si>
  <si>
    <t>16</t>
  </si>
  <si>
    <t>11</t>
  </si>
  <si>
    <t>14</t>
  </si>
  <si>
    <t>1</t>
  </si>
  <si>
    <t>2</t>
  </si>
  <si>
    <t>3</t>
  </si>
  <si>
    <t>4</t>
  </si>
  <si>
    <t>5</t>
  </si>
  <si>
    <t>6</t>
  </si>
  <si>
    <t>A</t>
  </si>
  <si>
    <t>7</t>
  </si>
  <si>
    <t>8</t>
  </si>
  <si>
    <t>Identify</t>
  </si>
  <si>
    <t>Protect</t>
  </si>
  <si>
    <t>Detect</t>
  </si>
  <si>
    <t>Respond</t>
  </si>
  <si>
    <t>Recover</t>
  </si>
  <si>
    <t>Category Label</t>
  </si>
  <si>
    <t>Category Name</t>
  </si>
  <si>
    <t>Govern</t>
  </si>
  <si>
    <t xml:space="preserve">- </t>
  </si>
  <si>
    <t>AT</t>
  </si>
  <si>
    <t>MA</t>
  </si>
  <si>
    <t>PE</t>
  </si>
  <si>
    <t>PS</t>
  </si>
  <si>
    <t>Awareness and Training</t>
  </si>
  <si>
    <t>Audit and Accountability</t>
  </si>
  <si>
    <t>Security Assessment and Authorization</t>
  </si>
  <si>
    <t>Configuration Management</t>
  </si>
  <si>
    <t>Contingency Planning</t>
  </si>
  <si>
    <t>Identification and Authentication</t>
  </si>
  <si>
    <t>Incident Response</t>
  </si>
  <si>
    <t>Maintenance</t>
  </si>
  <si>
    <t>Media Protection</t>
  </si>
  <si>
    <t>Physical Protection</t>
  </si>
  <si>
    <t>Planning</t>
  </si>
  <si>
    <t>Program Management</t>
  </si>
  <si>
    <t>Personnel Security</t>
  </si>
  <si>
    <t>Risk Assessment</t>
  </si>
  <si>
    <t>System and Services Acquisition</t>
  </si>
  <si>
    <t>System and Communications Protection</t>
  </si>
  <si>
    <t>System and Information Integrity</t>
  </si>
  <si>
    <t>Supply Chain Risk Management</t>
  </si>
  <si>
    <t>Adj</t>
  </si>
  <si>
    <t>Individual question outcomes</t>
  </si>
  <si>
    <t>Priority</t>
  </si>
  <si>
    <t>Unique categories</t>
  </si>
  <si>
    <t>Cat Name</t>
  </si>
  <si>
    <t>A.5</t>
  </si>
  <si>
    <t>A.6</t>
  </si>
  <si>
    <t>A.7</t>
  </si>
  <si>
    <t>A.8</t>
  </si>
  <si>
    <t>A.9</t>
  </si>
  <si>
    <t>A.10</t>
  </si>
  <si>
    <t>A.11</t>
  </si>
  <si>
    <t>A.12</t>
  </si>
  <si>
    <t>A.13</t>
  </si>
  <si>
    <t>A.14</t>
  </si>
  <si>
    <t>A.15</t>
  </si>
  <si>
    <t>A.16</t>
  </si>
  <si>
    <t>A.17</t>
  </si>
  <si>
    <t>A.18</t>
  </si>
  <si>
    <t>Organizational Controls</t>
  </si>
  <si>
    <t>Physical Controls</t>
  </si>
  <si>
    <t>Technological Controls</t>
  </si>
  <si>
    <t>Access Control</t>
  </si>
  <si>
    <t>Cryptography</t>
  </si>
  <si>
    <t>Physical and Environmental Security</t>
  </si>
  <si>
    <t>People Controls  </t>
  </si>
  <si>
    <t>Operations Security</t>
  </si>
  <si>
    <t>Communications Security</t>
  </si>
  <si>
    <t>System Acquisition, Development and Maintenance</t>
  </si>
  <si>
    <t>Supplier Relationships</t>
  </si>
  <si>
    <t>Information Security Incident Management</t>
  </si>
  <si>
    <t>Business Continuity</t>
  </si>
  <si>
    <t>Compliance</t>
  </si>
  <si>
    <t>P</t>
  </si>
  <si>
    <t>C</t>
  </si>
  <si>
    <t>PI</t>
  </si>
  <si>
    <t>9</t>
  </si>
  <si>
    <t>10</t>
  </si>
  <si>
    <t>17</t>
  </si>
  <si>
    <t>Inventory and Control of Enterprise Assets</t>
  </si>
  <si>
    <t>Inventory and Control of Software Assets</t>
  </si>
  <si>
    <t>Data Protection</t>
  </si>
  <si>
    <t>Secure Configuration of Enterprise Assets and Software</t>
  </si>
  <si>
    <t>Account Management</t>
  </si>
  <si>
    <t>Access Control Management</t>
  </si>
  <si>
    <t>Continuous Vulnerability Management</t>
  </si>
  <si>
    <t>Audit Log Management</t>
  </si>
  <si>
    <t>Email and Web Browser Protections</t>
  </si>
  <si>
    <t>Malware Defenses</t>
  </si>
  <si>
    <t>Data Recovery</t>
  </si>
  <si>
    <t>Network Infrastructure Management</t>
  </si>
  <si>
    <t>Network Monitoring and Defense</t>
  </si>
  <si>
    <t>Security Awareness and Skills Training</t>
  </si>
  <si>
    <t>Service Provider Management</t>
  </si>
  <si>
    <t>Application Software Security</t>
  </si>
  <si>
    <t>Incident Response Management</t>
  </si>
  <si>
    <t>Penetration Testing</t>
  </si>
  <si>
    <r>
      <t xml:space="preserve">Relevance Score Guide: 1.0 = Direct Match (QRAMM directly satisfies control)   </t>
    </r>
    <r>
      <rPr>
        <sz val="11"/>
        <color theme="1" tint="0.499984740745262"/>
        <rFont val="Aptos Narrow"/>
        <family val="2"/>
      </rPr>
      <t>•</t>
    </r>
    <r>
      <rPr>
        <sz val="11"/>
        <color theme="1" tint="0.499984740745262"/>
        <rFont val="Segoe UI"/>
        <family val="2"/>
      </rPr>
      <t xml:space="preserve">   0.8 = Strong Match    •    0.6 = Moderate    •    0.4 = Related    •    0.2 = Minimal</t>
    </r>
  </si>
  <si>
    <t>Category</t>
  </si>
  <si>
    <t>CC6</t>
  </si>
  <si>
    <t>CC3</t>
  </si>
  <si>
    <t>CC9</t>
  </si>
  <si>
    <t>CC7</t>
  </si>
  <si>
    <t>CC4</t>
  </si>
  <si>
    <t>CC1</t>
  </si>
  <si>
    <t>CC2</t>
  </si>
  <si>
    <t>CC5</t>
  </si>
  <si>
    <t>RM</t>
  </si>
  <si>
    <t>CC8</t>
  </si>
  <si>
    <t>Control Environment</t>
  </si>
  <si>
    <t>Communication and Information</t>
  </si>
  <si>
    <t>Monitoring Activities</t>
  </si>
  <si>
    <t>Control Activities</t>
  </si>
  <si>
    <t>Logical and Physical Access Controls</t>
  </si>
  <si>
    <t>System Operations</t>
  </si>
  <si>
    <t>Change Management</t>
  </si>
  <si>
    <t>Risk Mitigation</t>
  </si>
  <si>
    <t>Availability</t>
  </si>
  <si>
    <t>Privacy</t>
  </si>
  <si>
    <t>Confidentiality</t>
  </si>
  <si>
    <t>Processing Integrity</t>
  </si>
  <si>
    <t>1 - No formal cryptographic asset identification process exists</t>
  </si>
  <si>
    <t>2 - Manual inventory covering only known high-value systems</t>
  </si>
  <si>
    <t>3 - Automated discovery implemented for portions of infrastructure</t>
  </si>
  <si>
    <t>4 - Comprehensive automated discovery with validation across all environments</t>
  </si>
  <si>
    <t>1 - No standardized documentation exists</t>
  </si>
  <si>
    <t>2 - Basic spreadsheet tracking that captures limited attributes</t>
  </si>
  <si>
    <t>3 - Structured database with standardized templates</t>
  </si>
  <si>
    <t>4 - Centralized asset management platform with automated updates and risk scoring</t>
  </si>
  <si>
    <t>1 - No formal assignment of ownership or accountability for cryptographic assets</t>
  </si>
  <si>
    <t>2 - Ownership of cryptographic assets is informally assigned for critical systems or managed by individual teams</t>
  </si>
  <si>
    <t>3 - Ownership roles are formally defined across the organization, with documented responsibilities and coverage tracking</t>
  </si>
  <si>
    <t>4 - Cryptographic ownership is embedded into asset governance processes, with automated assignment, accountability metrics, and cross-functional oversight</t>
  </si>
  <si>
    <t>1 - No validation of inventory completeness</t>
  </si>
  <si>
    <t>2 - Periodic manual sampling of selected systems to verify inventory accuracy</t>
  </si>
  <si>
    <t>3 - Regular automated verification scans with a formal reconciliation process to address discrepancies</t>
  </si>
  <si>
    <t>4 - Continuous monitoring with anomaly detection and completeness analytics that automatically identifies potential gaps in the cryptographic inventory</t>
  </si>
  <si>
    <t>1 - No visibility into cryptographic usage in third-party services or cloud environments</t>
  </si>
  <si>
    <t>2 - Visibility is manually assessed for select vendors or critical cloud services</t>
  </si>
  <si>
    <t>3 - Cryptographic visibility is routinely evaluated and documented across third-party and cloud environments using structured methods</t>
  </si>
  <si>
    <t>4 - Continuous visibility into cryptographic usage across all external environments is maintained using automated tools, contractual controls, and integration with inventory systems</t>
  </si>
  <si>
    <t>1 - No strategic use of inventory data</t>
  </si>
  <si>
    <t>2 - Basic reports generated for compliance purposes only</t>
  </si>
  <si>
    <t>3 - Structured analysis guides resource allocation and security planning</t>
  </si>
  <si>
    <t>4 - Advanced analytics drive quantum readiness strategy with ROI modeling</t>
  </si>
  <si>
    <t>1 - No prioritization process exists</t>
  </si>
  <si>
    <t>2 - Criticality ratings based on system importance only</t>
  </si>
  <si>
    <t>3 - Multi-factor risk scoring based on algorithm type, key size, long-term data sensitivity, and exposure</t>
  </si>
  <si>
    <t>4 - Advanced prioritization model incorporating business impact, resource constraints, dependencies, and data protection timeframes</t>
  </si>
  <si>
    <t>1 - No maintenance process exists</t>
  </si>
  <si>
    <t>2 - Manual updates during major system changes only</t>
  </si>
  <si>
    <t>3 - Scheduled automated refresh with change management integration</t>
  </si>
  <si>
    <t>4 - Real-time inventory updates with change verification and historical versioning</t>
  </si>
  <si>
    <t>1 - IoT and embedded devices are not included in cryptographic inventory or transition planning</t>
  </si>
  <si>
    <t>2 - Manual list exists for critical IoT or embedded systems, but cryptographic details are incomplete or outdated</t>
  </si>
  <si>
    <t>3 - IoT and embedded devices are systematically inventoried with crypto attributes (e.g., algorithm, key size), and included in quantum upgrade plans</t>
  </si>
  <si>
    <t>4 - Real-time automated discovery and monitoring of all IoT and embedded devices with complete cryptographic visibility</t>
  </si>
  <si>
    <t>1 - No monitoring process exists</t>
  </si>
  <si>
    <t>2 - Manual reviews of standards bodies or industry publications occur occasionally but are not systematic</t>
  </si>
  <si>
    <t>3 - Structured monitoring process tracks cryptographic research, algorithm deprecation, and quantum milestones using defined sources and schedules</t>
  </si>
  <si>
    <t>4 - Continuous monitoring with automated alerting and integration into asset inventories, allowing near real-time updates when cryptographic standards or threat models evolve</t>
  </si>
  <si>
    <t>1 - No vulnerability assessment process exists</t>
  </si>
  <si>
    <t>2 - Basic identification of commonly known vulnerable algorithms</t>
  </si>
  <si>
    <t>3 - Structured assessment methodology with vulnerability classification based on algorithm type, key size, and implementation</t>
  </si>
  <si>
    <t>4 - Comprehensive risk-based assessment with technical validation and detailed algorithm-specific analysis</t>
  </si>
  <si>
    <t>1 - No method in place to classify quantum vulnerabilities</t>
  </si>
  <si>
    <t>2 - General high/medium/low ratings with minimal or informal criteria</t>
  </si>
  <si>
    <t>3 - Formal classification framework using defined factors like algorithm, key size, data sensitivity, exposure, and protection duration</t>
  </si>
  <si>
    <t>4 - Quantitative risk scoring model combining technical vulnerability with business impact metrics</t>
  </si>
  <si>
    <t>1 - No validation process exists</t>
  </si>
  <si>
    <t>2 - Manual review of vulnerability assessments by security team</t>
  </si>
  <si>
    <t>3 - Structured validation methodology with technical testing of algorithm implementations</t>
  </si>
  <si>
    <t>4 - Automated validation with multiple assessment techniques and cryptographic expertise</t>
  </si>
  <si>
    <t>1 - No planning or strategy considers quantum threat developments</t>
  </si>
  <si>
    <t>2 - Strategic plans are occasionally updated in response to major quantum-related announcements or standard changes</t>
  </si>
  <si>
    <t>3 - Quantum threat developments are regularly factored into cryptographic planning, with updates to migration timelines, policies, and coordination with key vendors</t>
  </si>
  <si>
    <t>4 - Quantum threat scenarios drive ongoing strategy refinement using impact modeling, vendor quantum-readiness tracking, and alignment with business risk and data protection timelines</t>
  </si>
  <si>
    <t>1 - No involvement in external research or knowledge-sharing efforts</t>
  </si>
  <si>
    <t>2 - Participation in industry working groups or forums and shared lessons learned on algorithm vulnerabilities</t>
  </si>
  <si>
    <t>3 - Active collaboration with academic or industry partners on research related to cryptanalysis or mitigation</t>
  </si>
  <si>
    <t>4 - Original research, tools, or publications that contribute to advancing cryptography or cryptanalysis practices</t>
  </si>
  <si>
    <t>1 - No formal communication process exists</t>
  </si>
  <si>
    <t>2 - Vulnerability reports shared with technical teams listing affected systems and algorithms</t>
  </si>
  <si>
    <t>3 - Structured reporting tailored to different stakeholder groups with contextual information about algorithm risks</t>
  </si>
  <si>
    <t>4 - Comprehensive communication strategy with executive dashboards showing vulnerability metrics and trends</t>
  </si>
  <si>
    <t>1 - No assessment of authenticity or integrity mechanisms under quantum threat</t>
  </si>
  <si>
    <t>2 - Informal review of signature algorithms and MACs in critical systems</t>
  </si>
  <si>
    <t>3 - Structured evaluation of signing and integrity mechanisms by algorithm, key size, and data lifetime</t>
  </si>
  <si>
    <t>4 - Comprehensive vulnerability assessment of all long-term integrity and authenticity controls, including exposure modeling and risk scoring</t>
  </si>
  <si>
    <t>1 - No validation of deployed cryptographic implementations</t>
  </si>
  <si>
    <t>2 - Ad-hoc manual checks of cryptographic configurations in selected systems</t>
  </si>
  <si>
    <t>3 - Structured validation process reviewing algorithm correctness, key sizes, and configuration settings</t>
  </si>
  <si>
    <t>4 - Automated and continuous validation of cryptographic use across systems, including detection of library misuse, insecure modes, and deprecated protocols</t>
  </si>
  <si>
    <t>1 - No tracking or analysis of changes in cryptographic vulnerability posture</t>
  </si>
  <si>
    <t>2 - Informal or occasional reviews noting major algorithm or system changes</t>
  </si>
  <si>
    <t>3 - Regular analysis using defined metrics to track algorithm usage, crypto upgrades, and exposure trends</t>
  </si>
  <si>
    <t>4 - Continuous trend monitoring with predictive analytics tied to system changes, quantum advancements, and deprecation timelines</t>
  </si>
  <si>
    <t>1 - No process exists to apply findings from vulnerability assessments</t>
  </si>
  <si>
    <t>2 - Lessons from significant vulnerabilities occasionally lead to manual updates in practices</t>
  </si>
  <si>
    <t>3 - Structured process to review assessment findings and update standards, guidance, or configurations</t>
  </si>
  <si>
    <t>4 - Continuous improvement loop with automated feedback into coding patterns, policy updates, and tool configurations based on recurring issues</t>
  </si>
  <si>
    <t>1 - No process exists to identify cryptographic dependencies between systems</t>
  </si>
  <si>
    <t>2 - Manual identification of direct dependencies in known critical systems</t>
  </si>
  <si>
    <t>3 - Structured methodology to map cryptographic dependencies across systems, protocols, and services, including indirect relationships</t>
  </si>
  <si>
    <t>4 - Automated discovery and mapping of all cryptographic dependencies, including dynamic connections, shared libraries, and multi-system flows</t>
  </si>
  <si>
    <t>1 - No formal documentation of cryptographic dependencies</t>
  </si>
  <si>
    <t>2 - Informal or manual records of direct dependencies</t>
  </si>
  <si>
    <t>3 - Structured documentation using standardized formats to capture algorithms, key types, and inter-system relationships</t>
  </si>
  <si>
    <t>4 - Centralized and continuously maintained dependency database with metadata for algorithms, certificates, relationship types, and system roles</t>
  </si>
  <si>
    <t>1 - No process exists to assess the impact of cryptographic changes on dependent systems</t>
  </si>
  <si>
    <t>2 - Informal or ad-hoc assessments of major dependencies when changes are planned</t>
  </si>
  <si>
    <t>3 - Structured methodology to evaluate the effects of algorithm, certificate, or key changes across known dependencies</t>
  </si>
  <si>
    <t>4 - Comprehensive modeling and scenario analysis to predict system-wide impacts of cryptographic transitions, including business and operational consequences</t>
  </si>
  <si>
    <t>1 - No process exists to verify cryptographic dependency data</t>
  </si>
  <si>
    <t>2 - Manual spot-checks of selected dependencies in critical systems</t>
  </si>
  <si>
    <t>3 - Structured validation process using technical methods to confirm system-to-system cryptographic relationships</t>
  </si>
  <si>
    <t>4 - Automated validation with continuous monitoring and detection of missing or outdated dependencies across all environments</t>
  </si>
  <si>
    <t>1 - No process exists to update cryptographic dependency information over time</t>
  </si>
  <si>
    <t>2 - Dependency records are updated manually when major changes are noticed or reported</t>
  </si>
  <si>
    <t>3 - Regular updates are performed through scheduled reviews and integrated with change management processes</t>
  </si>
  <si>
    <t>4 - Dependency information is continuously updated using automated discovery, monitoring, and integration with asset and configuration systems</t>
  </si>
  <si>
    <t>1 - Dependency data is not used in planning or risk discussions</t>
  </si>
  <si>
    <t>2 - Known critical dependencies are considered during informal planning</t>
  </si>
  <si>
    <t>3 - Structured transition planning uses documented dependencies to guide sequencing and risk evaluation</t>
  </si>
  <si>
    <t>4 - Dependency models are integrated into simulation tools and strategic risk assessments for quantum transition</t>
  </si>
  <si>
    <t>1 - Cryptographic use in build systems or code-signing infrastructure is not tracked</t>
  </si>
  <si>
    <t>2 - Some known dependencies (e.g., code-signing certificates) are documented, but not consistently updated or mapped</t>
  </si>
  <si>
    <t>3 - Cryptographic dependencies across CI/CD pipelines and signing systems are documented and reviewed as part of upgrade planning</t>
  </si>
  <si>
    <t>4 - Dependency-aware tooling continuously monitors and validates signing workflows, with cryptographic upgrade paths coordinated across software delivery systems</t>
  </si>
  <si>
    <t>1 - No assessment of cryptographic dependencies or constraints in OT or industrial systems</t>
  </si>
  <si>
    <t>2 - Some OT systems are reviewed manually for cryptographic use, but dependencies and limitations are undocumented</t>
  </si>
  <si>
    <t>3 - OT and industrial crypto dependencies are documented, including protocol use and upgrade limitations</t>
  </si>
  <si>
    <t>4 - Cryptographic transition plans for OT systems include detailed dependency maps, hardware constraints, and coordinated timelines with operational risk modeling</t>
  </si>
  <si>
    <t>1 - No evaluation of cryptographic complexity or fragility</t>
  </si>
  <si>
    <t>2 - Informal review of major dependencies without complexity analysis</t>
  </si>
  <si>
    <t>3 - Structured assessment of dependency complexity and upgrade risk</t>
  </si>
  <si>
    <t>4 - Simulations and metrics guide architecture hardening and migration design</t>
  </si>
  <si>
    <t>1 - No visibility into cryptographic use across pipelines, libraries, or APIs</t>
  </si>
  <si>
    <t>2 - Some known crypto dependencies are documented, but tracking is manual or incomplete</t>
  </si>
  <si>
    <t>3 - Dependency tracking is structured and includes libraries, signing workflows, and key interfaces</t>
  </si>
  <si>
    <t>4 - Continuous monitoring tracks cryptographic components across build systems, shared code, and third-party integrations</t>
  </si>
  <si>
    <t>1 - No formal quantum risk oversight exists</t>
  </si>
  <si>
    <t>2 - Quantum risks managed within existing security governance</t>
  </si>
  <si>
    <t>3 - Dedicated quantum readiness steering committee established</t>
  </si>
  <si>
    <t>4 - Board-level quantum security governance with executive accountability</t>
  </si>
  <si>
    <t>1 - No policies exist that mention or address quantum computing risks.</t>
  </si>
  <si>
    <t>2 - Quantum risks are briefly acknowledged in existing cybersecurity or risk management policies, without dedicated guidance or implementation details.</t>
  </si>
  <si>
    <t>3 - Dedicated quantum risk policy documents exist, covering risk recognition, impact assessment, and transition planning guidelines.</t>
  </si>
  <si>
    <t>4 - Comprehensive quantum policy framework governs organization-wide activities, is regularly updated, and includes mandates for technical, legal, vendor, and audit requirements related to quantum readiness.</t>
  </si>
  <si>
    <t>1 - No dedicated funding allocated</t>
  </si>
  <si>
    <t>2 - Project-by-project funding requests</t>
  </si>
  <si>
    <t>3 - Annual budget with defined allocation</t>
  </si>
  <si>
    <t>4 - Multi-year investment program with return-on-investment (ROI) tracking</t>
  </si>
  <si>
    <t>1 - No effectiveness measurements in place</t>
  </si>
  <si>
    <t>2 - Informal or manual compliance tracking</t>
  </si>
  <si>
    <t>3 - Formal metrics framework used across key governance areas</t>
  </si>
  <si>
    <t>4 - Automated reporting with real-time dashboards and trend analysis</t>
  </si>
  <si>
    <t>1 - No innovation direction provided</t>
  </si>
  <si>
    <t>2 - Leadership monitors industry trends with limited internal activity</t>
  </si>
  <si>
    <t>3 - Leadership supports structured research and development programs</t>
  </si>
  <si>
    <t>4 - Leadership champions a dedicated innovation function with external collaborations and continuous advancement</t>
  </si>
  <si>
    <t>1 - No strategic integration of quantum risk</t>
  </si>
  <si>
    <t>2 - Quantum risk considered during IT or security planning only</t>
  </si>
  <si>
    <t>3 - Quantum risk integrated into enterprise risk and business planning cycles</t>
  </si>
  <si>
    <t>4 - Quantum considerations influence cross-business strategy, investment, and innovation planning</t>
  </si>
  <si>
    <t>1 - No process for reviewing or updating quantum-related policies</t>
  </si>
  <si>
    <t>2 - Manual reviews conducted annually with limited scope or documentation</t>
  </si>
  <si>
    <t>3 - Structured quarterly review process with stakeholder input and documented revisions</t>
  </si>
  <si>
    <t>4 - Automated and continuous policy maintenance integrated with threat intelligence and compliance triggers</t>
  </si>
  <si>
    <t>1 - No awareness or education program exists for leadership</t>
  </si>
  <si>
    <t>2 - Annual briefings on quantum computing developments are conducted</t>
  </si>
  <si>
    <t>3 - Regular education programs with role-specific content and strategic implications</t>
  </si>
  <si>
    <t>4 - Executive simulations, dashboards, and decision-support tools are in place to enable quantum-resilient leadership</t>
  </si>
  <si>
    <t>1 - No tracking or progress monitoring in place</t>
  </si>
  <si>
    <t>2 - Manual milestone tracking performed on select activities</t>
  </si>
  <si>
    <t>3 - Comprehensive dashboards used to track progress across multiple quantum readiness workstreams</t>
  </si>
  <si>
    <t>4 - Real-time automated tracking with integration into crypto inventory, DevSecOps pipelines, and resource planning</t>
  </si>
  <si>
    <t>1 - No involvement in industry quantum security or cryptographic agility initiatives</t>
  </si>
  <si>
    <t>2 - Passive participation in industry working groups or forums related to PQC, cryptographic agility, or interoperability</t>
  </si>
  <si>
    <t>3 - Active contributions to industry standards, knowledge-sharing sessions, or multi-stakeholder planning for cryptographic agility and PQC migration</t>
  </si>
  <si>
    <t>4 - Leadership in shaping quantum security and cryptographic agility practices through published methodologies, toolkits, and coordination across sectors or regulators</t>
  </si>
  <si>
    <t>1 - No formal quantum risk assessment methodology exists</t>
  </si>
  <si>
    <t>2 - Informal or ad hoc quantum risk identification is performed without structured categorization or prioritization</t>
  </si>
  <si>
    <t>3 - Structured quantum risk assessment framework is implemented with defined risk categories, scoring methods, and linkage to cryptographic planning</t>
  </si>
  <si>
    <t>4 - An automated and continuously updated quantum risk analysis system informs cryptographic agility, asset prioritization, and strategic transition planning</t>
  </si>
  <si>
    <t>1 - No automated monitoring or integration with cryptographic planning exists</t>
  </si>
  <si>
    <t>2 - Tracking tools are used manually to observe quantum computing developments</t>
  </si>
  <si>
    <t>3 - Comprehensive monitoring system captures quantum threat signals and informs cryptographic exposure tracking</t>
  </si>
  <si>
    <t>4 - An AI-supported platform continuously monitors quantum risk indicators and dynamically adjusts cryptographic transition priorities</t>
  </si>
  <si>
    <t>1 - No formal quantification of quantum risk exposure exists</t>
  </si>
  <si>
    <t>2 - Informal impact assessments are performed without consistent scoring methods</t>
  </si>
  <si>
    <t>3 - Structured scoring methodology is used to evaluate exposure based on algorithm strength, data sensitivity, and asset value</t>
  </si>
  <si>
    <t>4 - An automated modeling system is used to quantify risk exposure across assets, factoring in cryptographic agility, business impact, and data protection timelines</t>
  </si>
  <si>
    <t>1 - No validation process exists for quantum risk controls</t>
  </si>
  <si>
    <t>2 - Testing of selected controls is performed manually and inconsistently</t>
  </si>
  <si>
    <t>3 - Regular assessments are conducted using defined effectiveness metrics, procedures, and responsible roles</t>
  </si>
  <si>
    <t>4 - Continuous and automated validation of quantum risk controls is implemented across domains with feedback loops into strategy and cryptographic agility planning</t>
  </si>
  <si>
    <t>1 - No update process exists</t>
  </si>
  <si>
    <t>2 - Annual assessment updates performed based on informal review of new threats</t>
  </si>
  <si>
    <t>3 - Quarterly revisions conducted with structured input from research and intelligence sources</t>
  </si>
  <si>
    <t>4 - Monthly integration of quantum threat analysis and cryptographic transition insights into a dynamic, automated risk assessment framework</t>
  </si>
  <si>
    <t>1 - No quantum-specific compliance program or requirements exist</t>
  </si>
  <si>
    <t>2 - Informal or ad hoc compliance checks are conducted without consistent documentation</t>
  </si>
  <si>
    <t>3 - Structured compliance framework governs quantum cryptographic controls and is reviewed regularly</t>
  </si>
  <si>
    <t>4 - Quantum compliance is continuously monitored and enforced through automated tools integrated with policy, PKI, and DevSecOps processes</t>
  </si>
  <si>
    <t>1 - No process exists to track or adapt to quantum-related regulatory changes</t>
  </si>
  <si>
    <t>2 - Ad hoc reviews of major PQC guidance are conducted with limited updates to practices</t>
  </si>
  <si>
    <t>3 - Structured tracking and impact analysis informs scheduled updates to cryptographic policies and controls</t>
  </si>
  <si>
    <t>4 - Regulatory intelligence feeds are integrated into crypto control systems, triggering change workflows and agility simulations across systems</t>
  </si>
  <si>
    <t>1 - No mapping or tracking of quantum compliance requirements exists</t>
  </si>
  <si>
    <t>2 - Quantum compliance documentation is maintained manually with limited structure</t>
  </si>
  <si>
    <t>3 - Compliance requirements are tracked through a structured system, linking them to policies, controls, and asset owners</t>
  </si>
  <si>
    <t>4 - Compliance mapping is automated, with tooling that traces requirements to cryptographic enforcement points and flags misalignments</t>
  </si>
  <si>
    <t>1 - No formal tracking of remediation progress for cryptographic systems in regulated domains exists</t>
  </si>
  <si>
    <t>2 - Informal milestone tracking is performed manually for select domains like PKI or TLS</t>
  </si>
  <si>
    <t>3 - Structured tracking system monitors remediation progress across regulated cryptographic domains, linked to controls and policies</t>
  </si>
  <si>
    <t>4 - Real-time platform integrates cryptographic remediation metrics across PKI, TLS, code signing, and supply chain, with dashboards, alerts, and audit traceability</t>
  </si>
  <si>
    <t>1 - Quantum-related controls are not included in audit scopes or security testing</t>
  </si>
  <si>
    <t>2 - Manual or ad hoc testing of quantum-related controls occurs during general security reviews</t>
  </si>
  <si>
    <t>3 - Quantum security requirements are embedded in audit plans and control testing procedures across regulated and cryptographic systems</t>
  </si>
  <si>
    <t>4 - Automated testing of quantum-related enforcement points and audit criteria is integrated into CI/CD, control libraries, and third-party assurance processes</t>
  </si>
  <si>
    <t>1 - No evaluation of vendor quantum readiness or cryptographic agility is performed</t>
  </si>
  <si>
    <t>2 - Vendors are asked basic security questions, with occasional reference to PQC readiness</t>
  </si>
  <si>
    <t>3 - Structured assessment framework evaluates vendor quantum readiness, agility posture, and coverage of key cryptographic systems</t>
  </si>
  <si>
    <t>4 - Quantum readiness is monitored using automated tools or vendor risk platforms where critical exposure warrants it</t>
  </si>
  <si>
    <t>1 - No defined quantum or cryptographic agility requirements are communicated to vendors</t>
  </si>
  <si>
    <t>2 - Contracts include basic security clauses referencing quantum readiness or PQC transition</t>
  </si>
  <si>
    <t>3 - Structured requirement framework covers quantum-safe controls, cryptoagility posture, and applies to critical vendor systems</t>
  </si>
  <si>
    <t>4 - Automated verification and enforcement of quantum and agility requirements are built into procurement, onboarding, and vendor monitoring processes</t>
  </si>
  <si>
    <t>1 - No audit or validation of vendor controls related to quantum security is performed</t>
  </si>
  <si>
    <t>2 - Vendor-provided attestations or security reviews include limited references to quantum-relevant controls</t>
  </si>
  <si>
    <t>3 - Structured audits validate post-quantum controls in high-risk vendor domains, with standardized checklists and escalation paths</t>
  </si>
  <si>
    <t>4 - Technical verification of PQC and agility controls is integrated into vendor assurance processes for critical systems (e.g., code signing, PKI, CI/CD), with enforcement tied to contract terms or tooling</t>
  </si>
  <si>
    <t>1 - No validation or enforcement of vendor cryptographic agility is performed</t>
  </si>
  <si>
    <t>2 - Vendors provide attestations or documentation of cryptographic agility capabilities without verification</t>
  </si>
  <si>
    <t>3 - Vendor agility operations are validated through structured tests or review of agility enforcement in critical systems</t>
  </si>
  <si>
    <t>4 - Vendors are contractually required to demonstrate live agility operations under constrained conditions, with enforcement integrated into onboarding, monitoring, and assurance processes</t>
  </si>
  <si>
    <t>1 - No evaluation of vendors’ hardware security capabilities is performed</t>
  </si>
  <si>
    <t>2 - Vendors self-attest to basic hardware use</t>
  </si>
  <si>
    <t>3 - Structured assessments verify vendor support for hardware-backed key generation and cryptographic operations</t>
  </si>
  <si>
    <t>4 - Vendor reviews include formal validation of hardware compatibility with PQC implementation plans, cryptographic agility requirements, and integration into DevSecOps and cryptographic lifecycle workflows</t>
  </si>
  <si>
    <t>1 - No supply chain risk assessment or management for quantum threats exists</t>
  </si>
  <si>
    <t>2 - Informal or ad hoc identification of vendors or systems with quantum exposure</t>
  </si>
  <si>
    <t>3 - Structured risk management framework is in place for assessing quantum vulnerabilities in the supply chain</t>
  </si>
  <si>
    <t>4 - Advanced modeling and dynamic risk scoring are used to assess and respond to quantum threats across the supply chain</t>
  </si>
  <si>
    <t>1 - No technical evaluation of quantum risks is performed for supply chain components</t>
  </si>
  <si>
    <t>2 - Basic reviews are conducted for select vendors or services without standardized analysis</t>
  </si>
  <si>
    <t>3 - Structured risk evaluation is applied to vendors and components using defined criteria, scoring, and technical cryptographic review</t>
  </si>
  <si>
    <t>4 - Technical risk analysis is automated and adaptive, incorporating telemetry, cryptographic exposure mapping, and supply chain intelligence feeds</t>
  </si>
  <si>
    <t>1 - No process exists to identify supply chain systems that block or delay cryptographic transitions</t>
  </si>
  <si>
    <t>2 - Systems are identified reactively during cryptographic implementation or vendor onboarding</t>
  </si>
  <si>
    <t>3 - Structured process identifies, assesses, and prioritizes systems and vendors that lack support for PQC, algorithm agility, or required crypto changes</t>
  </si>
  <si>
    <t>4 - Cryptographic blockers in the supply chain are continuously tracked, risk-scored, and integrated into transition roadmaps and vendor engagement strategies</t>
  </si>
  <si>
    <t>1 - No evaluation of fallback or downgrade risks in vendor cryptographic protocols is performed</t>
  </si>
  <si>
    <t>2 - Fallback risks are informally noted during vendor security reviews</t>
  </si>
  <si>
    <t>3 - Structured assessments identify downgrade mechanisms in critical vendor protocols and systems</t>
  </si>
  <si>
    <t>4 - Fallback risk detection is automated and integrated into vendor assurance and transition planning processes</t>
  </si>
  <si>
    <t>1 - Basic practices are followed with no focus on continuous improvement</t>
  </si>
  <si>
    <t>2 - Industry best practices are informally adopted without customization or feedback loops</t>
  </si>
  <si>
    <t>3 - Regular contributions are made to refine vendor risk methodologies and apply lessons learned across engagements</t>
  </si>
  <si>
    <t>4 - Novel approaches to quantum vendor risk management are developed, shared, and adopted across industries or standards bodies</t>
  </si>
  <si>
    <t>1 - No data identification process exists</t>
  </si>
  <si>
    <t>2 - Manual identification of sensitive data types in high-value or regulated systems</t>
  </si>
  <si>
    <t>3 - Structured classification using protection timeframes and long-term confidentiality tags</t>
  </si>
  <si>
    <t>4 - Automated discovery and classification with integrated quantum risk scoring</t>
  </si>
  <si>
    <t>1 - No classification system exists</t>
  </si>
  <si>
    <t>2 - Basic sensitivity levels defined without considering quantum-specific threats</t>
  </si>
  <si>
    <t>3 - Structured classification incorporating protection duration and sensitivity to quantum risk</t>
  </si>
  <si>
    <t>4 - Automated classification system with integrated quantum risk scoring and exposure modeling</t>
  </si>
  <si>
    <t>1 - No specific controls implemented</t>
  </si>
  <si>
    <t>2 - Hybrid algorithms of classical and quantum-resistant cryptography applied to select high-sensitivity data</t>
  </si>
  <si>
    <t>3 - Structured control framework aligned with data classifications and quantum protection needs that determines how hybrid algorithms are applied</t>
  </si>
  <si>
    <t>4 - Automated enforcement of quantum-resistant controls across all data states with continuous validation</t>
  </si>
  <si>
    <t>2 - Manual testing of protection controls with limited coverage or frequency</t>
  </si>
  <si>
    <t>3 - Structured validation process using tools and regular test schedules for all implemented controls</t>
  </si>
  <si>
    <t>4 - Continuous automated validation integrated with control monitoring and quantum-aware threat modeling</t>
  </si>
  <si>
    <t>1 - No distinction is made for environment-specific protection needs</t>
  </si>
  <si>
    <t>2 - Ad-hoc adjustments to protection requirements in constrained systems</t>
  </si>
  <si>
    <t>3 - Defined protection profiles per environment (e.g., cloud, IoT, OT) with risk-based exceptions</t>
  </si>
  <si>
    <t>4 - Centralized policy engine that enforces environment-aware protection requirements and supports automated updates</t>
  </si>
  <si>
    <t>1 - No strategy exists to align protection with data lifecycle or retention needs</t>
  </si>
  <si>
    <t>2 - Retention durations are tracked, but not tied to protection strength or algorithm choice</t>
  </si>
  <si>
    <t>3 - Strategy maps data types to protection durations based on classification and quantum risk</t>
  </si>
  <si>
    <t>4 - Lifecycle-driven protection strategies with automated tagging, enforcement, and retirement policies</t>
  </si>
  <si>
    <t>1 - No strategy exists for protecting unstructured or semi-structured data</t>
  </si>
  <si>
    <t>2 - General protections applied without specific quantum-related considerations</t>
  </si>
  <si>
    <t>3 - Strategy defines classification and protection guidelines for unstructured data formats</t>
  </si>
  <si>
    <t>4 - Quantum-risk-aware tools and policies are applied to unstructured data discovery, tagging, and control enforcement</t>
  </si>
  <si>
    <t>1 - No measurement process exists for protection control effectiveness</t>
  </si>
  <si>
    <t>2 - Manual tracking of basic coverage metrics for critical systems</t>
  </si>
  <si>
    <t>3 - Structured measurement framework assessing protection adequacy by classification, algorithm, and data state</t>
  </si>
  <si>
    <t>4 - Automated effectiveness monitoring with analytics to identify protection gaps, misalignments, and future risks</t>
  </si>
  <si>
    <t>1 - No process exists for identifying improvements to protection controls</t>
  </si>
  <si>
    <t>2 - Improvements are made on an ad-hoc basis in response to specific issues</t>
  </si>
  <si>
    <t>3 - Structured process exists to evaluate improvements through testing, technology tracking, and design review</t>
  </si>
  <si>
    <t>4 - Automated tools and analytics continuously identify protection improvement opportunities based on risk, performance, and cryptographic readiness</t>
  </si>
  <si>
    <t>1 - No performance testing or monitoring of data protection controls exists</t>
  </si>
  <si>
    <t>2 - Informal performance observations are made during implementation or deployment</t>
  </si>
  <si>
    <t>3 - Structured performance testing is conducted to evaluate protection control impact across key environments</t>
  </si>
  <si>
    <t>4 - Ongoing performance monitoring and benchmarking inform protection control tuning, design decisions, and trade-offs</t>
  </si>
  <si>
    <t>1 - No symmetric encryption controls are implemented for stored data</t>
  </si>
  <si>
    <t>2 - Standard encryption is applied but key sizes are not quantum-resistant and storage systems lack support for future upgrades</t>
  </si>
  <si>
    <t>3 - Symmetric encryption with quantum-resistant key sizes is used and storage platforms support upgrades to algorithms or key lengths</t>
  </si>
  <si>
    <t>4 - Symmetric encryption controls are enforced through automated policies with built-in cryptographic agility for key size updates and algorithm evolution</t>
  </si>
  <si>
    <t>1 - No formal key management process exists for stored data</t>
  </si>
  <si>
    <t>2 - Keys are manually handled with limited support for rotation or upgrades</t>
  </si>
  <si>
    <t>3 - Structured key management system supports key generation, secure storage, and rotation</t>
  </si>
  <si>
    <t>4 - Automated key lifecycle management is implemented with cryptographic agility for key formats, wrapping, and dynamic upgrades</t>
  </si>
  <si>
    <t>1 - No cryptographic protections are applied to backup or archived data</t>
  </si>
  <si>
    <t>2 - Backups are encrypted, but protection does not account for long-term retention needs or future cryptographic changes</t>
  </si>
  <si>
    <t>3 - Structured framework applies strong encryption and retention-aware protection policies to backup and archival systems</t>
  </si>
  <si>
    <t>4 - Backup systems enforce encryption and key lifecycle policies that support long-term recoverability and cryptographic adaptability</t>
  </si>
  <si>
    <t>1 - No integrity protections are applied to stored or archived data</t>
  </si>
  <si>
    <t>2 - Hashing or signing is applied inconsistently without consideration of retention duration or algorithm longevity</t>
  </si>
  <si>
    <t>3 - Integrity protections are systematically applied using cryptographic algorithms selected for long-term effectiveness</t>
  </si>
  <si>
    <t>4 - Integrity mechanisms are paired with time-stamping or re-signing strategies and support upgrades as cryptographic standards evolve</t>
  </si>
  <si>
    <t>1 - No validation process exists for storage cryptographic protections</t>
  </si>
  <si>
    <t>2 - Manual checks are performed on encryption configuration without quantum-specific considerations</t>
  </si>
  <si>
    <t>3 - Structured testing process validates encryption algorithms, key sizes, and storage-specific controls against quantum risk factors</t>
  </si>
  <si>
    <t>4 - Automated validation processes continuously assess storage protections and flag deviations from quantum-resilient standards</t>
  </si>
  <si>
    <t>1 - No strategic storage protection planning is in place</t>
  </si>
  <si>
    <t>2 - General storage encryption guidelines exist, but retention and long-term protection needs are not addressed</t>
  </si>
  <si>
    <t>3 - Structured storage security strategy accounts for retention timelines, encryption strength, and business risk</t>
  </si>
  <si>
    <t>4 - Storage protection strategy integrates retention-aware encryption, cryptographic lifecycle planning, and agility across storage environments</t>
  </si>
  <si>
    <t>1 - No assessment of storage system compatibility with encryption requirements exists</t>
  </si>
  <si>
    <t>2 - Informal assessments are performed for select systems only</t>
  </si>
  <si>
    <t>3 - Structured process evaluates cryptographic capabilities, upgrade feasibility, and rekeying constraints across storage platforms</t>
  </si>
  <si>
    <t>4 - Cryptographic support and upgrade limitations are routinely evaluated and integrated into refresh planning, procurement, and protection strategies</t>
  </si>
  <si>
    <t>1 - No measurement process exists for evaluating storage security controls</t>
  </si>
  <si>
    <t>2 - Manual tracking of encryption and key use with limited assessment of adequacy or coverage</t>
  </si>
  <si>
    <t>3 - Structured measurement framework assesses control effectiveness by algorithm strength, coverage, and retention alignment</t>
  </si>
  <si>
    <t>4 - Effectiveness metrics are integrated into ongoing review processes and used to adjust protections based on control performance, risk, and cryptographic evolution</t>
  </si>
  <si>
    <t>1 - No process exists for identifying improvements to storage encryption or key management</t>
  </si>
  <si>
    <t>2 - Improvements are made informally in response to known weaknesses or incidents</t>
  </si>
  <si>
    <t>3 - Structured process is used to evaluate encryption and key management improvements through testing, benchmarking, or architectural review</t>
  </si>
  <si>
    <t>4 - Improvement opportunities are identified based on control validation results, monitoring data, and anticipated shifts in cryptographic or operational requirements</t>
  </si>
  <si>
    <t>1 - No structured enhancement of storage security capabilities is performed</t>
  </si>
  <si>
    <t>2 - Capability updates are applied as needed, without a formal review process</t>
  </si>
  <si>
    <t>3 - Enhancements are driven by regular assessments of security needs, system performance, and cryptographic alignment</t>
  </si>
  <si>
    <t>4 - Storage security capabilities are continuously improved through structured planning, periodic reviews, and targeted adoption of features aligned with evolving data protection needs</t>
  </si>
  <si>
    <t>1 - No cryptographic protections are applied to data in transit</t>
  </si>
  <si>
    <t>2 - Standard transit protocols with default cryptographic settings are used</t>
  </si>
  <si>
    <t>3 - Transit protocols are configured with strong cryptographic settings, aligned with policy and coverage expectations</t>
  </si>
  <si>
    <t>4 - Cryptographic protections are consistently applied and validated across protocols, with automated configuration enforcement and cryptographic agility support</t>
  </si>
  <si>
    <t>1 - No protocol management exists</t>
  </si>
  <si>
    <t>2 - Secure protocols are used, but configurations vary and are not centrally managed</t>
  </si>
  <si>
    <t>3 - Structured protocol management approach ensures standardization and proper configuration across systems</t>
  </si>
  <si>
    <t>4 - Protocol configurations are centrally managed and continuously enforced using automation and monitoring tools</t>
  </si>
  <si>
    <t>1 - No authentication or identity validation is used in network communications</t>
  </si>
  <si>
    <t>2 - Authentication is implemented using default or self-managed certificates</t>
  </si>
  <si>
    <t>3 - Trusted identity is enforced through structured certificate management and authenticated protocol configurations</t>
  </si>
  <si>
    <t>4 - Authentication and trust models are centrally managed with automated issuance, validation, and revocation across the network environment</t>
  </si>
  <si>
    <t>1 - No controls exist to prevent the use of insecure or deprecated protocols</t>
  </si>
  <si>
    <t>2 - Protocols support secure options, but fallback to weaker settings is not restricted</t>
  </si>
  <si>
    <t>3 - Enforcement mechanisms ensure that insecure protocol versions or ciphers are disabled and downgrade attempts are logged</t>
  </si>
  <si>
    <t>4 - Centralized controls and monitoring systems detect and block protocol downgrade behavior with real-time enforcement and analytics</t>
  </si>
  <si>
    <t>1 - No validation process exists for cryptographic protections in transit protocols</t>
  </si>
  <si>
    <t>2 - Functional testing is performed, but cryptographic settings and security assumptions are not consistently verified</t>
  </si>
  <si>
    <t>3 - Structured validation process tests encryption strength, authentication mechanisms, and protocol configurations across communication channels</t>
  </si>
  <si>
    <t>4 - Transit security validations are automated, integrated into system testing, and continuously updated to reflect evolving cryptographic requirements</t>
  </si>
  <si>
    <t>1 - No defined approach or documentation exists for securing data in transit</t>
  </si>
  <si>
    <t>2 - Fundamental security guidelines exist, but they are informal or applied inconsistently</t>
  </si>
  <si>
    <t>3 - Documented approach guides the use of transit protection protocols and cryptographic settings across the organization</t>
  </si>
  <si>
    <t>4 - The transit security approach is updated based on evolving requirements, technical assessments, and integration with broader security planning</t>
  </si>
  <si>
    <t>1 - No prioritization process exists for securing communication channels</t>
  </si>
  <si>
    <t>2 - General criteria are used to guide which communications should be protected, but prioritization is informal or inconsistent</t>
  </si>
  <si>
    <t>3 - Structured prioritization framework evaluates communication paths based on risk, sensitivity, and operational requirements</t>
  </si>
  <si>
    <t>4 - Multi-factor prioritization model is used to guide deployment of transit protections based on real-time risk, value, and system context</t>
  </si>
  <si>
    <t>1 - Trust anchors and certificate validation are not actively managed</t>
  </si>
  <si>
    <t>2 - Default or unmanaged trust stores are used, with minimal oversight</t>
  </si>
  <si>
    <t>3 - Trust anchors are reviewed and managed using structured procedures for validation, rotation, and revocation</t>
  </si>
  <si>
    <t>4 - Certificate and trust anchor management is automated, regularly audited, and integrated with real-time revocation and alerting mechanisms</t>
  </si>
  <si>
    <t>1 - No visibility or validation of cryptographic protections for third-party or vendor-managed communication paths</t>
  </si>
  <si>
    <t>2 - Reliance on third-party assurances or default encryption settings without active validation</t>
  </si>
  <si>
    <t>3 - Cryptographic requirements are defined and enforced through contracts, technical assessments, or integration standards</t>
  </si>
  <si>
    <t>4 - External communication protections are continuously monitored, tested, and governed through security SLAs, audits, and automated trust enforcement</t>
  </si>
  <si>
    <t>1 - No consideration is given to interoperability during cryptographic upgrades</t>
  </si>
  <si>
    <t>2 - Compatibility issues are handled informally or reactively during transitions</t>
  </si>
  <si>
    <t>3 - Upgrade planning includes documented strategies for backward compatibility</t>
  </si>
  <si>
    <t>4 - Cryptographic transitions are guided by interoperability testing, staged rollouts, and automated fallback strategies</t>
  </si>
  <si>
    <t>1 - No infrastructure assessment is performed for cryptographic agility or quantum readiness</t>
  </si>
  <si>
    <t>2 - Ad-hoc reviews identify some cryptographic limitations, but do not evaluate agility or upgrade support</t>
  </si>
  <si>
    <t>3 - Structured methodology evaluates infrastructure components for cryptographic agility and upgrade constraints</t>
  </si>
  <si>
    <t>4 - Continuously updated assessment program identifies cryptographic limitations and supports agile, standards-aligned transition planning</t>
  </si>
  <si>
    <t>1 - No planning exists to support cryptographic upgrades or agility</t>
  </si>
  <si>
    <t>2 - Preliminary upgrade planning considers critical systems but lacks cryptographic flexibility or timelines</t>
  </si>
  <si>
    <t>3 - Structured upgrade procedures address cryptographic agility and include timelines and dependency mapping</t>
  </si>
  <si>
    <t>4 - Comprehensive infrastructure upgrade program incorporates algorithm agility, resource alignment, and coordinated rollout scenarios</t>
  </si>
  <si>
    <t>1 - No evaluation of cryptographic hardware readiness is performed</t>
  </si>
  <si>
    <t>2 - Basic documentation identifies which systems rely on cryptographic hardware, but quantum or agility support is not considered</t>
  </si>
  <si>
    <t>3 - Structured assessments verify cryptographic agility features, PQC roadmap alignment, and hardware constraints</t>
  </si>
  <si>
    <t>4 - Comprehensive evaluation integrates vendor capability tracking, firmware upgrade planning, and fallback scenarios into system architecture and procurement</t>
  </si>
  <si>
    <t>1 - No process exists to identify or manage upgrade blockers across systems</t>
  </si>
  <si>
    <t>2 - Blockers are discovered reactively during upgrades, without centralized tracking</t>
  </si>
  <si>
    <t>3 - Structured assessments and system reviews proactively flag upgrade blockers and inform remediation planning</t>
  </si>
  <si>
    <t>4 - Upgrade blockers are continuously monitored and integrated into system lifecycle management, procurement, and roadmap planning</t>
  </si>
  <si>
    <t>1 - Cryptographic design flexibility is not considered in system or software planning</t>
  </si>
  <si>
    <t>2 - Some systems support cryptographic configuration</t>
  </si>
  <si>
    <t>3 - Architecture and design standards require support for algorithm agility</t>
  </si>
  <si>
    <t>4 - Cryptographic agility requirements are embedded into architecture templates, design reviews, and development frameworks across all systems</t>
  </si>
  <si>
    <t>1 - No planning is done to manage dependencies or sequence cryptographic upgrades</t>
  </si>
  <si>
    <t>2 - Informal sequencing occurs reactively during transitions, based on known issues</t>
  </si>
  <si>
    <t>3 - Structured planning accounts for technical dependencies, interoperability constraints, and critical path systems</t>
  </si>
  <si>
    <t>4 - Cryptographic upgrade sequencing is driven by modeling tools, dependency maps, and coordination with internal and external stakeholders</t>
  </si>
  <si>
    <t>1 - No dedicated environments or tools exist for cryptographic testing or transition simulation</t>
  </si>
  <si>
    <t>2 - Ad-hoc test setups are created manually, with limited support for modern cryptographic libraries or PQC experimentation</t>
  </si>
  <si>
    <t>3 - Dedicated environments and tooling support cryptographic upgrade validation, protocol testing, and hybrid certificate workflows</t>
  </si>
  <si>
    <t>4 - Standardized cryptographic test environments are available on demand, with automated test harnesses, toolchains, and CI/CD integrations for crypto transitions</t>
  </si>
  <si>
    <t>1 - Cryptographic flexibility is not considered in architectural design decisions</t>
  </si>
  <si>
    <t>2 - Some system designs support algorithm changes, but agility is not standardized across the architecture</t>
  </si>
  <si>
    <t>3 - Architectural patterns require cryptographic abstraction and support for algorithm agility, with guidance integrated into system design</t>
  </si>
  <si>
    <t>4 - Cryptographic agility is a core architectural principle, enforced through design reviews, templates, and automated architecture validation</t>
  </si>
  <si>
    <t>1 - No technical milestones are defined for cryptographic transition</t>
  </si>
  <si>
    <t>2 - Basic milestones are documented, but not tied to cryptographic risk or agility goals</t>
  </si>
  <si>
    <t>3 - Structured cryptographic transition milestones are tracked across systems and aligned to business or regulatory priorities</t>
  </si>
  <si>
    <t>4 - Cryptographic transition milestones are managed through integrated dashboards with risk-weighted timelines and system-level dependencies</t>
  </si>
  <si>
    <t>1 - No engagement with cryptographic standards related to agility or quantum resistance</t>
  </si>
  <si>
    <t>2 - Participation in working groups or community discussions, but no technical contribution</t>
  </si>
  <si>
    <t>3 - Technical contributions to cryptographic standards or specifications focused on agility or quantum resistance</t>
  </si>
  <si>
    <t>4 - Leadership role in shaping cryptographic agility or PQC transition standards, including development of reference implementations, testing frameworks, or interoperability models</t>
  </si>
  <si>
    <t>1 - No capability requirements have been defined for quantum or cryptographic transitions</t>
  </si>
  <si>
    <t>2 - Initial requirements are identified, but coverage is limited and not linked to specific systems or roles</t>
  </si>
  <si>
    <t>3 - Structured capability model defines technical roles, tools, and implementation processes needed for quantum-resistant upgrades</t>
  </si>
  <si>
    <t>4 - Capability requirements are embedded into workforce development, procurement, and delivery planning, with ongoing tracking and refinement</t>
  </si>
  <si>
    <t>1 - No specific resources are allocated for cryptographic implementation or agility-related work</t>
  </si>
  <si>
    <t>2 - Resource needs are documented, but staff or tools are reassigned or under-resourced due to competing priorities</t>
  </si>
  <si>
    <t>3 - Dedicated cryptographic implementation teams, tools, and infrastructure are prioritized for transition projects and protected from disruption</t>
  </si>
  <si>
    <t>4 - Resource prioritization for cryptographic implementation is embedded in strategic planning, with protected capacity across teams, secure environments, and dedicated tooling</t>
  </si>
  <si>
    <t>1 - No quality assurance processes are applied to cryptographic implementations</t>
  </si>
  <si>
    <t>2 - Basic code reviews or testing are performed, but cryptographic logic is not systematically verified</t>
  </si>
  <si>
    <t>3 - Structured quality program includes cryptographic-specific review, testing, and validation processes across systems</t>
  </si>
  <si>
    <t>4 - Cryptographic quality is continuously monitored and verified through automated analysis, misuse detection, and secure implementation tooling</t>
  </si>
  <si>
    <t>1 - No monitoring is performed after cryptographic changes are deployed</t>
  </si>
  <si>
    <t>2 - Basic monitoring captures performance issues, but is not linked to cryptographic changes</t>
  </si>
  <si>
    <t>3 - Structured monitoring processes evaluate the operational effects of cryptographic upgrades and inform remediation</t>
  </si>
  <si>
    <t>4 - Cryptographic implementation impact is continuously tracked using telemetry, with proactive tuning and adaptive rollout strategies</t>
  </si>
  <si>
    <t>1 - No process exists to update cryptographic implementation tools or patterns</t>
  </si>
  <si>
    <t>2 - Updates are applied reactively or informally, without consistent review or tracking</t>
  </si>
  <si>
    <t>3 - Structured maintenance processes regularly update crypto libraries, APIs, coding guidance, and implementation templates</t>
  </si>
  <si>
    <t>4 - Cryptographic libraries, patterns, and tooling are continuously monitored, tested, and updated through automated or lifecycle-integrated processes</t>
  </si>
  <si>
    <t>1 - No defined delivery process exists to support cryptographic transitions</t>
  </si>
  <si>
    <t>2 - Cryptographic changes are delivered informally or within general-purpose project processes, without crypto-specific considerations</t>
  </si>
  <si>
    <t>3 - Structured delivery methodology exists that includes cryptographic implementation steps, roles, and transition requirements</t>
  </si>
  <si>
    <t>4 - Cryptographic transition delivery is supported by a formal, integrated framework designed to accommodate algorithm agility, hybrid models, and PQC migration scenarios</t>
  </si>
  <si>
    <t>1 - No measures are in place to promote consistency in cryptographic implementation</t>
  </si>
  <si>
    <t>2 - Basic guidance or templates exist, but usage is informal and not systematically verified</t>
  </si>
  <si>
    <t>3 - Structured program defines and enforces consistent cryptographic practices across systems, supported by review or tooling</t>
  </si>
  <si>
    <t>4 - Cryptographic consistency is continuously maintained through automated validation, shared modules, and conformance monitoring across the environment</t>
  </si>
  <si>
    <t>1 - No risk management activities are in place for cryptographic transitions</t>
  </si>
  <si>
    <t>2 - Risks are tracked informally during implementation with limited cryptographic specificity</t>
  </si>
  <si>
    <t>3 - Structured risk management framework addresses cryptographic implementation risks, including incompatibility, tooling gaps, and fallback failure</t>
  </si>
  <si>
    <t>4 - Cryptographic risk management is integrated with project delivery, including automated tracking, proactive mitigation, and crypto-specific impact modeling</t>
  </si>
  <si>
    <t>1 - No tracking or benchmarking is performed for cryptographic implementation outcomes</t>
  </si>
  <si>
    <t>2 - Delivery success or delay is recorded informally, without standardized metrics</t>
  </si>
  <si>
    <t>3 - Structured metrics are used to evaluate cryptographic delivery performance across projects, with comparisons across teams or systems</t>
  </si>
  <si>
    <t>4 - Cryptographic delivery metrics are continuously tracked, benchmarked, and used to optimize implementation planning, tooling, and rollout strategies</t>
  </si>
  <si>
    <t>1 - No governance or verification in delivery workflows for cryptographic changes</t>
  </si>
  <si>
    <t>2 - Cryptographic requirements are applied manually or inconsistently during implementation</t>
  </si>
  <si>
    <t>3 - Delivery pipelines include structured enforcement of cryptographic settings, supported algorithms, and secure usage patterns</t>
  </si>
  <si>
    <t>4 - Cryptographic readiness is fully integrated into CI/CD with automated policy enforcement, rollback testing, hybrid readiness checks, and agility-aware gating</t>
  </si>
  <si>
    <t>1 - No testing strategy exists for cryptographic transitions or quantum-resistant implementations</t>
  </si>
  <si>
    <t>2 - Basic test procedures are in place, but do not address cryptographic changes or PQC-specific concerns</t>
  </si>
  <si>
    <t>3 - Structured testing framework defines how quantum-safe and agile cryptographic systems will be tested, including algorithm-specific test planning and fallback scenarios</t>
  </si>
  <si>
    <t>4 - Standards-aligned testing strategy exists that covers quantum-resistant and hybrid implementations, with continuous updates based on emerging requirements and automated testing capabilities</t>
  </si>
  <si>
    <t>1 - No validation of fallback or cryptographic recovery behavior is performed</t>
  </si>
  <si>
    <t>2 - Basic negative test cases are created, but do not represent real-world failure scenarios or critical crypto edge cases</t>
  </si>
  <si>
    <t>3 - Structured testing includes rollback paths, fallback scenarios, and resilience under cryptographic failure conditions</t>
  </si>
  <si>
    <t>4 - Cryptographic transitions are tested using failure injection, downgrade simulation, and automated validation of rollback paths and hybrid interoperability</t>
  </si>
  <si>
    <t>1 - No performance testing is performed on cryptographic implementations</t>
  </si>
  <si>
    <t>2 - Basic performance testing is conducted, but does not reflect real-world constraints or cryptographic transition impact</t>
  </si>
  <si>
    <t>3 - Structured testing includes performance profiling of cryptographic operations under realistic loads, network conditions, and device constraints</t>
  </si>
  <si>
    <t>4 - Comprehensive performance testing simulates quantum-era conditions across environments, with automated stress testing, telemetry integration, and continuous profiling</t>
  </si>
  <si>
    <t>1 - No structured outputs are generated from cryptographic testing</t>
  </si>
  <si>
    <t>2 - Basic logs or manual notes are captured, but not consistently tied to cryptographic validation requirements</t>
  </si>
  <si>
    <t>3 - Structured cryptographic testing produces repeatable, reviewable artifacts (e.g., trace logs, verification reports, test case outputs) aligned to crypto assurance goals</t>
  </si>
  <si>
    <t>4 - Cryptographic test results are systematically captured, reviewed, and used to generate assurance evidence for internal governance, audits, or external certification</t>
  </si>
  <si>
    <t>1 - Testing practices are static and updated only during major reviews</t>
  </si>
  <si>
    <t>2 - Updates are made manually in response to known test failures or external recommendations</t>
  </si>
  <si>
    <t>3 - Testing is regularly enhanced based on crypto-specific feedback, standards evolution, and integration results</t>
  </si>
  <si>
    <t>4 - Testing is proactively updated in response to cryptographic lifecycle changes, vulnerability disclosures, and PQC-related protocol shifts, with formal integration into test maintenance cycles</t>
  </si>
  <si>
    <t>1 - No validation process exists for cryptographic transitions</t>
  </si>
  <si>
    <t>2 - Basic validation steps are performed, but without standardized procedures</t>
  </si>
  <si>
    <t>3 - Structured validation framework is used across cryptographic transitions, with defined roles, criteria, and repeatable processes</t>
  </si>
  <si>
    <t>4 - Cryptographic validation is integrated with deployment workflows, using tooling, traceability, and continuous refinement</t>
  </si>
  <si>
    <t>1 - No consistency measures exist for validation of cryptographic transitions</t>
  </si>
  <si>
    <t>2 - Basic validation procedures are shared informally, but applied inconsistently across teams or systems</t>
  </si>
  <si>
    <t>3 - Structured validation framework enforces consistent practices, acceptance criteria, and test case reuse for cryptographic changes</t>
  </si>
  <si>
    <t>4 - Validation processes are standardized and automatically applied across environments, with tooling to detect deviations and enforce conformance</t>
  </si>
  <si>
    <t>1 - No compliance requirements are considered during cryptographic validation</t>
  </si>
  <si>
    <t>2 - Basic validation checks exist, but are not mapped to specific cryptographic compliance obligations</t>
  </si>
  <si>
    <t>3 - Structured compliance process ensures cryptographic validation activities meet applicable regulatory and industry requirements</t>
  </si>
  <si>
    <t>4 - Cryptographic validation is integrated with compliance management systems, with automated checks, evidence collection, and ongoing regulatory alignment</t>
  </si>
  <si>
    <t>1 - No validation is performed on the cryptographic behavior of third-party or externally managed systems</t>
  </si>
  <si>
    <t>2 - Third-party systems are assumed to be secure, with limited cryptographic validation during integration</t>
  </si>
  <si>
    <t>3 - Structured cryptographic testing is performed on third-party endpoints and integrations, including downgrade attempts and configuration scanning</t>
  </si>
  <si>
    <t>4 - Cryptographic behavior of third-party systems is continuously tested and monitored using automated validation, downgrade probes, and integration testing frameworks</t>
  </si>
  <si>
    <t>1 - No participation in cryptographic validation standards or best practices</t>
  </si>
  <si>
    <t>2 - Occasional participation in industry groups or review of draft validation guidance</t>
  </si>
  <si>
    <t>3 - Active contributions to validation guidance, test frameworks, or community validation efforts</t>
  </si>
  <si>
    <t>4 - Leadership in developing validation standards, tools, or frameworks adopted by other organizations</t>
  </si>
  <si>
    <t>•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t>
  </si>
  <si>
    <t>•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t>
  </si>
  <si>
    <t>•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t>
  </si>
  <si>
    <t>•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t>
  </si>
  <si>
    <t>•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t>
  </si>
  <si>
    <t>•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t>
  </si>
  <si>
    <t>•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t>
  </si>
  <si>
    <t>•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t>
  </si>
  <si>
    <t>•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t>
  </si>
  <si>
    <t>•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t>
  </si>
  <si>
    <t>•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t>
  </si>
  <si>
    <t>•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t>
  </si>
  <si>
    <t>•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t>
  </si>
  <si>
    <t>•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t>
  </si>
  <si>
    <t>•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t>
  </si>
  <si>
    <t>•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t>
  </si>
  <si>
    <t>•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t>
  </si>
  <si>
    <t>•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t>
  </si>
  <si>
    <t>•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t>
  </si>
  <si>
    <t>•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t>
  </si>
  <si>
    <t>•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t>
  </si>
  <si>
    <t>•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t>
  </si>
  <si>
    <t>•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t>
  </si>
  <si>
    <t>•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t>
  </si>
  <si>
    <t>•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t>
  </si>
  <si>
    <t>•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t>
  </si>
  <si>
    <t>•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t>
  </si>
  <si>
    <t>•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t>
  </si>
  <si>
    <t>•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t>
  </si>
  <si>
    <t>•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t>
  </si>
  <si>
    <t>•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t>
  </si>
  <si>
    <t>•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t>
  </si>
  <si>
    <t>•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t>
  </si>
  <si>
    <t>•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t>
  </si>
  <si>
    <t>•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t>
  </si>
  <si>
    <t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t>
  </si>
  <si>
    <t>•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t>
  </si>
  <si>
    <t>•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t>
  </si>
  <si>
    <t>•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t>
  </si>
  <si>
    <t>•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t>
  </si>
  <si>
    <t>•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t>
  </si>
  <si>
    <t>•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t>
  </si>
  <si>
    <t>•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t>
  </si>
  <si>
    <t>•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t>
  </si>
  <si>
    <t>•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t>
  </si>
  <si>
    <t>•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t>
  </si>
  <si>
    <t>•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t>
  </si>
  <si>
    <t>•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t>
  </si>
  <si>
    <t>•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t>
  </si>
  <si>
    <t>•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t>
  </si>
  <si>
    <t>•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t>
  </si>
  <si>
    <t>•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t>
  </si>
  <si>
    <t>•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t>
  </si>
  <si>
    <t>•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t>
  </si>
  <si>
    <t>•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t>
  </si>
  <si>
    <t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t>
  </si>
  <si>
    <t>•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t>
  </si>
  <si>
    <t>•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t>
  </si>
  <si>
    <t>•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t>
  </si>
  <si>
    <t>•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t>
  </si>
  <si>
    <t>•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t>
  </si>
  <si>
    <t>•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t>
  </si>
  <si>
    <t>•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t>
  </si>
  <si>
    <t>•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t>
  </si>
  <si>
    <t>•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t>
  </si>
  <si>
    <t>•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t>
  </si>
  <si>
    <t>•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t>
  </si>
  <si>
    <t>•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t>
  </si>
  <si>
    <t>•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t>
  </si>
  <si>
    <t>•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t>
  </si>
  <si>
    <t>•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t>
  </si>
  <si>
    <t>•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t>
  </si>
  <si>
    <t>•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t>
  </si>
  <si>
    <t>•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t>
  </si>
  <si>
    <t>•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t>
  </si>
  <si>
    <t>•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t>
  </si>
  <si>
    <t>•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t>
  </si>
  <si>
    <t>•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t>
  </si>
  <si>
    <t>•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t>
  </si>
  <si>
    <t>•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t>
  </si>
  <si>
    <t>•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t>
  </si>
  <si>
    <t>•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t>
  </si>
  <si>
    <t>•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t>
  </si>
  <si>
    <t>•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t>
  </si>
  <si>
    <t>•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t>
  </si>
  <si>
    <t>•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t>
  </si>
  <si>
    <t>•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t>
  </si>
  <si>
    <t>•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t>
  </si>
  <si>
    <t>•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t>
  </si>
  <si>
    <t>•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t>
  </si>
  <si>
    <t>•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t>
  </si>
  <si>
    <t>•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t>
  </si>
  <si>
    <t>•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t>
  </si>
  <si>
    <t>•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t>
  </si>
  <si>
    <t>•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t>
  </si>
  <si>
    <t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t>
  </si>
  <si>
    <t>•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t>
  </si>
  <si>
    <t>•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t>
  </si>
  <si>
    <t>•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t>
  </si>
  <si>
    <t>•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t>
  </si>
  <si>
    <t>•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t>
  </si>
  <si>
    <t>•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t>
  </si>
  <si>
    <t>•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t>
  </si>
  <si>
    <t>•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t>
  </si>
  <si>
    <t>•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t>
  </si>
  <si>
    <t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t>
  </si>
  <si>
    <t>•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t>
  </si>
  <si>
    <t>•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t>
  </si>
  <si>
    <t>•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t>
  </si>
  <si>
    <t>•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t>
  </si>
  <si>
    <t>•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t>
  </si>
  <si>
    <t>•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t>
  </si>
  <si>
    <t>•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t>
  </si>
  <si>
    <t>•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t>
  </si>
  <si>
    <t>•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t>
  </si>
  <si>
    <t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t>
  </si>
  <si>
    <t>•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t>
  </si>
  <si>
    <t>•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t>
  </si>
  <si>
    <t>This examines your organization’s oversight of whether vendors can reliably perform cryptographic agility operations under realistic operational, hardware, and deployment constraints, including bandwidth limitations, embedded environments, or downtime-sensitive systems.</t>
  </si>
  <si>
    <t>•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t>
  </si>
  <si>
    <t>•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t>
  </si>
  <si>
    <t>Percentage completion</t>
  </si>
  <si>
    <r>
      <rPr>
        <b/>
        <sz val="11"/>
        <color theme="1"/>
        <rFont val="Segoe UI"/>
        <family val="2"/>
      </rPr>
      <t xml:space="preserve">QRAMM Version: 1.0
</t>
    </r>
    <r>
      <rPr>
        <sz val="11"/>
        <color theme="1"/>
        <rFont val="Segoe UI"/>
        <family val="2"/>
      </rPr>
      <t>Release Date: August 2025
Developed by: CyberSecurity NonProfit (CSNP)
Purpose: Helping organizations prepare for the post-quantum cryptography era</t>
    </r>
  </si>
  <si>
    <t>Industry Benchmark*</t>
  </si>
  <si>
    <t>Cryptographic Visibility &amp; Inventory (CVI)</t>
  </si>
  <si>
    <t>Strategic Governance &amp; Risk Management (SGRM)</t>
  </si>
  <si>
    <t>Data Protection Engineering (DPE)</t>
  </si>
  <si>
    <t>Implementation &amp; Technical Readiness (ITR)</t>
  </si>
  <si>
    <r>
      <rPr>
        <b/>
        <sz val="11"/>
        <color theme="1"/>
        <rFont val="Segoe UI"/>
        <family val="2"/>
      </rPr>
      <t>Scoring System</t>
    </r>
    <r>
      <rPr>
        <sz val="10"/>
        <color theme="1"/>
        <rFont val="Segoe UI"/>
        <family val="2"/>
      </rPr>
      <t xml:space="preserve">
QRAMM uses a comprehensive scoring methodology that accounts for both raw performance and contextual weighting.
</t>
    </r>
    <r>
      <rPr>
        <b/>
        <sz val="10"/>
        <color theme="1"/>
        <rFont val="Segoe UI"/>
      </rPr>
      <t>Raw</t>
    </r>
    <r>
      <rPr>
        <sz val="10"/>
        <color theme="1"/>
        <rFont val="Segoe UI"/>
        <family val="2"/>
      </rPr>
      <t xml:space="preserve"> </t>
    </r>
    <r>
      <rPr>
        <b/>
        <sz val="10"/>
        <color theme="1"/>
        <rFont val="Segoe UI"/>
      </rPr>
      <t>Scores</t>
    </r>
    <r>
      <rPr>
        <sz val="10"/>
        <color theme="1"/>
        <rFont val="Segoe UI"/>
        <family val="2"/>
      </rPr>
      <t xml:space="preserve">
   •   1.0 – 1.5: Basic – Initial awareness and ad-hoc practices
   •   1.6 – 2.5: Developing – Structured approaches beginning to emerge
   •   2.6 – 3.5: Established – Systematic and consistent practices
   •   3.6 – 3.9: Advanced – Optimized processes with continuous improvement
   •   4.0: Optimizing – Excellence and industry leadership
</t>
    </r>
    <r>
      <rPr>
        <b/>
        <sz val="10"/>
        <color theme="1"/>
        <rFont val="Segoe UI"/>
      </rPr>
      <t>Weighted</t>
    </r>
    <r>
      <rPr>
        <sz val="10"/>
        <color theme="1"/>
        <rFont val="Segoe UI"/>
        <family val="2"/>
      </rPr>
      <t xml:space="preserve"> </t>
    </r>
    <r>
      <rPr>
        <b/>
        <sz val="10"/>
        <color theme="1"/>
        <rFont val="Segoe UI"/>
      </rPr>
      <t>Scores</t>
    </r>
    <r>
      <rPr>
        <sz val="10"/>
        <color theme="1"/>
        <rFont val="Segoe UI"/>
        <family val="2"/>
      </rPr>
      <t xml:space="preserve">
Organizational context influences the target maturity level through a profile multiplier between 1.00 and 1.50, adjusted by:
   •   Industry requirements
   •   Regulatory obligations
   •   Organizational scale
   •   Data sensitivity
   •   Technology complexity
</t>
    </r>
    <r>
      <rPr>
        <b/>
        <sz val="10"/>
        <color theme="1"/>
        <rFont val="Segoe UI"/>
      </rPr>
      <t>Example</t>
    </r>
    <r>
      <rPr>
        <sz val="10"/>
        <color theme="1"/>
        <rFont val="Segoe UI"/>
        <family val="2"/>
      </rPr>
      <t xml:space="preserve">: A financial institution handling long-term sensitive data may have a higher multiplier than a retail business with transactional data.
</t>
    </r>
    <r>
      <rPr>
        <sz val="8"/>
        <color theme="1"/>
        <rFont val="Segoe UI"/>
        <family val="2"/>
      </rPr>
      <t xml:space="preserve">
</t>
    </r>
    <r>
      <rPr>
        <b/>
        <sz val="10"/>
        <color theme="1"/>
        <rFont val="Segoe UI"/>
      </rPr>
      <t>Note</t>
    </r>
    <r>
      <rPr>
        <sz val="10"/>
        <color theme="1"/>
        <rFont val="Segoe UI"/>
        <family val="2"/>
      </rPr>
      <t xml:space="preserve">: While raw scores cap at 4.0, weighted scores can exceed this threshold. For instance, a healthcare organization with a 1.33 multiplier and strong performance could reach 4.5+. With a perfect raw score (4.0) and the maximum multiplier (1.5), the weighted score would be 6.0, demonstrating exceptional readiness beyond standard benchmarks.
</t>
    </r>
  </si>
  <si>
    <r>
      <rPr>
        <b/>
        <sz val="11"/>
        <color theme="1"/>
        <rFont val="Segoe UI"/>
        <family val="2"/>
      </rPr>
      <t>Our Mission</t>
    </r>
    <r>
      <rPr>
        <sz val="11"/>
        <color theme="1"/>
        <rFont val="Segoe UI"/>
        <family val="2"/>
      </rPr>
      <t xml:space="preserve">
</t>
    </r>
    <r>
      <rPr>
        <sz val="10"/>
        <color theme="1"/>
        <rFont val="Segoe UI"/>
        <family val="2"/>
      </rPr>
      <t xml:space="preserve">At the Cyber Security Non-Profit (CSNP), our mission is to make cybersecurity knowledge accessible to everyone through education, community, and practical resources.
</t>
    </r>
    <r>
      <rPr>
        <sz val="8"/>
        <color theme="1"/>
        <rFont val="Segoe UI"/>
        <family val="2"/>
      </rPr>
      <t xml:space="preserve">
</t>
    </r>
    <r>
      <rPr>
        <sz val="10"/>
        <color theme="1"/>
        <rFont val="Segoe UI"/>
        <family val="2"/>
      </rPr>
      <t>In support of this mission, the Quantum Readiness Assurance Maturity Model (QRAMM) helps organizations evaluate and strengthen their quantum resilience and cryptographic readiness, enabling them to confidently plan and implement quantum-safe security measures.</t>
    </r>
    <r>
      <rPr>
        <sz val="11"/>
        <color theme="1"/>
        <rFont val="Segoe UI"/>
        <family val="2"/>
      </rPr>
      <t xml:space="preserve">
</t>
    </r>
    <r>
      <rPr>
        <b/>
        <sz val="8"/>
        <color theme="1"/>
        <rFont val="Segoe UI"/>
        <family val="2"/>
      </rPr>
      <t xml:space="preserve">
</t>
    </r>
    <r>
      <rPr>
        <b/>
        <sz val="11"/>
        <color theme="1"/>
        <rFont val="Segoe UI"/>
        <family val="2"/>
      </rPr>
      <t>Overview</t>
    </r>
    <r>
      <rPr>
        <sz val="11"/>
        <color theme="1"/>
        <rFont val="Segoe UI"/>
        <family val="2"/>
      </rPr>
      <t xml:space="preserve">
</t>
    </r>
    <r>
      <rPr>
        <sz val="10"/>
        <color theme="1"/>
        <rFont val="Segoe UI"/>
        <family val="2"/>
      </rPr>
      <t xml:space="preserve">The Quantum Readiness Assurance Maturity Model (QRAMM) is a structured framework designed to help organizations measure and improve their quantum readiness and cryptographic security capabilities.
</t>
    </r>
    <r>
      <rPr>
        <sz val="8"/>
        <color theme="1"/>
        <rFont val="Segoe UI"/>
        <family val="2"/>
      </rPr>
      <t xml:space="preserve">
</t>
    </r>
    <r>
      <rPr>
        <sz val="10"/>
        <color theme="1"/>
        <rFont val="Segoe UI"/>
        <family val="2"/>
      </rPr>
      <t xml:space="preserve">As quantum computing advances pose significant risks to current encryption standards, QRAMM provides organizations with a roadmap for transformation, ensuring resilience through measured assessment and targeted action.
</t>
    </r>
    <r>
      <rPr>
        <sz val="8"/>
        <color theme="1"/>
        <rFont val="Segoe UI"/>
        <family val="2"/>
      </rPr>
      <t xml:space="preserve">
</t>
    </r>
    <r>
      <rPr>
        <b/>
        <sz val="11"/>
        <color theme="1"/>
        <rFont val="Segoe UI"/>
        <family val="2"/>
      </rPr>
      <t>Framework Structure</t>
    </r>
    <r>
      <rPr>
        <b/>
        <sz val="10"/>
        <color theme="1"/>
        <rFont val="Segoe UI"/>
        <family val="2"/>
      </rPr>
      <t xml:space="preserve">
</t>
    </r>
    <r>
      <rPr>
        <sz val="10"/>
        <color theme="1"/>
        <rFont val="Segoe UI"/>
        <family val="2"/>
      </rPr>
      <t xml:space="preserve">QRAMM evaluates four critical dimensions:
</t>
    </r>
    <r>
      <rPr>
        <sz val="6"/>
        <color theme="1"/>
        <rFont val="Segoe UI"/>
        <family val="2"/>
      </rPr>
      <t xml:space="preserve">
</t>
    </r>
    <r>
      <rPr>
        <sz val="10"/>
        <color theme="1"/>
        <rFont val="Segoe UI"/>
        <family val="2"/>
      </rPr>
      <t xml:space="preserve">   1.   Cryptographic Visibility &amp; Inventory (CVI)
   2.   Strategic Governance &amp; Risk Management (SGRM)
   3.   Data Protection Engineering (DPE)
   4.   Implementation &amp; Technical Readiness (ITR)
Each dimension includes 3 specialized practices, totaling 12 core practices. Every practice is assessed through two streams:
</t>
    </r>
    <r>
      <rPr>
        <sz val="6"/>
        <color theme="1"/>
        <rFont val="Segoe UI"/>
        <family val="2"/>
      </rPr>
      <t xml:space="preserve">
</t>
    </r>
    <r>
      <rPr>
        <sz val="10"/>
        <color theme="1"/>
        <rFont val="Segoe UI"/>
        <family val="2"/>
      </rPr>
      <t xml:space="preserve">   •   </t>
    </r>
    <r>
      <rPr>
        <b/>
        <sz val="10"/>
        <color theme="1"/>
        <rFont val="Segoe UI"/>
      </rPr>
      <t>Stream</t>
    </r>
    <r>
      <rPr>
        <sz val="10"/>
        <color theme="1"/>
        <rFont val="Segoe UI"/>
        <family val="2"/>
      </rPr>
      <t xml:space="preserve"> </t>
    </r>
    <r>
      <rPr>
        <b/>
        <sz val="10"/>
        <color theme="1"/>
        <rFont val="Segoe UI"/>
      </rPr>
      <t>A</t>
    </r>
    <r>
      <rPr>
        <sz val="10"/>
        <color theme="1"/>
        <rFont val="Segoe UI"/>
        <family val="2"/>
      </rPr>
      <t xml:space="preserve"> </t>
    </r>
    <r>
      <rPr>
        <b/>
        <sz val="10"/>
        <color theme="1"/>
        <rFont val="Segoe UI"/>
      </rPr>
      <t>(Foundation)</t>
    </r>
    <r>
      <rPr>
        <sz val="10"/>
        <color theme="1"/>
        <rFont val="Segoe UI"/>
        <family val="2"/>
      </rPr>
      <t xml:space="preserve">
   Core capabilities essential for quantum readiness (60% weight)
   •   </t>
    </r>
    <r>
      <rPr>
        <b/>
        <sz val="10"/>
        <color theme="1"/>
        <rFont val="Segoe UI"/>
      </rPr>
      <t>Stream B (Advanced)</t>
    </r>
    <r>
      <rPr>
        <sz val="10"/>
        <color theme="1"/>
        <rFont val="Segoe UI"/>
        <family val="2"/>
      </rPr>
      <t xml:space="preserve">
   Optimization opportunities and advanced capabilities (40% weight)</t>
    </r>
  </si>
  <si>
    <r>
      <rPr>
        <b/>
        <sz val="11"/>
        <color theme="1"/>
        <rFont val="Segoe UI"/>
        <family val="2"/>
      </rPr>
      <t xml:space="preserve">Contact Information
</t>
    </r>
    <r>
      <rPr>
        <sz val="11"/>
        <color theme="1"/>
        <rFont val="Segoe UI"/>
        <family val="2"/>
      </rPr>
      <t xml:space="preserve">Framework Authors:
   •   Emily Fane – VP of Board &amp; Co-Founder at CSNP
   •   Abdel Fane – CTO of DevSecFlow | Executive Director of CSNP &amp; Co-Founder
</t>
    </r>
    <r>
      <rPr>
        <b/>
        <sz val="11"/>
        <color theme="1"/>
        <rFont val="Segoe UI"/>
        <family val="2"/>
      </rPr>
      <t xml:space="preserve">General Inquiries: qramm@csnp.org
</t>
    </r>
    <r>
      <rPr>
        <sz val="11"/>
        <color theme="1"/>
        <rFont val="Segoe UI"/>
        <family val="2"/>
      </rPr>
      <t>Community Resources:
   •   Website: qramm.org
   •   GitHub Repository: https://github.com/csnp/qramm
   •   Discussion Forums: GitHub Discussions
   •   Issue Tracking: GitHub Issues</t>
    </r>
  </si>
  <si>
    <r>
      <rPr>
        <b/>
        <sz val="11"/>
        <color theme="1"/>
        <rFont val="Segoe UI"/>
        <family val="2"/>
      </rPr>
      <t xml:space="preserve">Scorecard Tab Overview
</t>
    </r>
    <r>
      <rPr>
        <sz val="10"/>
        <color theme="1"/>
        <rFont val="Segoe UI"/>
        <family val="2"/>
      </rPr>
      <t xml:space="preserve">The Scorecard tab provides a consolidated view of results.
</t>
    </r>
    <r>
      <rPr>
        <sz val="6"/>
        <color theme="1"/>
        <rFont val="Segoe UI"/>
        <family val="2"/>
      </rPr>
      <t xml:space="preserve">
</t>
    </r>
    <r>
      <rPr>
        <b/>
        <sz val="10"/>
        <color theme="1"/>
        <rFont val="Segoe UI"/>
      </rPr>
      <t>Overall</t>
    </r>
    <r>
      <rPr>
        <sz val="10"/>
        <color theme="1"/>
        <rFont val="Segoe UI"/>
        <family val="2"/>
      </rPr>
      <t xml:space="preserve"> </t>
    </r>
    <r>
      <rPr>
        <b/>
        <sz val="10"/>
        <color theme="1"/>
        <rFont val="Segoe UI"/>
      </rPr>
      <t>Results</t>
    </r>
    <r>
      <rPr>
        <sz val="10"/>
        <color theme="1"/>
        <rFont val="Segoe UI"/>
        <family val="2"/>
      </rPr>
      <t xml:space="preserve">
   •   Overall QRAMM Score – Combined across all dimensions
   •   Maturity Level – Current readiness stage
   •   Completion Status – Progress across 120 questions
</t>
    </r>
    <r>
      <rPr>
        <sz val="6"/>
        <color theme="1"/>
        <rFont val="Segoe UI"/>
        <family val="2"/>
      </rPr>
      <t xml:space="preserve">
</t>
    </r>
    <r>
      <rPr>
        <b/>
        <sz val="10"/>
        <color theme="1"/>
        <rFont val="Segoe UI"/>
      </rPr>
      <t>Dimension</t>
    </r>
    <r>
      <rPr>
        <sz val="10"/>
        <color theme="1"/>
        <rFont val="Segoe UI"/>
        <family val="2"/>
      </rPr>
      <t xml:space="preserve"> </t>
    </r>
    <r>
      <rPr>
        <b/>
        <sz val="10"/>
        <color theme="1"/>
        <rFont val="Segoe UI"/>
      </rPr>
      <t>Scoring</t>
    </r>
    <r>
      <rPr>
        <sz val="10"/>
        <color theme="1"/>
        <rFont val="Segoe UI"/>
        <family val="2"/>
      </rPr>
      <t xml:space="preserve"> </t>
    </r>
    <r>
      <rPr>
        <b/>
        <sz val="10"/>
        <color theme="1"/>
        <rFont val="Segoe UI"/>
      </rPr>
      <t>Summary</t>
    </r>
    <r>
      <rPr>
        <sz val="10"/>
        <color theme="1"/>
        <rFont val="Segoe UI"/>
        <family val="2"/>
      </rPr>
      <t xml:space="preserve">
   •   Raw Score – Direct calculation from responses
   •   Weighted Score – Adjusted for organizational context
   •   Maturity Level – Basic / Developing / Established / Advanced / Optimizing
   •   Progress % – Percentage of completion
</t>
    </r>
    <r>
      <rPr>
        <sz val="6"/>
        <color theme="1"/>
        <rFont val="Segoe UI"/>
        <family val="2"/>
      </rPr>
      <t xml:space="preserve">
</t>
    </r>
    <r>
      <rPr>
        <b/>
        <sz val="10"/>
        <color theme="1"/>
        <rFont val="Segoe UI"/>
      </rPr>
      <t>Visual</t>
    </r>
    <r>
      <rPr>
        <sz val="10"/>
        <color theme="1"/>
        <rFont val="Segoe UI"/>
        <family val="2"/>
      </rPr>
      <t xml:space="preserve"> </t>
    </r>
    <r>
      <rPr>
        <b/>
        <sz val="10"/>
        <color theme="1"/>
        <rFont val="Segoe UI"/>
      </rPr>
      <t>Analytics</t>
    </r>
    <r>
      <rPr>
        <sz val="10"/>
        <color theme="1"/>
        <rFont val="Segoe UI"/>
        <family val="2"/>
      </rPr>
      <t xml:space="preserve">
   •   Dimension Chart – Bar chart comparing raw scores
   •   Maturity Distribution – Donut chart of practices by maturity
   •   Radar Chart – Weighted scores vs. industry benchmarks
</t>
    </r>
    <r>
      <rPr>
        <sz val="6"/>
        <color theme="1"/>
        <rFont val="Segoe UI"/>
        <family val="2"/>
      </rPr>
      <t xml:space="preserve">
</t>
    </r>
    <r>
      <rPr>
        <b/>
        <sz val="10"/>
        <color theme="1"/>
        <rFont val="Segoe UI"/>
      </rPr>
      <t>Highlights</t>
    </r>
    <r>
      <rPr>
        <sz val="10"/>
        <color theme="1"/>
        <rFont val="Segoe UI"/>
        <family val="2"/>
      </rPr>
      <t xml:space="preserve"> </t>
    </r>
    <r>
      <rPr>
        <b/>
        <sz val="10"/>
        <color theme="1"/>
        <rFont val="Segoe UI"/>
      </rPr>
      <t>&amp;</t>
    </r>
    <r>
      <rPr>
        <sz val="10"/>
        <color theme="1"/>
        <rFont val="Segoe UI"/>
        <family val="2"/>
      </rPr>
      <t xml:space="preserve"> </t>
    </r>
    <r>
      <rPr>
        <b/>
        <sz val="10"/>
        <color theme="1"/>
        <rFont val="Segoe UI"/>
      </rPr>
      <t>Recommendations</t>
    </r>
    <r>
      <rPr>
        <sz val="10"/>
        <color theme="1"/>
        <rFont val="Segoe UI"/>
        <family val="2"/>
      </rPr>
      <t xml:space="preserve">
   •   Top Strengths – Highest-scoring practices
   •   Improvement Areas – Lowest-scoring practices needing focus
   •   Dynamic Guidance – Recommendations tailored to scores &amp; profile
   •   Practice-Level Insights – Detailed breakdowns
</t>
    </r>
    <r>
      <rPr>
        <b/>
        <sz val="11"/>
        <color theme="1"/>
        <rFont val="Segoe UI"/>
        <family val="2"/>
      </rPr>
      <t xml:space="preserve">Compliance Mapping
</t>
    </r>
    <r>
      <rPr>
        <sz val="10"/>
        <color theme="1"/>
        <rFont val="Segoe UI"/>
        <family val="2"/>
      </rPr>
      <t xml:space="preserve">QRAMM aligns with 8 major frameworks and standards:
   1.   NIST Post-Quantum Cryptography Standards
   2.   U.S. NSM 10 Requirements
   3.   NSA CNSA 2.0 Guidelines
   4.   ISO/IEC 27001:2022
   5.   ETSI Quantum-Safe Standards
   6.   PCI DSS v4.0
   7.   Common Criteria
   8.   BSI TR-02102
</t>
    </r>
    <r>
      <rPr>
        <sz val="6"/>
        <color theme="1"/>
        <rFont val="Segoe UI"/>
        <family val="2"/>
      </rPr>
      <t xml:space="preserve">
</t>
    </r>
    <r>
      <rPr>
        <b/>
        <sz val="11"/>
        <color theme="1"/>
        <rFont val="Segoe UI"/>
        <family val="2"/>
      </rPr>
      <t xml:space="preserve">Business Value
</t>
    </r>
    <r>
      <rPr>
        <sz val="10"/>
        <color theme="1"/>
        <rFont val="Segoe UI"/>
        <family val="2"/>
      </rPr>
      <t>Immediate Benefits
   •   Risk Visibility – Identify cryptographic vulnerabilities
   •   Strategic Planning – Clear roadmap for transformation
   •   Compliance Readiness – Stay ahead of regulatory shifts
   •   Resource Optimization – Targeted investment based on risk</t>
    </r>
  </si>
  <si>
    <t>AC.L1-b.1.i</t>
  </si>
  <si>
    <t>AC.L1-b.1.ii</t>
  </si>
  <si>
    <t>SR family</t>
  </si>
  <si>
    <t>SC.L1-b.1.x</t>
  </si>
  <si>
    <t>SI.L1-b.1.xii</t>
  </si>
  <si>
    <t>IA.L1-b.1.v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</si>
</sst>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General\ &quot;of 30 questions answered&quot;"/>
    <numFmt numFmtId="165" formatCode="General\ &quot;of 120 questions answered&quot;"/>
    <numFmt numFmtId="166" formatCode="#,##0.000_);\(#,##0.000\)"/>
    <numFmt numFmtId="167" formatCode="0.000"/>
    <numFmt numFmtId="168" formatCode="_(* #,##0_);_(* \(#,##0\);_(* &quot;-&quot;??_);_(@_)"/>
    <numFmt numFmtId="169" formatCode="0.0"/>
    <numFmt numFmtId="170" formatCode=";;"/>
  </numFmts>
  <fonts count="78"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rgb="FFCCCCCC"/>
      <name val="Consolas"/>
      <family val="3"/>
    </font>
    <font>
      <b/>
      <sz val="11"/>
      <color rgb="FFFFFFFF"/>
      <name val="Calibri"/>
      <family val="2"/>
    </font>
    <font>
      <sz val="10"/>
      <color theme="1"/>
      <name val="Segoe UI"/>
      <family val="2"/>
    </font>
    <font>
      <sz val="16"/>
      <color theme="0" tint="-4.9989318521683403E-2"/>
      <name val="Segoe UI"/>
      <family val="2"/>
    </font>
    <font>
      <sz val="16"/>
      <color theme="1"/>
      <name val="Segoe UI"/>
      <family val="2"/>
    </font>
    <font>
      <sz val="12"/>
      <color rgb="FF4A90E2"/>
      <name val="Segoe UI"/>
      <family val="2"/>
    </font>
    <font>
      <sz val="12"/>
      <color theme="1"/>
      <name val="Segoe UI"/>
      <family val="2"/>
    </font>
    <font>
      <sz val="11"/>
      <color theme="1"/>
      <name val="Segoe UI"/>
      <family val="2"/>
    </font>
    <font>
      <b/>
      <sz val="12"/>
      <color theme="1"/>
      <name val="Segoe UI"/>
      <family val="2"/>
    </font>
    <font>
      <sz val="20"/>
      <color theme="0" tint="-4.9989318521683403E-2"/>
      <name val="Segoe UI"/>
      <family val="2"/>
    </font>
    <font>
      <sz val="12"/>
      <color rgb="FF1E3A5F"/>
      <name val="Segoe UI"/>
      <family val="2"/>
    </font>
    <font>
      <sz val="18"/>
      <color rgb="FF667EEA"/>
      <name val="Webdings"/>
      <family val="1"/>
      <charset val="2"/>
    </font>
    <font>
      <b/>
      <sz val="18"/>
      <color theme="1" tint="0.249977111117893"/>
      <name val="Segoe UI"/>
      <family val="2"/>
    </font>
    <font>
      <sz val="10"/>
      <color rgb="FF0070C0"/>
      <name val="Segoe UI"/>
      <family val="2"/>
    </font>
    <font>
      <sz val="10"/>
      <color rgb="FF002060"/>
      <name val="Segoe UI"/>
      <family val="2"/>
    </font>
    <font>
      <sz val="10"/>
      <color theme="9" tint="-0.499984740745262"/>
      <name val="Segoe UI"/>
      <family val="2"/>
    </font>
    <font>
      <b/>
      <sz val="18"/>
      <color theme="1"/>
      <name val="Segoe UI"/>
      <family val="2"/>
    </font>
    <font>
      <b/>
      <sz val="11"/>
      <color theme="0"/>
      <name val="Segoe UI"/>
      <family val="2"/>
    </font>
    <font>
      <sz val="10"/>
      <color theme="0"/>
      <name val="Segoe UI"/>
      <family val="2"/>
    </font>
    <font>
      <sz val="18"/>
      <color rgb="FF1E3A5F"/>
      <name val="Segoe UI"/>
      <family val="2"/>
    </font>
    <font>
      <sz val="10"/>
      <color rgb="FFC00000"/>
      <name val="Segoe UI"/>
      <family val="2"/>
    </font>
    <font>
      <sz val="10"/>
      <color theme="0" tint="-0.499984740745262"/>
      <name val="Segoe UI"/>
      <family val="2"/>
    </font>
    <font>
      <sz val="10"/>
      <color theme="1" tint="0.249977111117893"/>
      <name val="Segoe UI"/>
      <family val="2"/>
    </font>
    <font>
      <sz val="10"/>
      <color theme="1" tint="0.499984740745262"/>
      <name val="Segoe UI"/>
      <family val="2"/>
    </font>
    <font>
      <b/>
      <sz val="22"/>
      <color theme="0"/>
      <name val="Segoe UI"/>
      <family val="2"/>
    </font>
    <font>
      <b/>
      <sz val="10"/>
      <color theme="0"/>
      <name val="Segoe UI"/>
      <family val="2"/>
    </font>
    <font>
      <sz val="9"/>
      <color theme="1" tint="0.249977111117893"/>
      <name val="Segoe UI"/>
      <family val="2"/>
    </font>
    <font>
      <b/>
      <sz val="16"/>
      <color theme="0" tint="-4.9989318521683403E-2"/>
      <name val="Segoe UI Black"/>
      <family val="2"/>
    </font>
    <font>
      <b/>
      <sz val="12"/>
      <color theme="1" tint="0.249977111117893"/>
      <name val="Segoe UI"/>
      <family val="2"/>
    </font>
    <font>
      <b/>
      <sz val="12"/>
      <color rgb="FF4A90E2"/>
      <name val="Segoe UI"/>
      <family val="2"/>
    </font>
    <font>
      <b/>
      <sz val="11"/>
      <color theme="1" tint="0.249977111117893"/>
      <name val="Segoe UI"/>
      <family val="2"/>
    </font>
    <font>
      <sz val="10"/>
      <color theme="1" tint="0.14999847407452621"/>
      <name val="Segoe UI"/>
      <family val="2"/>
    </font>
    <font>
      <sz val="11"/>
      <color theme="1" tint="0.14999847407452621"/>
      <name val="Segoe UI"/>
      <family val="2"/>
    </font>
    <font>
      <b/>
      <sz val="16"/>
      <color theme="1" tint="0.14999847407452621"/>
      <name val="Segoe UI"/>
      <family val="2"/>
    </font>
    <font>
      <sz val="11"/>
      <color theme="0" tint="-0.499984740745262"/>
      <name val="Segoe UI"/>
      <family val="2"/>
    </font>
    <font>
      <sz val="14"/>
      <color theme="0" tint="-0.499984740745262"/>
      <name val="Segoe UI"/>
      <family val="2"/>
    </font>
    <font>
      <sz val="11"/>
      <color theme="0"/>
      <name val="Segoe UI"/>
      <family val="2"/>
    </font>
    <font>
      <sz val="14"/>
      <color theme="0"/>
      <name val="Segoe UI"/>
      <family val="2"/>
    </font>
    <font>
      <b/>
      <sz val="16"/>
      <color theme="9" tint="-0.249977111117893"/>
      <name val="Aptos"/>
      <family val="2"/>
    </font>
    <font>
      <b/>
      <sz val="12"/>
      <color rgb="FF990033"/>
      <name val="Webdings"/>
      <family val="1"/>
      <charset val="2"/>
    </font>
    <font>
      <sz val="12"/>
      <color theme="1"/>
      <name val="Avenir Next LT Pro"/>
      <family val="2"/>
    </font>
    <font>
      <sz val="12"/>
      <color rgb="FF0070C0"/>
      <name val="Avenir Next LT Pro"/>
      <family val="2"/>
    </font>
    <font>
      <sz val="12"/>
      <color theme="0" tint="-0.14999847407452621"/>
      <name val="Webdings"/>
      <family val="1"/>
      <charset val="2"/>
    </font>
    <font>
      <b/>
      <sz val="14"/>
      <color rgb="FF990033"/>
      <name val="Webdings"/>
      <family val="1"/>
      <charset val="2"/>
    </font>
    <font>
      <sz val="10"/>
      <color theme="5" tint="-0.249977111117893"/>
      <name val="Segoe UI"/>
      <family val="2"/>
    </font>
    <font>
      <b/>
      <sz val="10"/>
      <color theme="1"/>
      <name val="Segoe UI"/>
      <family val="2"/>
    </font>
    <font>
      <b/>
      <sz val="16"/>
      <color theme="5" tint="-0.249977111117893"/>
      <name val="Aptos"/>
      <family val="2"/>
    </font>
    <font>
      <b/>
      <sz val="11"/>
      <color theme="1" tint="0.14999847407452621"/>
      <name val="Segoe UI"/>
      <family val="2"/>
    </font>
    <font>
      <i/>
      <sz val="9"/>
      <color theme="1" tint="0.34998626667073579"/>
      <name val="Avenir Next LT Pro"/>
      <family val="2"/>
    </font>
    <font>
      <sz val="18"/>
      <color theme="0" tint="-0.249977111117893"/>
      <name val="Segoe UI"/>
      <family val="2"/>
    </font>
    <font>
      <sz val="16"/>
      <color rgb="FF4A90E2"/>
      <name val="Segoe UI"/>
      <family val="2"/>
    </font>
    <font>
      <sz val="18"/>
      <color theme="1" tint="0.249977111117893"/>
      <name val="Segoe UI"/>
      <family val="2"/>
    </font>
    <font>
      <sz val="9"/>
      <color theme="1"/>
      <name val="Segoe UI"/>
      <family val="2"/>
    </font>
    <font>
      <sz val="9"/>
      <color rgb="FF4A90E2"/>
      <name val="Segoe UI"/>
      <family val="2"/>
    </font>
    <font>
      <sz val="9"/>
      <color theme="5" tint="-0.249977111117893"/>
      <name val="Segoe UI"/>
      <family val="2"/>
    </font>
    <font>
      <sz val="8"/>
      <name val="Aptos Narrow"/>
      <family val="2"/>
      <scheme val="minor"/>
    </font>
    <font>
      <sz val="11"/>
      <color rgb="FF0451A5"/>
      <name val="Consolas"/>
      <family val="3"/>
    </font>
    <font>
      <i/>
      <sz val="11"/>
      <color theme="1" tint="0.499984740745262"/>
      <name val="Segoe UI"/>
      <family val="2"/>
    </font>
    <font>
      <i/>
      <sz val="10"/>
      <color theme="1" tint="0.499984740745262"/>
      <name val="Segoe UI"/>
      <family val="2"/>
    </font>
    <font>
      <sz val="16"/>
      <color theme="0" tint="-0.249977111117893"/>
      <name val="Segoe UI"/>
      <family val="2"/>
    </font>
    <font>
      <sz val="14"/>
      <color rgb="FF4A90E2"/>
      <name val="Segoe UI"/>
      <family val="2"/>
    </font>
    <font>
      <sz val="11"/>
      <color rgb="FF4A90E2"/>
      <name val="Segoe UI"/>
      <family val="2"/>
    </font>
    <font>
      <sz val="11"/>
      <color rgb="FF3B3B3B"/>
      <name val="Consolas"/>
      <family val="3"/>
    </font>
    <font>
      <sz val="11"/>
      <color theme="1" tint="0.499984740745262"/>
      <name val="Segoe UI"/>
      <family val="2"/>
    </font>
    <font>
      <sz val="11"/>
      <color theme="1" tint="0.499984740745262"/>
      <name val="Aptos Narrow"/>
      <family val="2"/>
    </font>
    <font>
      <sz val="16"/>
      <color rgb="FF7030A0"/>
      <name val="Segoe UI"/>
      <family val="2"/>
    </font>
    <font>
      <sz val="14"/>
      <color theme="1"/>
      <name val="Segoe UI"/>
      <family val="2"/>
    </font>
    <font>
      <sz val="20"/>
      <color theme="1"/>
      <name val="Segoe UI"/>
      <family val="2"/>
    </font>
    <font>
      <sz val="10"/>
      <color rgb="FFFF0000"/>
      <name val="Segoe UI"/>
      <family val="2"/>
    </font>
    <font>
      <sz val="10"/>
      <name val="Segoe UI"/>
      <family val="2"/>
    </font>
    <font>
      <b/>
      <sz val="11"/>
      <color theme="1"/>
      <name val="Segoe UI"/>
      <family val="2"/>
    </font>
    <font>
      <sz val="8"/>
      <color theme="1"/>
      <name val="Segoe UI"/>
      <family val="2"/>
    </font>
    <font>
      <b/>
      <sz val="8"/>
      <color theme="1"/>
      <name val="Segoe UI"/>
      <family val="2"/>
    </font>
    <font>
      <sz val="6"/>
      <color theme="1"/>
      <name val="Segoe UI"/>
      <family val="2"/>
    </font>
    <font>
      <b/>
      <sz val="10"/>
      <color theme="1"/>
      <name val="Segoe UI"/>
    </font>
  </fonts>
  <fills count="13">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rgb="FF366092"/>
        <bgColor rgb="FF366092"/>
      </patternFill>
    </fill>
    <fill>
      <patternFill patternType="solid">
        <fgColor rgb="FFE8F4FD"/>
        <bgColor rgb="FFE8F4FD"/>
      </patternFill>
    </fill>
    <fill>
      <patternFill patternType="solid">
        <fgColor rgb="FFFFF2CC"/>
        <bgColor rgb="FFFFF2CC"/>
      </patternFill>
    </fill>
    <fill>
      <patternFill patternType="solid">
        <fgColor rgb="FFE8F5E8"/>
        <bgColor rgb="FFE8F5E8"/>
      </patternFill>
    </fill>
    <fill>
      <patternFill patternType="solid">
        <fgColor rgb="FFFCE4EC"/>
        <bgColor rgb="FFFCE4EC"/>
      </patternFill>
    </fill>
    <fill>
      <patternFill patternType="solid">
        <fgColor rgb="FF745ED0"/>
        <bgColor indexed="64"/>
      </patternFill>
    </fill>
    <fill>
      <patternFill patternType="solid">
        <fgColor rgb="FF667EEA"/>
        <bgColor indexed="64"/>
      </patternFill>
    </fill>
    <fill>
      <patternFill patternType="solid">
        <fgColor theme="5" tint="0.799981688894314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top/>
      <bottom style="thin">
        <color rgb="FFCCECFF"/>
      </bottom>
      <diagonal/>
    </border>
    <border>
      <left/>
      <right/>
      <top/>
      <bottom style="thin">
        <color theme="3" tint="0.499984740745262"/>
      </bottom>
      <diagonal/>
    </border>
    <border>
      <left/>
      <right style="thin">
        <color theme="3" tint="9.9948118533890809E-2"/>
      </right>
      <top/>
      <bottom/>
      <diagonal/>
    </border>
    <border>
      <left style="medium">
        <color theme="0"/>
      </left>
      <right/>
      <top/>
      <bottom style="thick">
        <color theme="0"/>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ck">
        <color theme="0"/>
      </top>
      <bottom/>
      <diagonal/>
    </border>
    <border>
      <left style="thin">
        <color auto="1"/>
      </left>
      <right style="thin">
        <color auto="1"/>
      </right>
      <top/>
      <bottom/>
      <diagonal/>
    </border>
    <border>
      <left style="thin">
        <color theme="1" tint="0.34998626667073579"/>
      </left>
      <right/>
      <top style="thin">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21">
    <xf numFmtId="0" fontId="0" fillId="0" borderId="0" xfId="0"/>
    <xf numFmtId="0" fontId="2" fillId="0" borderId="0" xfId="0" applyFont="1"/>
    <xf numFmtId="0" fontId="0" fillId="0" borderId="1" xfId="0" applyBorder="1"/>
    <xf numFmtId="0" fontId="2" fillId="2" borderId="1" xfId="0" applyFont="1" applyFill="1" applyBorder="1"/>
    <xf numFmtId="0" fontId="0" fillId="3" borderId="1" xfId="0" applyFill="1" applyBorder="1"/>
    <xf numFmtId="0" fontId="0" fillId="0" borderId="2" xfId="0" applyBorder="1"/>
    <xf numFmtId="0" fontId="3" fillId="0" borderId="0" xfId="0" applyFont="1" applyAlignment="1">
      <alignment vertical="center"/>
    </xf>
    <xf numFmtId="0" fontId="4" fillId="5" borderId="1" xfId="0" applyFont="1" applyFill="1" applyBorder="1" applyAlignment="1">
      <alignment horizontal="center" vertical="center" wrapText="1"/>
    </xf>
    <xf numFmtId="0" fontId="0" fillId="6" borderId="1" xfId="0" applyFill="1" applyBorder="1" applyAlignment="1">
      <alignment vertical="top" wrapText="1"/>
    </xf>
    <xf numFmtId="0" fontId="0" fillId="7" borderId="1" xfId="0" applyFill="1" applyBorder="1" applyAlignment="1">
      <alignment vertical="top" wrapText="1"/>
    </xf>
    <xf numFmtId="0" fontId="0" fillId="8" borderId="1" xfId="0" applyFill="1" applyBorder="1" applyAlignment="1">
      <alignment vertical="top" wrapText="1"/>
    </xf>
    <xf numFmtId="0" fontId="0" fillId="9" borderId="1" xfId="0" applyFill="1" applyBorder="1" applyAlignment="1">
      <alignment vertical="top" wrapText="1"/>
    </xf>
    <xf numFmtId="0" fontId="2" fillId="2" borderId="1" xfId="0" applyFont="1" applyFill="1" applyBorder="1" applyAlignment="1">
      <alignment horizontal="right"/>
    </xf>
    <xf numFmtId="0" fontId="0" fillId="0" borderId="1" xfId="0" applyBorder="1" applyAlignment="1">
      <alignment horizontal="right"/>
    </xf>
    <xf numFmtId="0" fontId="5" fillId="0" borderId="0" xfId="0" applyFont="1"/>
    <xf numFmtId="0" fontId="8" fillId="3" borderId="0" xfId="0" applyFont="1" applyFill="1" applyAlignment="1">
      <alignment horizontal="left" vertical="center" indent="2"/>
    </xf>
    <xf numFmtId="0" fontId="8" fillId="3" borderId="0" xfId="0" applyFont="1" applyFill="1" applyAlignment="1">
      <alignment horizontal="left" vertical="center"/>
    </xf>
    <xf numFmtId="0" fontId="8" fillId="3" borderId="0" xfId="0" applyFont="1" applyFill="1" applyAlignment="1">
      <alignment horizontal="left" vertical="center" wrapText="1"/>
    </xf>
    <xf numFmtId="0" fontId="8" fillId="3" borderId="0" xfId="0" applyFont="1" applyFill="1"/>
    <xf numFmtId="0" fontId="9" fillId="0" borderId="0" xfId="0" applyFont="1"/>
    <xf numFmtId="0" fontId="10" fillId="0" borderId="0" xfId="0" applyFont="1"/>
    <xf numFmtId="0" fontId="9" fillId="0" borderId="0" xfId="0" applyFont="1" applyAlignment="1">
      <alignment vertical="center"/>
    </xf>
    <xf numFmtId="0" fontId="8" fillId="3" borderId="0" xfId="0" applyFont="1" applyFill="1" applyAlignment="1">
      <alignment vertical="center"/>
    </xf>
    <xf numFmtId="0" fontId="9" fillId="0" borderId="7" xfId="0" applyFont="1" applyBorder="1" applyAlignment="1">
      <alignment horizontal="left" vertical="center" indent="1"/>
    </xf>
    <xf numFmtId="0" fontId="8" fillId="0" borderId="0" xfId="0" applyFont="1" applyAlignment="1">
      <alignment vertical="center"/>
    </xf>
    <xf numFmtId="0" fontId="9" fillId="0" borderId="0" xfId="0" applyFont="1" applyAlignment="1">
      <alignment horizontal="left" vertical="center" indent="1"/>
    </xf>
    <xf numFmtId="0" fontId="11" fillId="0" borderId="0" xfId="0" applyFont="1" applyAlignment="1">
      <alignment vertical="center"/>
    </xf>
    <xf numFmtId="0" fontId="13" fillId="0" borderId="0" xfId="0" applyFont="1" applyAlignment="1">
      <alignment horizontal="center"/>
    </xf>
    <xf numFmtId="0" fontId="6" fillId="10" borderId="0" xfId="0" applyFont="1" applyFill="1" applyAlignment="1">
      <alignment horizontal="left" vertical="center" indent="2"/>
    </xf>
    <xf numFmtId="0" fontId="6" fillId="10" borderId="0" xfId="0" applyFont="1" applyFill="1" applyAlignment="1">
      <alignment horizontal="right" vertical="center"/>
    </xf>
    <xf numFmtId="0" fontId="6" fillId="10" borderId="0" xfId="0" applyFont="1" applyFill="1" applyAlignment="1">
      <alignment horizontal="left" vertical="center" wrapText="1"/>
    </xf>
    <xf numFmtId="0" fontId="7" fillId="10" borderId="0" xfId="0" applyFont="1" applyFill="1"/>
    <xf numFmtId="49" fontId="14" fillId="0" borderId="0" xfId="0" applyNumberFormat="1" applyFont="1" applyAlignment="1">
      <alignment horizontal="right"/>
    </xf>
    <xf numFmtId="39" fontId="12" fillId="11" borderId="0" xfId="1" applyNumberFormat="1" applyFont="1" applyFill="1" applyAlignment="1">
      <alignment horizontal="center" vertical="center"/>
    </xf>
    <xf numFmtId="49" fontId="15" fillId="0" borderId="0" xfId="0" applyNumberFormat="1" applyFont="1" applyAlignment="1">
      <alignment horizontal="left" indent="1"/>
    </xf>
    <xf numFmtId="0" fontId="16" fillId="0" borderId="0" xfId="0" applyFont="1" applyAlignment="1">
      <alignment vertical="center"/>
    </xf>
    <xf numFmtId="0" fontId="16" fillId="0" borderId="0" xfId="0" applyFont="1" applyAlignment="1">
      <alignment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10" fillId="4" borderId="0" xfId="0" applyFont="1" applyFill="1"/>
    <xf numFmtId="0" fontId="17" fillId="0" borderId="0" xfId="0" applyFont="1"/>
    <xf numFmtId="0" fontId="18" fillId="0" borderId="3" xfId="0" applyFont="1" applyBorder="1"/>
    <xf numFmtId="0" fontId="8" fillId="3" borderId="0" xfId="0" applyFont="1" applyFill="1" applyAlignment="1">
      <alignment horizontal="right" vertical="center"/>
    </xf>
    <xf numFmtId="0" fontId="8" fillId="3" borderId="0" xfId="0" applyFont="1" applyFill="1" applyAlignment="1">
      <alignment wrapText="1"/>
    </xf>
    <xf numFmtId="37" fontId="8" fillId="3" borderId="0" xfId="0" applyNumberFormat="1" applyFont="1" applyFill="1" applyAlignment="1">
      <alignment horizontal="right" vertical="center" indent="2"/>
    </xf>
    <xf numFmtId="0" fontId="5" fillId="0" borderId="0" xfId="0" applyFont="1" applyAlignment="1">
      <alignment wrapText="1"/>
    </xf>
    <xf numFmtId="0" fontId="7" fillId="10" borderId="0" xfId="0" applyFont="1" applyFill="1" applyAlignment="1">
      <alignment wrapText="1"/>
    </xf>
    <xf numFmtId="0" fontId="20" fillId="4" borderId="0" xfId="0" applyFont="1" applyFill="1"/>
    <xf numFmtId="0" fontId="5" fillId="0" borderId="0" xfId="0" applyFont="1" applyAlignment="1">
      <alignment vertical="center"/>
    </xf>
    <xf numFmtId="0" fontId="10" fillId="0" borderId="0" xfId="0" applyFont="1" applyAlignment="1">
      <alignment horizontal="center" vertical="top"/>
    </xf>
    <xf numFmtId="0" fontId="10" fillId="0" borderId="0" xfId="0" applyFont="1" applyAlignment="1">
      <alignment vertical="top"/>
    </xf>
    <xf numFmtId="0" fontId="23" fillId="0" borderId="0" xfId="0" applyFont="1" applyAlignment="1">
      <alignment horizontal="left" vertical="center"/>
    </xf>
    <xf numFmtId="0" fontId="24" fillId="0" borderId="0" xfId="0" quotePrefix="1" applyFont="1" applyAlignment="1">
      <alignment vertical="center" wrapText="1"/>
    </xf>
    <xf numFmtId="0" fontId="26" fillId="0" borderId="0" xfId="0" applyFont="1" applyAlignment="1">
      <alignment vertical="center"/>
    </xf>
    <xf numFmtId="0" fontId="25" fillId="0" borderId="5" xfId="0" applyFont="1" applyBorder="1" applyAlignment="1">
      <alignment horizontal="right" vertical="center"/>
    </xf>
    <xf numFmtId="0" fontId="21" fillId="0" borderId="0" xfId="0" applyFont="1" applyAlignment="1">
      <alignment horizontal="center" vertical="center"/>
    </xf>
    <xf numFmtId="0" fontId="5" fillId="4" borderId="7" xfId="0" applyFont="1" applyFill="1" applyBorder="1" applyAlignment="1">
      <alignment horizontal="left" vertical="center" wrapText="1"/>
    </xf>
    <xf numFmtId="0" fontId="5" fillId="3" borderId="6" xfId="0" applyFont="1" applyFill="1" applyBorder="1" applyAlignment="1">
      <alignment horizontal="center" vertical="center"/>
    </xf>
    <xf numFmtId="0" fontId="25" fillId="0" borderId="5" xfId="0" applyFont="1" applyBorder="1"/>
    <xf numFmtId="0" fontId="21" fillId="0" borderId="0" xfId="0" applyFont="1"/>
    <xf numFmtId="0" fontId="24" fillId="0" borderId="8" xfId="0" applyFont="1" applyBorder="1" applyAlignment="1">
      <alignment horizontal="left" vertical="center" wrapText="1"/>
    </xf>
    <xf numFmtId="0" fontId="16" fillId="0" borderId="0" xfId="0" applyFont="1" applyAlignment="1">
      <alignment vertical="top" wrapText="1"/>
    </xf>
    <xf numFmtId="0" fontId="5" fillId="0" borderId="0" xfId="0" applyFont="1" applyAlignment="1">
      <alignment vertical="center" wrapText="1"/>
    </xf>
    <xf numFmtId="0" fontId="5" fillId="4" borderId="7" xfId="0" applyFont="1" applyFill="1" applyBorder="1" applyAlignment="1">
      <alignment horizontal="left" vertical="top" wrapText="1"/>
    </xf>
    <xf numFmtId="0" fontId="25" fillId="0" borderId="0" xfId="0" applyFont="1"/>
    <xf numFmtId="0" fontId="5" fillId="0" borderId="5" xfId="0" applyFont="1" applyBorder="1"/>
    <xf numFmtId="0" fontId="16" fillId="0" borderId="4" xfId="0" applyFont="1" applyBorder="1" applyAlignment="1">
      <alignment vertical="center"/>
    </xf>
    <xf numFmtId="0" fontId="21" fillId="0" borderId="4" xfId="0" applyFont="1" applyBorder="1" applyAlignment="1">
      <alignment vertical="center"/>
    </xf>
    <xf numFmtId="0" fontId="16" fillId="0" borderId="4" xfId="0" applyFont="1" applyBorder="1" applyAlignment="1">
      <alignment vertical="center" wrapText="1"/>
    </xf>
    <xf numFmtId="0" fontId="5" fillId="0" borderId="4" xfId="0" applyFont="1" applyBorder="1"/>
    <xf numFmtId="0" fontId="5" fillId="0" borderId="4" xfId="0" applyFont="1" applyBorder="1" applyAlignment="1">
      <alignment horizontal="center" vertical="center" wrapText="1"/>
    </xf>
    <xf numFmtId="0" fontId="5" fillId="0" borderId="4" xfId="0" applyFont="1" applyBorder="1" applyAlignment="1">
      <alignment horizontal="center" vertical="center"/>
    </xf>
    <xf numFmtId="0" fontId="5" fillId="0" borderId="3" xfId="0" applyFont="1" applyBorder="1"/>
    <xf numFmtId="0" fontId="9" fillId="0" borderId="0" xfId="0" applyFont="1" applyAlignment="1">
      <alignment horizontal="center" vertical="center"/>
    </xf>
    <xf numFmtId="0" fontId="5" fillId="10" borderId="0" xfId="0" applyFont="1" applyFill="1"/>
    <xf numFmtId="0" fontId="8" fillId="3" borderId="0" xfId="0" applyFont="1" applyFill="1" applyAlignment="1">
      <alignment horizontal="right" vertical="center" indent="2"/>
    </xf>
    <xf numFmtId="0" fontId="5" fillId="3" borderId="6" xfId="0" applyFont="1" applyFill="1" applyBorder="1" applyAlignment="1">
      <alignment horizontal="left" vertical="center" wrapText="1"/>
    </xf>
    <xf numFmtId="37" fontId="26" fillId="3" borderId="0" xfId="1" applyNumberFormat="1" applyFont="1" applyFill="1" applyAlignment="1">
      <alignment horizontal="center" vertical="center"/>
    </xf>
    <xf numFmtId="0" fontId="28" fillId="11" borderId="0" xfId="0" applyFont="1" applyFill="1"/>
    <xf numFmtId="0" fontId="28" fillId="11" borderId="0" xfId="0" applyFont="1" applyFill="1" applyAlignment="1">
      <alignment vertical="center"/>
    </xf>
    <xf numFmtId="0" fontId="28" fillId="11" borderId="0" xfId="0" applyFont="1" applyFill="1" applyAlignment="1">
      <alignment vertical="center" wrapText="1"/>
    </xf>
    <xf numFmtId="0" fontId="28" fillId="11" borderId="0" xfId="0" applyFont="1" applyFill="1" applyAlignment="1">
      <alignment horizontal="center" vertical="center" wrapText="1"/>
    </xf>
    <xf numFmtId="0" fontId="28" fillId="11" borderId="0" xfId="0" applyFont="1" applyFill="1" applyAlignment="1">
      <alignment horizontal="center" vertical="center"/>
    </xf>
    <xf numFmtId="2" fontId="22" fillId="3" borderId="0" xfId="1" applyNumberFormat="1" applyFont="1" applyFill="1" applyAlignment="1">
      <alignment horizontal="center" vertical="center"/>
    </xf>
    <xf numFmtId="39" fontId="27" fillId="11" borderId="0" xfId="1" applyNumberFormat="1" applyFont="1" applyFill="1" applyBorder="1" applyAlignment="1">
      <alignment horizontal="center" vertical="center"/>
    </xf>
    <xf numFmtId="0" fontId="30" fillId="10" borderId="0" xfId="0" applyFont="1" applyFill="1" applyAlignment="1">
      <alignment horizontal="left" vertical="center"/>
    </xf>
    <xf numFmtId="0" fontId="31" fillId="3" borderId="0" xfId="0" applyFont="1" applyFill="1" applyAlignment="1">
      <alignment vertical="center"/>
    </xf>
    <xf numFmtId="0" fontId="32" fillId="0" borderId="0" xfId="0" applyFont="1" applyAlignment="1">
      <alignment vertical="center"/>
    </xf>
    <xf numFmtId="0" fontId="33" fillId="0" borderId="0" xfId="0" applyFont="1" applyAlignment="1">
      <alignment vertical="center"/>
    </xf>
    <xf numFmtId="0" fontId="5" fillId="10" borderId="0" xfId="0" applyFont="1" applyFill="1" applyAlignment="1">
      <alignment vertical="center" wrapText="1"/>
    </xf>
    <xf numFmtId="0" fontId="5" fillId="10" borderId="0" xfId="0" applyFont="1" applyFill="1" applyAlignment="1">
      <alignment wrapText="1"/>
    </xf>
    <xf numFmtId="0" fontId="21" fillId="0" borderId="0" xfId="0" applyFont="1" applyAlignment="1">
      <alignment horizontal="left" vertical="center"/>
    </xf>
    <xf numFmtId="0" fontId="21" fillId="0" borderId="0" xfId="0" applyFont="1" applyAlignment="1">
      <alignment vertical="center"/>
    </xf>
    <xf numFmtId="0" fontId="34" fillId="0" borderId="0" xfId="0" applyFont="1"/>
    <xf numFmtId="0" fontId="34" fillId="0" borderId="0" xfId="0" applyFont="1" applyAlignment="1">
      <alignment wrapText="1"/>
    </xf>
    <xf numFmtId="0" fontId="34" fillId="0" borderId="0" xfId="0" applyFont="1" applyAlignment="1">
      <alignment vertical="center"/>
    </xf>
    <xf numFmtId="0" fontId="34" fillId="0" borderId="0" xfId="0" applyFont="1" applyAlignment="1">
      <alignment vertical="center" wrapText="1"/>
    </xf>
    <xf numFmtId="0" fontId="10" fillId="0" borderId="0" xfId="0" applyFont="1" applyAlignment="1">
      <alignment vertical="center"/>
    </xf>
    <xf numFmtId="0" fontId="35" fillId="0" borderId="0" xfId="0" applyFont="1" applyAlignment="1">
      <alignment vertical="center"/>
    </xf>
    <xf numFmtId="0" fontId="35" fillId="0" borderId="0" xfId="0" applyFont="1" applyAlignment="1">
      <alignment horizontal="center" vertical="center" wrapText="1"/>
    </xf>
    <xf numFmtId="39" fontId="35" fillId="0" borderId="0" xfId="1" applyNumberFormat="1" applyFont="1" applyAlignment="1">
      <alignment horizontal="center" vertical="center"/>
    </xf>
    <xf numFmtId="39" fontId="35" fillId="0" borderId="0" xfId="1" applyNumberFormat="1" applyFont="1" applyAlignment="1">
      <alignment horizontal="center" vertical="center" wrapText="1"/>
    </xf>
    <xf numFmtId="39" fontId="36" fillId="3" borderId="0" xfId="0" applyNumberFormat="1" applyFont="1" applyFill="1" applyAlignment="1">
      <alignment horizontal="center" vertical="center"/>
    </xf>
    <xf numFmtId="0" fontId="36" fillId="3" borderId="0" xfId="0" applyFont="1" applyFill="1" applyAlignment="1">
      <alignment horizontal="center" vertical="center" wrapText="1"/>
    </xf>
    <xf numFmtId="0" fontId="8" fillId="0" borderId="0" xfId="0" applyFont="1" applyAlignment="1">
      <alignment horizontal="center" vertical="center"/>
    </xf>
    <xf numFmtId="0" fontId="8" fillId="0" borderId="0" xfId="0" applyFont="1" applyAlignment="1">
      <alignment horizontal="center" vertical="center" wrapText="1"/>
    </xf>
    <xf numFmtId="0" fontId="5" fillId="0" borderId="0" xfId="0" applyFont="1" applyAlignment="1">
      <alignment horizontal="center"/>
    </xf>
    <xf numFmtId="165" fontId="38" fillId="0" borderId="0" xfId="0" applyNumberFormat="1" applyFont="1" applyAlignment="1">
      <alignment vertical="center"/>
    </xf>
    <xf numFmtId="0" fontId="39" fillId="0" borderId="0" xfId="0" applyFont="1" applyAlignment="1">
      <alignment horizontal="left" vertical="center"/>
    </xf>
    <xf numFmtId="0" fontId="40" fillId="0" borderId="0" xfId="0" applyFont="1"/>
    <xf numFmtId="0" fontId="41" fillId="0" borderId="0" xfId="0" applyFont="1" applyAlignment="1">
      <alignment horizontal="right" vertical="center" indent="1"/>
    </xf>
    <xf numFmtId="0" fontId="42" fillId="0" borderId="0" xfId="0" applyFont="1" applyAlignment="1">
      <alignment horizontal="right" vertical="center" indent="1"/>
    </xf>
    <xf numFmtId="0" fontId="8" fillId="0" borderId="0" xfId="0" applyFont="1" applyAlignment="1">
      <alignment horizontal="left" vertical="center"/>
    </xf>
    <xf numFmtId="0" fontId="36" fillId="3" borderId="0" xfId="0" applyFont="1" applyFill="1" applyAlignment="1">
      <alignment horizontal="left" vertical="center" indent="1"/>
    </xf>
    <xf numFmtId="0" fontId="43" fillId="0" borderId="0" xfId="0" applyFont="1"/>
    <xf numFmtId="0" fontId="44" fillId="0" borderId="0" xfId="0" applyFont="1" applyAlignment="1">
      <alignment vertical="center"/>
    </xf>
    <xf numFmtId="0" fontId="45" fillId="0" borderId="0" xfId="0" applyFont="1" applyAlignment="1">
      <alignment horizontal="right" vertical="center"/>
    </xf>
    <xf numFmtId="0" fontId="43" fillId="0" borderId="0" xfId="0" applyFont="1" applyAlignment="1">
      <alignment horizontal="left" indent="1"/>
    </xf>
    <xf numFmtId="0" fontId="43" fillId="0" borderId="0" xfId="0" applyFont="1" applyAlignment="1">
      <alignment horizontal="left" vertical="center" indent="1"/>
    </xf>
    <xf numFmtId="0" fontId="46" fillId="0" borderId="0" xfId="0" applyFont="1" applyAlignment="1">
      <alignment horizontal="right" vertical="center" indent="1"/>
    </xf>
    <xf numFmtId="0" fontId="0" fillId="0" borderId="9" xfId="0" applyBorder="1"/>
    <xf numFmtId="9" fontId="21" fillId="0" borderId="0" xfId="2" applyFont="1"/>
    <xf numFmtId="0" fontId="44" fillId="0" borderId="0" xfId="0" applyFont="1" applyAlignment="1">
      <alignment horizontal="left" vertical="center" indent="2"/>
    </xf>
    <xf numFmtId="0" fontId="47" fillId="0" borderId="0" xfId="0" applyFont="1"/>
    <xf numFmtId="0" fontId="48" fillId="0" borderId="0" xfId="0" applyFont="1" applyAlignment="1">
      <alignment vertical="center"/>
    </xf>
    <xf numFmtId="0" fontId="49" fillId="0" borderId="0" xfId="0" applyFont="1" applyAlignment="1">
      <alignment horizontal="right" vertical="center" indent="1"/>
    </xf>
    <xf numFmtId="0" fontId="21" fillId="0" borderId="0" xfId="0" applyFont="1" applyAlignment="1">
      <alignment horizontal="center"/>
    </xf>
    <xf numFmtId="0" fontId="39" fillId="0" borderId="0" xfId="0" applyFont="1" applyAlignment="1">
      <alignment horizontal="center" vertical="top" wrapText="1"/>
    </xf>
    <xf numFmtId="0" fontId="21" fillId="0" borderId="0" xfId="0" applyFont="1" applyAlignment="1">
      <alignment horizontal="left"/>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66" fontId="21" fillId="0" borderId="0" xfId="1" applyNumberFormat="1" applyFont="1" applyAlignment="1">
      <alignment horizontal="center" vertical="center"/>
    </xf>
    <xf numFmtId="1" fontId="21" fillId="0" borderId="0" xfId="0" applyNumberFormat="1" applyFont="1" applyAlignment="1">
      <alignment horizontal="center" vertical="center"/>
    </xf>
    <xf numFmtId="2" fontId="21" fillId="0" borderId="0" xfId="0" applyNumberFormat="1" applyFont="1" applyAlignment="1">
      <alignment horizontal="center" vertical="center"/>
    </xf>
    <xf numFmtId="43" fontId="0" fillId="0" borderId="1" xfId="1" applyFont="1" applyBorder="1"/>
    <xf numFmtId="0" fontId="50" fillId="0" borderId="0" xfId="0" applyFont="1" applyAlignment="1">
      <alignment vertical="center"/>
    </xf>
    <xf numFmtId="0" fontId="8" fillId="0" borderId="0" xfId="0" applyFont="1" applyAlignment="1">
      <alignment horizontal="right" vertical="center" indent="2"/>
    </xf>
    <xf numFmtId="0" fontId="21" fillId="0" borderId="0" xfId="0" applyFont="1" applyAlignment="1">
      <alignment horizontal="right" indent="2"/>
    </xf>
    <xf numFmtId="0" fontId="32" fillId="0" borderId="0" xfId="0" applyFont="1" applyAlignment="1">
      <alignment horizontal="right" vertical="center" indent="2"/>
    </xf>
    <xf numFmtId="0" fontId="44" fillId="0" borderId="0" xfId="0" applyFont="1" applyAlignment="1">
      <alignment horizontal="left" vertical="center" indent="7"/>
    </xf>
    <xf numFmtId="0" fontId="51" fillId="0" borderId="0" xfId="0" applyFont="1" applyAlignment="1">
      <alignment horizontal="left" vertical="top" indent="1"/>
    </xf>
    <xf numFmtId="165" fontId="38" fillId="0" borderId="0" xfId="0" applyNumberFormat="1" applyFont="1" applyAlignment="1">
      <alignment horizontal="right" vertical="center" indent="1"/>
    </xf>
    <xf numFmtId="49" fontId="14" fillId="0" borderId="0" xfId="0" applyNumberFormat="1" applyFont="1" applyAlignment="1">
      <alignment vertical="center"/>
    </xf>
    <xf numFmtId="0" fontId="28" fillId="11" borderId="0" xfId="0" applyFont="1" applyFill="1" applyAlignment="1">
      <alignment horizontal="left" vertical="center" indent="2"/>
    </xf>
    <xf numFmtId="0" fontId="52" fillId="0" borderId="0" xfId="0" applyFont="1" applyAlignment="1">
      <alignment horizontal="left" vertical="center"/>
    </xf>
    <xf numFmtId="0" fontId="55" fillId="0" borderId="0" xfId="0" applyFont="1" applyAlignment="1">
      <alignment vertical="center"/>
    </xf>
    <xf numFmtId="0" fontId="55" fillId="0" borderId="0" xfId="0" applyFont="1"/>
    <xf numFmtId="0" fontId="56" fillId="0" borderId="0" xfId="0" applyFont="1" applyAlignment="1">
      <alignment horizontal="left" vertical="center"/>
    </xf>
    <xf numFmtId="0" fontId="55" fillId="0" borderId="0" xfId="0" applyFont="1" applyAlignment="1">
      <alignment horizontal="left" vertical="center" indent="2"/>
    </xf>
    <xf numFmtId="0" fontId="55" fillId="0" borderId="0" xfId="0" applyFont="1" applyAlignment="1">
      <alignment wrapText="1"/>
    </xf>
    <xf numFmtId="0" fontId="57" fillId="0" borderId="0" xfId="0" applyFont="1"/>
    <xf numFmtId="0" fontId="59" fillId="0" borderId="0" xfId="0" applyFont="1" applyAlignment="1">
      <alignment vertical="center"/>
    </xf>
    <xf numFmtId="0" fontId="5" fillId="0" borderId="1" xfId="0" applyFont="1" applyBorder="1" applyAlignment="1">
      <alignment vertical="center"/>
    </xf>
    <xf numFmtId="0" fontId="8" fillId="0" borderId="1" xfId="0" applyFont="1" applyBorder="1" applyAlignment="1">
      <alignment horizontal="left" vertical="center" indent="2"/>
    </xf>
    <xf numFmtId="0" fontId="8" fillId="0" borderId="1" xfId="0" applyFont="1" applyBorder="1" applyAlignment="1">
      <alignment horizontal="left" vertical="center"/>
    </xf>
    <xf numFmtId="0" fontId="5" fillId="0" borderId="1" xfId="0" applyFont="1" applyBorder="1"/>
    <xf numFmtId="0" fontId="55" fillId="0" borderId="1" xfId="0" applyFont="1" applyBorder="1" applyAlignment="1">
      <alignment vertical="center"/>
    </xf>
    <xf numFmtId="0" fontId="55" fillId="0" borderId="1" xfId="0" applyFont="1" applyBorder="1" applyAlignment="1">
      <alignment horizontal="left" vertical="center" indent="1"/>
    </xf>
    <xf numFmtId="0" fontId="56" fillId="0" borderId="1" xfId="0" applyFont="1" applyBorder="1" applyAlignment="1">
      <alignment horizontal="left" vertical="center" indent="1"/>
    </xf>
    <xf numFmtId="0" fontId="55" fillId="0" borderId="1" xfId="0" applyFont="1" applyBorder="1" applyAlignment="1">
      <alignment horizontal="left" vertical="center" indent="2"/>
    </xf>
    <xf numFmtId="0" fontId="55" fillId="0" borderId="1" xfId="0" applyFont="1" applyBorder="1"/>
    <xf numFmtId="0" fontId="56" fillId="0" borderId="1" xfId="0" applyFont="1" applyBorder="1" applyAlignment="1">
      <alignment horizontal="left" vertical="center"/>
    </xf>
    <xf numFmtId="0" fontId="55" fillId="0" borderId="1" xfId="0" applyFont="1" applyBorder="1" applyAlignment="1">
      <alignment horizontal="center" vertical="center" wrapText="1"/>
    </xf>
    <xf numFmtId="0" fontId="55" fillId="0" borderId="1" xfId="0" applyFont="1" applyBorder="1" applyAlignment="1">
      <alignment horizontal="center" vertical="center"/>
    </xf>
    <xf numFmtId="9" fontId="60" fillId="0" borderId="0" xfId="2" applyFont="1" applyAlignment="1">
      <alignment horizontal="center" vertical="center" wrapText="1"/>
    </xf>
    <xf numFmtId="0" fontId="61" fillId="0" borderId="0" xfId="0" applyFont="1" applyAlignment="1">
      <alignment horizontal="center" vertical="center" wrapText="1"/>
    </xf>
    <xf numFmtId="0" fontId="53" fillId="0" borderId="0" xfId="0" applyFont="1" applyAlignment="1">
      <alignment horizontal="right" vertical="center"/>
    </xf>
    <xf numFmtId="169" fontId="55" fillId="0" borderId="1" xfId="0" applyNumberFormat="1" applyFont="1" applyBorder="1" applyAlignment="1">
      <alignment horizontal="center" vertical="center"/>
    </xf>
    <xf numFmtId="0" fontId="62" fillId="0" borderId="0" xfId="0" applyFont="1" applyAlignment="1">
      <alignment horizontal="left" vertical="center"/>
    </xf>
    <xf numFmtId="9" fontId="5" fillId="0" borderId="0" xfId="2" applyFont="1" applyAlignment="1">
      <alignment horizontal="center" vertical="center" wrapText="1"/>
    </xf>
    <xf numFmtId="168" fontId="40" fillId="0" borderId="0" xfId="1" applyNumberFormat="1" applyFont="1" applyAlignment="1">
      <alignment horizontal="center" vertical="center"/>
    </xf>
    <xf numFmtId="0" fontId="64" fillId="0" borderId="0" xfId="0" applyFont="1" applyAlignment="1">
      <alignment horizontal="right" vertical="center"/>
    </xf>
    <xf numFmtId="0" fontId="62" fillId="0" borderId="0" xfId="0" applyFont="1" applyAlignment="1">
      <alignment horizontal="left" vertical="center" indent="2"/>
    </xf>
    <xf numFmtId="0" fontId="65" fillId="0" borderId="0" xfId="0" applyFont="1" applyAlignment="1">
      <alignment vertical="center"/>
    </xf>
    <xf numFmtId="0" fontId="10" fillId="0" borderId="0" xfId="0" applyFont="1" applyAlignment="1">
      <alignment horizontal="left" vertical="center" indent="1"/>
    </xf>
    <xf numFmtId="0" fontId="64" fillId="0" borderId="0" xfId="0" applyFont="1" applyAlignment="1">
      <alignment horizontal="left" vertical="center" indent="1"/>
    </xf>
    <xf numFmtId="39" fontId="10" fillId="0" borderId="0" xfId="1" applyNumberFormat="1" applyFont="1" applyAlignment="1">
      <alignment horizontal="center" vertical="center" wrapText="1"/>
    </xf>
    <xf numFmtId="9" fontId="10" fillId="0" borderId="0" xfId="2" applyFont="1" applyAlignment="1">
      <alignment horizontal="center" vertical="center" wrapText="1"/>
    </xf>
    <xf numFmtId="0" fontId="10" fillId="0" borderId="0" xfId="0" applyFont="1" applyAlignment="1">
      <alignment horizontal="center" vertical="center"/>
    </xf>
    <xf numFmtId="0" fontId="64" fillId="0" borderId="0" xfId="0" applyFont="1" applyAlignment="1">
      <alignment horizontal="left" vertical="center"/>
    </xf>
    <xf numFmtId="0" fontId="66" fillId="0" borderId="0" xfId="0" applyFont="1" applyAlignment="1">
      <alignment horizontal="left" vertical="center" indent="2"/>
    </xf>
    <xf numFmtId="0" fontId="21" fillId="0" borderId="0" xfId="0" applyFont="1" applyAlignment="1">
      <alignment horizontal="right"/>
    </xf>
    <xf numFmtId="0" fontId="63" fillId="0" borderId="0" xfId="0" applyFont="1" applyAlignment="1">
      <alignment horizontal="center" vertical="center"/>
    </xf>
    <xf numFmtId="0" fontId="69" fillId="0" borderId="0" xfId="0" applyFont="1" applyAlignment="1">
      <alignment horizontal="center"/>
    </xf>
    <xf numFmtId="0" fontId="70" fillId="0" borderId="0" xfId="0" applyFont="1" applyAlignment="1">
      <alignment horizontal="center" vertical="center" wrapText="1"/>
    </xf>
    <xf numFmtId="0" fontId="70" fillId="0" borderId="0" xfId="0" applyFont="1"/>
    <xf numFmtId="0" fontId="71" fillId="0" borderId="0" xfId="0" applyFont="1"/>
    <xf numFmtId="0" fontId="24" fillId="0" borderId="0" xfId="0" quotePrefix="1" applyFont="1" applyAlignment="1">
      <alignment horizontal="left" vertical="top" wrapText="1"/>
    </xf>
    <xf numFmtId="170" fontId="24" fillId="0" borderId="8" xfId="0" applyNumberFormat="1" applyFont="1" applyBorder="1" applyAlignment="1">
      <alignment horizontal="left" vertical="center" wrapText="1"/>
    </xf>
    <xf numFmtId="0" fontId="72" fillId="0" borderId="0" xfId="0" applyFont="1"/>
    <xf numFmtId="165" fontId="38" fillId="0" borderId="0" xfId="0" applyNumberFormat="1" applyFont="1" applyAlignment="1">
      <alignment horizontal="right"/>
    </xf>
    <xf numFmtId="9" fontId="35" fillId="0" borderId="0" xfId="2" applyFont="1" applyAlignment="1">
      <alignment horizontal="center" vertical="center" wrapText="1"/>
    </xf>
    <xf numFmtId="9" fontId="36" fillId="3" borderId="0" xfId="2" applyFont="1" applyFill="1" applyAlignment="1">
      <alignment horizontal="center" vertical="center"/>
    </xf>
    <xf numFmtId="0" fontId="10" fillId="3" borderId="0" xfId="0" applyFont="1" applyFill="1" applyAlignment="1">
      <alignment vertical="top" wrapText="1"/>
    </xf>
    <xf numFmtId="0" fontId="10" fillId="0" borderId="0" xfId="0" applyFont="1" applyAlignment="1">
      <alignment vertical="top" wrapText="1"/>
    </xf>
    <xf numFmtId="0" fontId="5" fillId="3" borderId="0" xfId="0" applyFont="1" applyFill="1" applyAlignment="1">
      <alignment horizontal="left" vertical="top" wrapText="1" indent="2"/>
    </xf>
    <xf numFmtId="165" fontId="38" fillId="0" borderId="0" xfId="0" applyNumberFormat="1" applyFont="1"/>
    <xf numFmtId="10" fontId="38" fillId="0" borderId="0" xfId="2" applyNumberFormat="1" applyFont="1" applyAlignment="1">
      <alignment vertical="top"/>
    </xf>
    <xf numFmtId="10" fontId="38" fillId="0" borderId="0" xfId="2" applyNumberFormat="1" applyFont="1" applyFill="1" applyAlignment="1">
      <alignment horizontal="right" vertical="top"/>
    </xf>
    <xf numFmtId="0" fontId="10" fillId="0" borderId="0" xfId="0" applyFont="1" applyAlignment="1">
      <alignment horizontal="left" vertical="top" wrapText="1" indent="2"/>
    </xf>
    <xf numFmtId="0" fontId="5" fillId="0" borderId="0" xfId="0" applyFont="1" applyAlignment="1">
      <alignment horizontal="left" vertical="top" wrapText="1" indent="2"/>
    </xf>
    <xf numFmtId="0" fontId="10" fillId="12" borderId="0" xfId="0" applyFont="1" applyFill="1" applyAlignment="1">
      <alignment vertical="top" wrapText="1"/>
    </xf>
    <xf numFmtId="165" fontId="38" fillId="0" borderId="0" xfId="0" applyNumberFormat="1" applyFont="1" applyAlignment="1">
      <alignment horizontal="right"/>
    </xf>
    <xf numFmtId="10" fontId="38" fillId="0" borderId="0" xfId="2" applyNumberFormat="1" applyFont="1" applyAlignment="1">
      <alignment horizontal="right" vertical="top"/>
    </xf>
    <xf numFmtId="0" fontId="10" fillId="12" borderId="0" xfId="0" applyFont="1" applyFill="1" applyAlignment="1">
      <alignment horizontal="left" vertical="center" wrapText="1"/>
    </xf>
    <xf numFmtId="0" fontId="5" fillId="3" borderId="0" xfId="0" applyFont="1" applyFill="1" applyAlignment="1">
      <alignment horizontal="left" vertical="top" wrapText="1" indent="2"/>
    </xf>
    <xf numFmtId="0" fontId="10" fillId="12" borderId="0" xfId="0" applyFont="1" applyFill="1" applyAlignment="1">
      <alignment horizontal="center" vertical="center" wrapText="1"/>
    </xf>
    <xf numFmtId="0" fontId="10" fillId="3" borderId="0" xfId="0" applyFont="1" applyFill="1" applyAlignment="1">
      <alignment horizontal="left" vertical="top" wrapText="1" indent="2"/>
    </xf>
    <xf numFmtId="49" fontId="19" fillId="0" borderId="0" xfId="0" applyNumberFormat="1" applyFont="1" applyAlignment="1">
      <alignment horizontal="left" vertical="center"/>
    </xf>
    <xf numFmtId="49" fontId="14" fillId="0" borderId="0" xfId="0" applyNumberFormat="1" applyFont="1" applyAlignment="1">
      <alignment horizontal="right" vertical="center"/>
    </xf>
    <xf numFmtId="164" fontId="37" fillId="3" borderId="0" xfId="0" applyNumberFormat="1" applyFont="1" applyFill="1" applyAlignment="1">
      <alignment horizontal="right" indent="2"/>
    </xf>
    <xf numFmtId="49" fontId="15" fillId="0" borderId="0" xfId="0" applyNumberFormat="1" applyFont="1" applyAlignment="1">
      <alignment horizontal="left" vertical="center"/>
    </xf>
    <xf numFmtId="0" fontId="29" fillId="0" borderId="0" xfId="0" applyFont="1" applyAlignment="1">
      <alignment horizontal="center" vertical="top" wrapText="1"/>
    </xf>
    <xf numFmtId="49" fontId="9" fillId="0" borderId="0" xfId="0" applyNumberFormat="1" applyFont="1" applyAlignment="1">
      <alignment horizontal="center" vertical="top"/>
    </xf>
    <xf numFmtId="0" fontId="9" fillId="0" borderId="0" xfId="0" applyFont="1" applyAlignment="1">
      <alignment horizontal="center" vertical="top"/>
    </xf>
    <xf numFmtId="0" fontId="35" fillId="0" borderId="0" xfId="0" applyFont="1" applyAlignment="1">
      <alignment horizontal="left" vertical="top" wrapText="1"/>
    </xf>
    <xf numFmtId="39" fontId="54" fillId="0" borderId="0" xfId="1" applyNumberFormat="1" applyFont="1" applyAlignment="1">
      <alignment horizontal="center" vertical="center"/>
    </xf>
    <xf numFmtId="0" fontId="53" fillId="0" borderId="0" xfId="0" applyFont="1" applyAlignment="1">
      <alignment horizontal="center" vertical="center"/>
    </xf>
    <xf numFmtId="0" fontId="7" fillId="0" borderId="0" xfId="0" applyFont="1" applyAlignment="1">
      <alignment horizontal="center" vertical="center"/>
    </xf>
    <xf numFmtId="165" fontId="68" fillId="0" borderId="10" xfId="0" applyNumberFormat="1" applyFont="1" applyBorder="1" applyAlignment="1">
      <alignment horizontal="center" vertical="center"/>
    </xf>
    <xf numFmtId="165" fontId="68" fillId="0" borderId="11" xfId="0" applyNumberFormat="1" applyFont="1" applyBorder="1" applyAlignment="1">
      <alignment horizontal="center" vertical="center"/>
    </xf>
  </cellXfs>
  <cellStyles count="3">
    <cellStyle name="Comma" xfId="1" builtinId="3"/>
    <cellStyle name="Normal" xfId="0" builtinId="0"/>
    <cellStyle name="Percent" xfId="2" builtinId="5"/>
  </cellStyles>
  <dxfs count="40">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theme="9"/>
      </font>
    </dxf>
    <dxf>
      <font>
        <color rgb="FFFFC000"/>
      </font>
    </dxf>
    <dxf>
      <font>
        <color rgb="FFC00000"/>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s>
  <tableStyles count="0" defaultTableStyle="TableStyleMedium2" defaultPivotStyle="PivotStyleLight16"/>
  <colors>
    <mruColors>
      <color rgb="FF4A90E2"/>
      <color rgb="FF7030A0"/>
      <color rgb="FFFDEA77"/>
      <color rgb="FFECBEB6"/>
      <color rgb="FFFAEAF8"/>
      <color rgb="FFF6F0A2"/>
      <color rgb="FFB49200"/>
      <color rgb="FFC82600"/>
      <color rgb="FF3B7D23"/>
      <color rgb="FF745E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Dimension</a:t>
            </a:r>
            <a:r>
              <a:rPr lang="en-US" baseline="0"/>
              <a:t> Maturity Scores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7392458869470576"/>
          <c:y val="0.2466898490480568"/>
          <c:w val="0.45705971128608924"/>
          <c:h val="0.59697603470652383"/>
        </c:manualLayout>
      </c:layout>
      <c:radarChart>
        <c:radarStyle val="filled"/>
        <c:varyColors val="0"/>
        <c:ser>
          <c:idx val="0"/>
          <c:order val="0"/>
          <c:tx>
            <c:v>Weighted Score</c:v>
          </c:tx>
          <c:spPr>
            <a:solidFill>
              <a:srgbClr val="4A90E2">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Scorecard!$F$9:$F$12</c:f>
              <c:numCache>
                <c:formatCode>#,##0.00_);\(#,##0.00\)</c:formatCode>
                <c:ptCount val="4"/>
                <c:pt idx="0">
                  <c:v>0</c:v>
                </c:pt>
                <c:pt idx="1">
                  <c:v>0</c:v>
                </c:pt>
                <c:pt idx="2">
                  <c:v>0</c:v>
                </c:pt>
                <c:pt idx="3">
                  <c:v>0</c:v>
                </c:pt>
              </c:numCache>
            </c:numRef>
          </c:val>
          <c:extLst>
            <c:ext xmlns:c16="http://schemas.microsoft.com/office/drawing/2014/chart" uri="{C3380CC4-5D6E-409C-BE32-E72D297353CC}">
              <c16:uniqueId val="{00000001-B369-4B16-ACBC-C615E317B5F2}"/>
            </c:ext>
          </c:extLst>
        </c:ser>
        <c:ser>
          <c:idx val="1"/>
          <c:order val="1"/>
          <c:tx>
            <c:v>Raw Score</c:v>
          </c:tx>
          <c:spPr>
            <a:solidFill>
              <a:srgbClr val="7030A0">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0</c:v>
                </c:pt>
                <c:pt idx="1">
                  <c:v>0</c:v>
                </c:pt>
                <c:pt idx="2">
                  <c:v>0</c:v>
                </c:pt>
                <c:pt idx="3">
                  <c:v>0</c:v>
                </c:pt>
              </c:numCache>
            </c:numRef>
          </c:val>
          <c:extLst>
            <c:ext xmlns:c16="http://schemas.microsoft.com/office/drawing/2014/chart" uri="{C3380CC4-5D6E-409C-BE32-E72D297353CC}">
              <c16:uniqueId val="{00000002-B369-4B16-ACBC-C615E317B5F2}"/>
            </c:ext>
          </c:extLst>
        </c:ser>
        <c:ser>
          <c:idx val="2"/>
          <c:order val="2"/>
          <c:tx>
            <c:v>Industry Benchmark</c:v>
          </c:tx>
          <c:spPr>
            <a:noFill/>
            <a:ln w="22225">
              <a:solidFill>
                <a:srgbClr val="3B7D23"/>
              </a:solidFill>
              <a:prstDash val="dash"/>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Scorecard!$G$9:$G$12</c:f>
              <c:numCache>
                <c:formatCode>#,##0.00_);\(#,##0.00\)</c:formatCode>
                <c:ptCount val="4"/>
                <c:pt idx="0">
                  <c:v>2.2000000000000002</c:v>
                </c:pt>
                <c:pt idx="1">
                  <c:v>2.5</c:v>
                </c:pt>
                <c:pt idx="2">
                  <c:v>2.2999999999999998</c:v>
                </c:pt>
                <c:pt idx="3">
                  <c:v>2.1</c:v>
                </c:pt>
              </c:numCache>
            </c:numRef>
          </c:val>
          <c:extLst>
            <c:ext xmlns:c16="http://schemas.microsoft.com/office/drawing/2014/chart" uri="{C3380CC4-5D6E-409C-BE32-E72D297353CC}">
              <c16:uniqueId val="{00000003-B369-4B16-ACBC-C615E317B5F2}"/>
            </c:ext>
          </c:extLst>
        </c:ser>
        <c:dLbls>
          <c:showLegendKey val="0"/>
          <c:showVal val="0"/>
          <c:showCatName val="0"/>
          <c:showSerName val="0"/>
          <c:showPercent val="0"/>
          <c:showBubbleSize val="0"/>
        </c:dLbls>
        <c:axId val="1661241071"/>
        <c:axId val="1661267471"/>
      </c:radarChart>
      <c:catAx>
        <c:axId val="1661241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61267471"/>
        <c:crosses val="autoZero"/>
        <c:auto val="1"/>
        <c:lblAlgn val="ctr"/>
        <c:lblOffset val="100"/>
        <c:noMultiLvlLbl val="0"/>
      </c:catAx>
      <c:valAx>
        <c:axId val="1661267471"/>
        <c:scaling>
          <c:orientation val="minMax"/>
        </c:scaling>
        <c:delete val="0"/>
        <c:axPos val="l"/>
        <c:majorGridlines>
          <c:spPr>
            <a:ln w="9525" cap="flat" cmpd="sng" algn="ctr">
              <a:solidFill>
                <a:schemeClr val="tx1">
                  <a:lumMod val="15000"/>
                  <a:lumOff val="85000"/>
                </a:schemeClr>
              </a:solidFill>
              <a:round/>
            </a:ln>
            <a:effectLst/>
          </c:spPr>
        </c:majorGridlines>
        <c:numFmt formatCode="#,##0_);\(#,##0\)" sourceLinked="0"/>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bg1">
                    <a:lumMod val="65000"/>
                  </a:schemeClr>
                </a:solidFill>
                <a:latin typeface="+mn-lt"/>
                <a:ea typeface="+mn-ea"/>
                <a:cs typeface="+mn-cs"/>
              </a:defRPr>
            </a:pPr>
            <a:endParaRPr lang="en-US"/>
          </a:p>
        </c:txPr>
        <c:crossAx val="1661241071"/>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Maturity Distribution</a:t>
            </a:r>
          </a:p>
        </c:rich>
      </c:tx>
      <c:layout>
        <c:manualLayout>
          <c:xMode val="edge"/>
          <c:yMode val="edge"/>
          <c:x val="0.44818991977735773"/>
          <c:y val="2.44328164881110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26114400654988729"/>
          <c:y val="0.22745880294589957"/>
          <c:w val="0.32393195394863189"/>
          <c:h val="0.66058393057232434"/>
        </c:manualLayout>
      </c:layout>
      <c:doughnutChart>
        <c:varyColors val="1"/>
        <c:ser>
          <c:idx val="0"/>
          <c:order val="0"/>
          <c:dPt>
            <c:idx val="0"/>
            <c:bubble3D val="0"/>
            <c:spPr>
              <a:solidFill>
                <a:srgbClr val="C82600"/>
              </a:solidFill>
              <a:ln w="19050">
                <a:solidFill>
                  <a:schemeClr val="lt1"/>
                </a:solidFill>
              </a:ln>
              <a:effectLst/>
            </c:spPr>
            <c:extLst>
              <c:ext xmlns:c16="http://schemas.microsoft.com/office/drawing/2014/chart" uri="{C3380CC4-5D6E-409C-BE32-E72D297353CC}">
                <c16:uniqueId val="{00000001-6913-4373-BFB0-7C1B2E94AE4C}"/>
              </c:ext>
            </c:extLst>
          </c:dPt>
          <c:dPt>
            <c:idx val="1"/>
            <c:bubble3D val="0"/>
            <c:spPr>
              <a:solidFill>
                <a:srgbClr val="FFC000"/>
              </a:solidFill>
              <a:ln w="19050">
                <a:solidFill>
                  <a:schemeClr val="lt1"/>
                </a:solidFill>
              </a:ln>
              <a:effectLst/>
            </c:spPr>
            <c:extLst>
              <c:ext xmlns:c16="http://schemas.microsoft.com/office/drawing/2014/chart" uri="{C3380CC4-5D6E-409C-BE32-E72D297353CC}">
                <c16:uniqueId val="{00000002-6913-4373-BFB0-7C1B2E94AE4C}"/>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3-6913-4373-BFB0-7C1B2E94AE4C}"/>
              </c:ext>
            </c:extLst>
          </c:dPt>
          <c:dPt>
            <c:idx val="3"/>
            <c:bubble3D val="0"/>
            <c:spPr>
              <a:solidFill>
                <a:schemeClr val="tx2">
                  <a:lumMod val="50000"/>
                  <a:lumOff val="50000"/>
                </a:schemeClr>
              </a:solidFill>
              <a:ln w="19050">
                <a:solidFill>
                  <a:schemeClr val="lt1"/>
                </a:solidFill>
              </a:ln>
              <a:effectLst/>
            </c:spPr>
            <c:extLst>
              <c:ext xmlns:c16="http://schemas.microsoft.com/office/drawing/2014/chart" uri="{C3380CC4-5D6E-409C-BE32-E72D297353CC}">
                <c16:uniqueId val="{00000004-6913-4373-BFB0-7C1B2E94AE4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D9D-4205-9688-E5F1A921B172}"/>
              </c:ext>
            </c:extLst>
          </c:dPt>
          <c:dPt>
            <c:idx val="5"/>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5-6913-4373-BFB0-7C1B2E94AE4C}"/>
              </c:ext>
            </c:extLst>
          </c:dPt>
          <c:dLbls>
            <c:dLbl>
              <c:idx val="0"/>
              <c:layout>
                <c:manualLayout>
                  <c:x val="1.6835019066653287E-2"/>
                  <c:y val="-0.1254901099685314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6913-4373-BFB0-7C1B2E94AE4C}"/>
                </c:ext>
              </c:extLst>
            </c:dLbl>
            <c:dLbl>
              <c:idx val="1"/>
              <c:layout>
                <c:manualLayout>
                  <c:x val="0.11784513346657295"/>
                  <c:y val="-4.18300366561771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B492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913-4373-BFB0-7C1B2E94AE4C}"/>
                </c:ext>
              </c:extLst>
            </c:dLbl>
            <c:dLbl>
              <c:idx val="2"/>
              <c:layout>
                <c:manualLayout>
                  <c:x val="0.17562009147352053"/>
                  <c:y val="0.1181192840184119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6913-4373-BFB0-7C1B2E94AE4C}"/>
                </c:ext>
              </c:extLst>
            </c:dLbl>
            <c:dLbl>
              <c:idx val="3"/>
              <c:layout>
                <c:manualLayout>
                  <c:x val="-0.20998268397658218"/>
                  <c:y val="0.143052264239185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6913-4373-BFB0-7C1B2E94AE4C}"/>
                </c:ext>
              </c:extLst>
            </c:dLbl>
            <c:dLbl>
              <c:idx val="4"/>
              <c:layout>
                <c:manualLayout>
                  <c:x val="-0.15721779357073037"/>
                  <c:y val="-7.69071546691192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9-0D9D-4205-9688-E5F1A921B172}"/>
                </c:ext>
              </c:extLst>
            </c:dLbl>
            <c:dLbl>
              <c:idx val="5"/>
              <c:layout>
                <c:manualLayout>
                  <c:x val="-0.14282136775207194"/>
                  <c:y val="0.1023948102747251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6913-4373-BFB0-7C1B2E94AE4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Scorecard!$L$21:$L$26</c:f>
              <c:strCache>
                <c:ptCount val="6"/>
                <c:pt idx="0">
                  <c:v>Basic</c:v>
                </c:pt>
                <c:pt idx="1">
                  <c:v>Developing</c:v>
                </c:pt>
                <c:pt idx="2">
                  <c:v>Established</c:v>
                </c:pt>
                <c:pt idx="3">
                  <c:v>Advanced</c:v>
                </c:pt>
                <c:pt idx="4">
                  <c:v>Optimizing</c:v>
                </c:pt>
                <c:pt idx="5">
                  <c:v>Incomplete Assessment</c:v>
                </c:pt>
              </c:strCache>
            </c:strRef>
          </c:cat>
          <c:val>
            <c:numRef>
              <c:f>Scorecard!$M$21:$M$26</c:f>
              <c:numCache>
                <c:formatCode>0%</c:formatCode>
                <c:ptCount val="6"/>
                <c:pt idx="0">
                  <c:v>0</c:v>
                </c:pt>
                <c:pt idx="1">
                  <c:v>0</c:v>
                </c:pt>
                <c:pt idx="2">
                  <c:v>0</c:v>
                </c:pt>
                <c:pt idx="3">
                  <c:v>0</c:v>
                </c:pt>
                <c:pt idx="4">
                  <c:v>0</c:v>
                </c:pt>
                <c:pt idx="5">
                  <c:v>1</c:v>
                </c:pt>
              </c:numCache>
            </c:numRef>
          </c:val>
          <c:extLst>
            <c:ext xmlns:c16="http://schemas.microsoft.com/office/drawing/2014/chart" uri="{C3380CC4-5D6E-409C-BE32-E72D297353CC}">
              <c16:uniqueId val="{00000000-6913-4373-BFB0-7C1B2E94AE4C}"/>
            </c:ext>
          </c:extLst>
        </c:ser>
        <c:dLbls>
          <c:showLegendKey val="0"/>
          <c:showVal val="0"/>
          <c:showCatName val="0"/>
          <c:showSerName val="0"/>
          <c:showPercent val="0"/>
          <c:showBubbleSize val="0"/>
          <c:showLeaderLines val="1"/>
        </c:dLbls>
        <c:firstSliceAng val="0"/>
        <c:holeSize val="60"/>
      </c:doughnutChart>
      <c:spPr>
        <a:noFill/>
        <a:ln>
          <a:noFill/>
        </a:ln>
        <a:effectLst/>
      </c:spPr>
    </c:plotArea>
    <c:legend>
      <c:legendPos val="r"/>
      <c:layout>
        <c:manualLayout>
          <c:xMode val="edge"/>
          <c:yMode val="edge"/>
          <c:x val="0.63665794022217059"/>
          <c:y val="0.29728114146600748"/>
          <c:w val="0.30332102625927743"/>
          <c:h val="0.5575331806335713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Dimension Scoring</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54497492820984628"/>
          <c:y val="0.19830351924490783"/>
          <c:w val="0.4087599520469653"/>
          <c:h val="0.74025132250602255"/>
        </c:manualLayout>
      </c:layout>
      <c:barChart>
        <c:barDir val="bar"/>
        <c:grouping val="clustered"/>
        <c:varyColors val="0"/>
        <c:ser>
          <c:idx val="1"/>
          <c:order val="0"/>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0</c:v>
                </c:pt>
                <c:pt idx="1">
                  <c:v>0</c:v>
                </c:pt>
                <c:pt idx="2">
                  <c:v>0</c:v>
                </c:pt>
                <c:pt idx="3">
                  <c:v>0</c:v>
                </c:pt>
              </c:numCache>
            </c:numRef>
          </c:val>
          <c:extLst>
            <c:ext xmlns:c16="http://schemas.microsoft.com/office/drawing/2014/chart" uri="{C3380CC4-5D6E-409C-BE32-E72D297353CC}">
              <c16:uniqueId val="{00000001-ABA0-437E-B74E-6F660B04CB5C}"/>
            </c:ext>
          </c:extLst>
        </c:ser>
        <c:dLbls>
          <c:showLegendKey val="0"/>
          <c:showVal val="0"/>
          <c:showCatName val="0"/>
          <c:showSerName val="0"/>
          <c:showPercent val="0"/>
          <c:showBubbleSize val="0"/>
        </c:dLbls>
        <c:gapWidth val="80"/>
        <c:axId val="1387354928"/>
        <c:axId val="1387341968"/>
      </c:barChart>
      <c:catAx>
        <c:axId val="1387354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387341968"/>
        <c:crosses val="autoZero"/>
        <c:auto val="1"/>
        <c:lblAlgn val="ctr"/>
        <c:lblOffset val="100"/>
        <c:noMultiLvlLbl val="0"/>
      </c:catAx>
      <c:valAx>
        <c:axId val="1387341968"/>
        <c:scaling>
          <c:orientation val="minMax"/>
          <c:min val="0"/>
        </c:scaling>
        <c:delete val="1"/>
        <c:axPos val="b"/>
        <c:numFmt formatCode="#,##0.00_);\(#,##0.00\)" sourceLinked="1"/>
        <c:majorTickMark val="none"/>
        <c:minorTickMark val="none"/>
        <c:tickLblPos val="nextTo"/>
        <c:crossAx val="1387354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Dimension 2 - SGRM'!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2.xml.rels><?xml version="1.0" encoding="UTF-8" standalone="yes"?>
<Relationships xmlns="http://schemas.openxmlformats.org/package/2006/relationships"><Relationship Id="rId3" Type="http://schemas.openxmlformats.org/officeDocument/2006/relationships/hyperlink" Target="#'Dimension 1 - CVI'!A1"/><Relationship Id="rId2" Type="http://schemas.openxmlformats.org/officeDocument/2006/relationships/hyperlink" Target="#Welcome!A1"/><Relationship Id="rId1" Type="http://schemas.openxmlformats.org/officeDocument/2006/relationships/hyperlink" Target="#'Dimension 2 - SGRM'!A1"/></Relationships>
</file>

<file path=xl/drawings/_rels/drawing3.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_rels/drawing4.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5.xml.rels><?xml version="1.0" encoding="UTF-8" standalone="yes"?>
<Relationships xmlns="http://schemas.openxmlformats.org/package/2006/relationships"><Relationship Id="rId3" Type="http://schemas.openxmlformats.org/officeDocument/2006/relationships/hyperlink" Target="#Scorecard!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Profile!A1"/></Relationships>
</file>

<file path=xl/drawings/_rels/drawing6.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5" Type="http://schemas.openxmlformats.org/officeDocument/2006/relationships/hyperlink" Target="#'Dimension 3 - DPE'!A1"/><Relationship Id="rId4" Type="http://schemas.openxmlformats.org/officeDocument/2006/relationships/hyperlink" Target="#Profile!A1"/></Relationships>
</file>

<file path=xl/drawings/_rels/drawing7.xml.rels><?xml version="1.0" encoding="UTF-8" standalone="yes"?>
<Relationships xmlns="http://schemas.openxmlformats.org/package/2006/relationships"><Relationship Id="rId8" Type="http://schemas.openxmlformats.org/officeDocument/2006/relationships/hyperlink" Target="#'Dimension 4 - ITR'!A1"/><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11" Type="http://schemas.openxmlformats.org/officeDocument/2006/relationships/chart" Target="../charts/chart3.xml"/><Relationship Id="rId5" Type="http://schemas.openxmlformats.org/officeDocument/2006/relationships/hyperlink" Target="#'Dimension 3 - DPE'!A1"/><Relationship Id="rId10" Type="http://schemas.openxmlformats.org/officeDocument/2006/relationships/chart" Target="../charts/chart2.xml"/><Relationship Id="rId4" Type="http://schemas.openxmlformats.org/officeDocument/2006/relationships/hyperlink" Target="#Profile!A1"/><Relationship Id="rId9" Type="http://schemas.openxmlformats.org/officeDocument/2006/relationships/chart" Target="../charts/chart1.xml"/></Relationships>
</file>

<file path=xl/drawings/_rels/drawing8.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Dimension 1 - CVI'!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drawing1.xml><?xml version="1.0" encoding="utf-8"?>
<xdr:wsDr xmlns:xdr="http://schemas.openxmlformats.org/drawingml/2006/spreadsheetDrawing" xmlns:a="http://schemas.openxmlformats.org/drawingml/2006/main">
  <xdr:absoluteAnchor>
    <xdr:pos x="0" y="361950"/>
    <xdr:ext cx="671878" cy="200024"/>
    <xdr:sp macro="" textlink="">
      <xdr:nvSpPr>
        <xdr:cNvPr id="10" name="Rectangle: Rounded Corners 9">
          <a:extLst>
            <a:ext uri="{FF2B5EF4-FFF2-40B4-BE49-F238E27FC236}">
              <a16:creationId xmlns:a16="http://schemas.microsoft.com/office/drawing/2014/main" id="{7AA07433-4FFC-4EDE-B0C7-8A3497DD9783}"/>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667EEA"/>
              </a:solidFill>
            </a:rPr>
            <a:t> Intro</a:t>
          </a:r>
        </a:p>
      </xdr:txBody>
    </xdr:sp>
    <xdr:clientData/>
  </xdr:absoluteAnchor>
  <xdr:absoluteAnchor>
    <xdr:pos x="3359502" y="362683"/>
    <xdr:ext cx="1645920" cy="199291"/>
    <xdr:sp macro="" textlink="">
      <xdr:nvSpPr>
        <xdr:cNvPr id="11" name="Rectangle: Rounded Corners 10">
          <a:hlinkClick xmlns:r="http://schemas.openxmlformats.org/officeDocument/2006/relationships" r:id="rId1"/>
          <a:extLst>
            <a:ext uri="{FF2B5EF4-FFF2-40B4-BE49-F238E27FC236}">
              <a16:creationId xmlns:a16="http://schemas.microsoft.com/office/drawing/2014/main" id="{78E4F671-0835-454A-8939-0537566670E2}"/>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12" name="Rectangle: Rounded Corners 11">
          <a:hlinkClick xmlns:r="http://schemas.openxmlformats.org/officeDocument/2006/relationships" r:id="rId2"/>
          <a:extLst>
            <a:ext uri="{FF2B5EF4-FFF2-40B4-BE49-F238E27FC236}">
              <a16:creationId xmlns:a16="http://schemas.microsoft.com/office/drawing/2014/main" id="{BB6D826F-0300-49C9-AD17-157BF442EFA2}"/>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13" name="Rectangle: Rounded Corners 12">
          <a:hlinkClick xmlns:r="http://schemas.openxmlformats.org/officeDocument/2006/relationships" r:id="rId3"/>
          <a:extLst>
            <a:ext uri="{FF2B5EF4-FFF2-40B4-BE49-F238E27FC236}">
              <a16:creationId xmlns:a16="http://schemas.microsoft.com/office/drawing/2014/main" id="{86C74737-171C-45C4-9AE7-2A3BFAEFADD9}"/>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effectLst/>
              <a:latin typeface="+mn-lt"/>
              <a:ea typeface="+mn-ea"/>
              <a:cs typeface="+mn-cs"/>
            </a:rPr>
            <a:t>→</a:t>
          </a:r>
          <a:endParaRPr lang="en-US" sz="1100">
            <a:solidFill>
              <a:schemeClr val="bg1">
                <a:lumMod val="50000"/>
              </a:schemeClr>
            </a:solidFill>
          </a:endParaRPr>
        </a:p>
      </xdr:txBody>
    </xdr:sp>
    <xdr:clientData/>
  </xdr:absoluteAnchor>
  <xdr:absoluteAnchor>
    <xdr:pos x="5074209" y="362683"/>
    <xdr:ext cx="1646652" cy="199291"/>
    <xdr:sp macro="" textlink="">
      <xdr:nvSpPr>
        <xdr:cNvPr id="14" name="Rectangle: Rounded Corners 13">
          <a:hlinkClick xmlns:r="http://schemas.openxmlformats.org/officeDocument/2006/relationships" r:id="rId4"/>
          <a:extLst>
            <a:ext uri="{FF2B5EF4-FFF2-40B4-BE49-F238E27FC236}">
              <a16:creationId xmlns:a16="http://schemas.microsoft.com/office/drawing/2014/main" id="{EA9FFC77-1F8D-4FF4-BD4A-7589818FD1AA}"/>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15" name="Rectangle: Rounded Corners 14">
          <a:hlinkClick xmlns:r="http://schemas.openxmlformats.org/officeDocument/2006/relationships" r:id="rId5"/>
          <a:extLst>
            <a:ext uri="{FF2B5EF4-FFF2-40B4-BE49-F238E27FC236}">
              <a16:creationId xmlns:a16="http://schemas.microsoft.com/office/drawing/2014/main" id="{774B50AC-9912-41E8-8EBB-8A14944B8209}"/>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16" name="Rectangle: Rounded Corners 15">
          <a:hlinkClick xmlns:r="http://schemas.openxmlformats.org/officeDocument/2006/relationships" r:id="rId6"/>
          <a:extLst>
            <a:ext uri="{FF2B5EF4-FFF2-40B4-BE49-F238E27FC236}">
              <a16:creationId xmlns:a16="http://schemas.microsoft.com/office/drawing/2014/main" id="{D9370B69-0A87-4864-8393-583558140255}"/>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7" name="Rectangle: Rounded Corners 16">
          <a:hlinkClick xmlns:r="http://schemas.openxmlformats.org/officeDocument/2006/relationships" r:id="rId7"/>
          <a:extLst>
            <a:ext uri="{FF2B5EF4-FFF2-40B4-BE49-F238E27FC236}">
              <a16:creationId xmlns:a16="http://schemas.microsoft.com/office/drawing/2014/main" id="{E64F3B84-42FC-405B-B94C-E0315DD590B8}"/>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wsDr>
</file>

<file path=xl/drawings/drawing2.xml><?xml version="1.0" encoding="utf-8"?>
<xdr:wsDr xmlns:xdr="http://schemas.openxmlformats.org/drawingml/2006/spreadsheetDrawing" xmlns:a="http://schemas.openxmlformats.org/drawingml/2006/main">
  <xdr:twoCellAnchor>
    <xdr:from>
      <xdr:col>3</xdr:col>
      <xdr:colOff>19050</xdr:colOff>
      <xdr:row>20</xdr:row>
      <xdr:rowOff>0</xdr:rowOff>
    </xdr:from>
    <xdr:to>
      <xdr:col>4</xdr:col>
      <xdr:colOff>9525</xdr:colOff>
      <xdr:row>21</xdr:row>
      <xdr:rowOff>9525</xdr:rowOff>
    </xdr:to>
    <xdr:sp macro="" textlink="">
      <xdr:nvSpPr>
        <xdr:cNvPr id="2" name="Rectangle: Rounded Corners 1">
          <a:extLst>
            <a:ext uri="{FF2B5EF4-FFF2-40B4-BE49-F238E27FC236}">
              <a16:creationId xmlns:a16="http://schemas.microsoft.com/office/drawing/2014/main" id="{BBF0CA11-CBA0-4B9E-A6BD-790A8922B4ED}"/>
            </a:ext>
          </a:extLst>
        </xdr:cNvPr>
        <xdr:cNvSpPr/>
      </xdr:nvSpPr>
      <xdr:spPr>
        <a:xfrm>
          <a:off x="3105150" y="5143500"/>
          <a:ext cx="3114675" cy="419100"/>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absoluteAnchor>
    <xdr:pos x="3359502" y="362683"/>
    <xdr:ext cx="1645920" cy="199291"/>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D8C4222A-8D1E-4129-A029-991187D5E38E}"/>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95E5A38-E32C-449E-889A-9A6D2A3088DD}"/>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6" name="Rectangle: Rounded Corners 5">
          <a:extLst>
            <a:ext uri="{FF2B5EF4-FFF2-40B4-BE49-F238E27FC236}">
              <a16:creationId xmlns:a16="http://schemas.microsoft.com/office/drawing/2014/main" id="{910C2A0D-9C91-49E0-8788-C2FFCE29792C}"/>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 Profile </a:t>
          </a:r>
        </a:p>
      </xdr:txBody>
    </xdr:sp>
    <xdr:clientData/>
  </xdr:absoluteAnchor>
  <xdr:absoluteAnchor>
    <xdr:pos x="5074209" y="362683"/>
    <xdr:ext cx="1646652" cy="199291"/>
    <xdr:sp macro="" textlink="">
      <xdr:nvSpPr>
        <xdr:cNvPr id="7" name="Rectangle: Rounded Corners 6">
          <a:hlinkClick xmlns:r="http://schemas.openxmlformats.org/officeDocument/2006/relationships" r:id="rId2"/>
          <a:extLst>
            <a:ext uri="{FF2B5EF4-FFF2-40B4-BE49-F238E27FC236}">
              <a16:creationId xmlns:a16="http://schemas.microsoft.com/office/drawing/2014/main" id="{28132C5A-1DB6-47AB-94BD-78B9B36F06FB}"/>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8" name="Rectangle: Rounded Corners 7">
          <a:hlinkClick xmlns:r="http://schemas.openxmlformats.org/officeDocument/2006/relationships" r:id="rId2"/>
          <a:extLst>
            <a:ext uri="{FF2B5EF4-FFF2-40B4-BE49-F238E27FC236}">
              <a16:creationId xmlns:a16="http://schemas.microsoft.com/office/drawing/2014/main" id="{818D9DEC-6E7B-4AAB-B096-06E06B4A9BBB}"/>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ED0E147C-ABAA-4E04-93BD-83A1D6E52851}"/>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A06946AD-0B37-496E-A157-E5AD01982335}"/>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twoCellAnchor>
    <xdr:from>
      <xdr:col>0</xdr:col>
      <xdr:colOff>0</xdr:colOff>
      <xdr:row>1</xdr:row>
      <xdr:rowOff>0</xdr:rowOff>
    </xdr:from>
    <xdr:to>
      <xdr:col>1</xdr:col>
      <xdr:colOff>386128</xdr:colOff>
      <xdr:row>1</xdr:row>
      <xdr:rowOff>200024</xdr:rowOff>
    </xdr:to>
    <xdr:sp macro="" textlink="">
      <xdr:nvSpPr>
        <xdr:cNvPr id="19" name="Rectangle: Rounded Corners 18">
          <a:hlinkClick xmlns:r="http://schemas.openxmlformats.org/officeDocument/2006/relationships" r:id="rId2"/>
          <a:extLst>
            <a:ext uri="{FF2B5EF4-FFF2-40B4-BE49-F238E27FC236}">
              <a16:creationId xmlns:a16="http://schemas.microsoft.com/office/drawing/2014/main" id="{8189844A-75AD-4E2B-9317-53CDA0A8BF7D}"/>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7C393305-D036-876E-CFFC-EEA3F159EC1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9B3E21EA-83E1-432A-A996-D6F5C105DFBB}"/>
            </a:ext>
          </a:extLst>
        </xdr:cNvPr>
        <xdr:cNvSpPr/>
      </xdr:nvSpPr>
      <xdr:spPr>
        <a:xfrm>
          <a:off x="1382495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31D537C9-E8B5-B20F-D231-0546096EDC27}"/>
            </a:ext>
          </a:extLst>
        </xdr:cNvPr>
        <xdr:cNvSpPr/>
      </xdr:nvSpPr>
      <xdr:spPr>
        <a:xfrm>
          <a:off x="47625" y="359021"/>
          <a:ext cx="67041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A31A058-56F2-4775-BE90-A0DDBAC75D37}"/>
            </a:ext>
          </a:extLst>
        </xdr:cNvPr>
        <xdr:cNvSpPr/>
      </xdr:nvSpPr>
      <xdr:spPr>
        <a:xfrm>
          <a:off x="3406394"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336ECC2-97FE-4373-BD00-AFB78BDD5945}"/>
            </a:ext>
          </a:extLst>
        </xdr:cNvPr>
        <xdr:cNvSpPr/>
      </xdr:nvSpPr>
      <xdr:spPr>
        <a:xfrm>
          <a:off x="8550518" y="359754"/>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EEF1E5CF-8684-42EC-9545-283B4FA4BF78}"/>
            </a:ext>
          </a:extLst>
        </xdr:cNvPr>
        <xdr:cNvSpPr/>
      </xdr:nvSpPr>
      <xdr:spPr>
        <a:xfrm>
          <a:off x="808806" y="359021"/>
          <a:ext cx="894495"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E9953443-AAF6-48B1-86E0-D58689B559E7}"/>
            </a:ext>
          </a:extLst>
        </xdr:cNvPr>
        <xdr:cNvSpPr/>
      </xdr:nvSpPr>
      <xdr:spPr>
        <a:xfrm>
          <a:off x="5121101"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0733A741-0220-4DE1-9D4A-A9F0C93A8DD6}"/>
            </a:ext>
          </a:extLst>
        </xdr:cNvPr>
        <xdr:cNvSpPr/>
      </xdr:nvSpPr>
      <xdr:spPr>
        <a:xfrm>
          <a:off x="6835808"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1" name="Rectangle: Rounded Corners 10">
          <a:extLst>
            <a:ext uri="{FF2B5EF4-FFF2-40B4-BE49-F238E27FC236}">
              <a16:creationId xmlns:a16="http://schemas.microsoft.com/office/drawing/2014/main" id="{BF5664C8-FC19-4ED7-B733-CDBC3332BDC9}"/>
            </a:ext>
          </a:extLst>
        </xdr:cNvPr>
        <xdr:cNvSpPr/>
      </xdr:nvSpPr>
      <xdr:spPr>
        <a:xfrm>
          <a:off x="1750107" y="359754"/>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8775CC48-4DFD-40A3-9BD7-0811C3284332}"/>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4B7508C6-60EE-4BD4-B9D9-6DE74AF61C92}"/>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A796E06-F8E4-4AAE-A1BB-CD3D44004DAE}"/>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FC9A2F51-72FF-48B5-BF85-9413B4C1A35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extLst>
            <a:ext uri="{FF2B5EF4-FFF2-40B4-BE49-F238E27FC236}">
              <a16:creationId xmlns:a16="http://schemas.microsoft.com/office/drawing/2014/main" id="{5EDE827F-229B-4E8D-96CF-BC8BE72D1EED}"/>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2"/>
          <a:extLst>
            <a:ext uri="{FF2B5EF4-FFF2-40B4-BE49-F238E27FC236}">
              <a16:creationId xmlns:a16="http://schemas.microsoft.com/office/drawing/2014/main" id="{CDEFDFBE-C12A-4864-8B86-2788AD2DE39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3"/>
          <a:extLst>
            <a:ext uri="{FF2B5EF4-FFF2-40B4-BE49-F238E27FC236}">
              <a16:creationId xmlns:a16="http://schemas.microsoft.com/office/drawing/2014/main" id="{75F3567D-3ACB-4587-99AF-70974886ECFE}"/>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BF2B773E-E45E-4BBC-A0F3-A192D2B27FD8}"/>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D55210FF-1959-41DB-A119-733A8A451841}"/>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5EAC3B8C-3504-4717-84E7-E61012FF609C}"/>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xdr:from>
      <xdr:col>4</xdr:col>
      <xdr:colOff>628650</xdr:colOff>
      <xdr:row>1</xdr:row>
      <xdr:rowOff>0</xdr:rowOff>
    </xdr:from>
    <xdr:to>
      <xdr:col>4</xdr:col>
      <xdr:colOff>2216150</xdr:colOff>
      <xdr:row>1</xdr:row>
      <xdr:rowOff>199291</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FF57343D-4C46-4741-9138-089C0F3B0616}"/>
            </a:ext>
          </a:extLst>
        </xdr:cNvPr>
        <xdr:cNvSpPr/>
      </xdr:nvSpPr>
      <xdr:spPr>
        <a:xfrm>
          <a:off x="1743075" y="361950"/>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8D6F27FF-C4E1-4666-BD9C-8D3A871C3BCA}"/>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D23B4AD5-F48C-4A57-B6F5-10FAE2BEFAAA}"/>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AEC45794-953A-4BA1-9EDF-6280DDEC7A3B}"/>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C1CE316-3D31-4871-ABB2-D2E62DC72C54}"/>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5B7290EF-E25F-45BC-95A0-45F57B9095E0}"/>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185306D5-2DAD-4FBB-9F2F-D26E0BE6A9B6}"/>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extLst>
            <a:ext uri="{FF2B5EF4-FFF2-40B4-BE49-F238E27FC236}">
              <a16:creationId xmlns:a16="http://schemas.microsoft.com/office/drawing/2014/main" id="{27E6CDC0-922B-4EB8-9235-62E7C723EF5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820819E5-12B3-41C2-A1A8-7C98794646EF}"/>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0" name="Rectangle: Rounded Corners 9">
          <a:hlinkClick xmlns:r="http://schemas.openxmlformats.org/officeDocument/2006/relationships" r:id="rId1"/>
          <a:extLst>
            <a:ext uri="{FF2B5EF4-FFF2-40B4-BE49-F238E27FC236}">
              <a16:creationId xmlns:a16="http://schemas.microsoft.com/office/drawing/2014/main" id="{8421BAF3-4C60-47F2-8D3C-FC2EAC421713}"/>
            </a:ext>
          </a:extLst>
        </xdr:cNvPr>
        <xdr:cNvSpPr/>
      </xdr:nvSpPr>
      <xdr:spPr>
        <a:xfrm>
          <a:off x="1750840"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BDC04FF1-199D-4B34-A09F-586E0F32653D}"/>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E224595A-63DF-4125-A38E-B99FBCBD6D3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314E6A6-7E21-4487-AB36-AEBB0684F6CB}"/>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88CC4F96-DF73-414C-B41B-A84AAED9662C}"/>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CC836C9-0FDC-468A-B235-2BACFCF52560}"/>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CD0A57C-4D99-4F85-B0FB-28DEB2EA21FF}"/>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03807B22-FCC6-476F-B0B1-58F05DA09673}"/>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3C597402-1DE0-4B79-BBDC-AF56A249B170}"/>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extLst>
            <a:ext uri="{FF2B5EF4-FFF2-40B4-BE49-F238E27FC236}">
              <a16:creationId xmlns:a16="http://schemas.microsoft.com/office/drawing/2014/main" id="{F1AF7D98-D16D-460A-A050-E28B3D12DCAA}"/>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xdr:from>
      <xdr:col>4</xdr:col>
      <xdr:colOff>626890</xdr:colOff>
      <xdr:row>1</xdr:row>
      <xdr:rowOff>735</xdr:rowOff>
    </xdr:from>
    <xdr:to>
      <xdr:col>4</xdr:col>
      <xdr:colOff>2214390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B2AB38ED-25E8-4FAC-82B6-A43B85AF982D}"/>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D97A164-2D65-41A4-A158-FD0D7965DFB4}"/>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47625</xdr:colOff>
      <xdr:row>1</xdr:row>
      <xdr:rowOff>2</xdr:rowOff>
    </xdr:from>
    <xdr:to>
      <xdr:col>1</xdr:col>
      <xdr:colOff>328978</xdr:colOff>
      <xdr:row>2</xdr:row>
      <xdr:rowOff>251</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1681CBC1-13C2-472E-86F7-5F76C2955927}"/>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E1E8EDC-8896-4FCF-94C8-3E80B42B8D11}"/>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E904B2E9-66F6-42C6-B2C6-DBEBED611AFD}"/>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785BE80B-1E78-450B-A333-142EE37C3C67}"/>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93329DAC-21B7-477E-A7F1-B0E19843CB3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9" name="Rectangle: Rounded Corners 8">
          <a:extLst>
            <a:ext uri="{FF2B5EF4-FFF2-40B4-BE49-F238E27FC236}">
              <a16:creationId xmlns:a16="http://schemas.microsoft.com/office/drawing/2014/main" id="{0D9B266E-C4FF-4E29-B24E-F1722359A2C6}"/>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91A0AFA8-FDB2-4781-815B-DC0E6884E4A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8</xdr:col>
      <xdr:colOff>1054343</xdr:colOff>
      <xdr:row>1</xdr:row>
      <xdr:rowOff>7329</xdr:rowOff>
    </xdr:from>
    <xdr:to>
      <xdr:col>9</xdr:col>
      <xdr:colOff>762000</xdr:colOff>
      <xdr:row>2</xdr:row>
      <xdr:rowOff>3085</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0B75F37-C564-40B5-BCDC-2FBD823CB211}"/>
            </a:ext>
          </a:extLst>
        </xdr:cNvPr>
        <xdr:cNvSpPr/>
      </xdr:nvSpPr>
      <xdr:spPr>
        <a:xfrm>
          <a:off x="9845918" y="369279"/>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editAs="absolute">
    <xdr:from>
      <xdr:col>0</xdr:col>
      <xdr:colOff>47625</xdr:colOff>
      <xdr:row>1</xdr:row>
      <xdr:rowOff>2</xdr:rowOff>
    </xdr:from>
    <xdr:to>
      <xdr:col>1</xdr:col>
      <xdr:colOff>328978</xdr:colOff>
      <xdr:row>2</xdr:row>
      <xdr:rowOff>251</xdr:rowOff>
    </xdr:to>
    <xdr:sp macro="" textlink="">
      <xdr:nvSpPr>
        <xdr:cNvPr id="14" name="Rectangle: Rounded Corners 13">
          <a:hlinkClick xmlns:r="http://schemas.openxmlformats.org/officeDocument/2006/relationships" r:id="rId1"/>
          <a:extLst>
            <a:ext uri="{FF2B5EF4-FFF2-40B4-BE49-F238E27FC236}">
              <a16:creationId xmlns:a16="http://schemas.microsoft.com/office/drawing/2014/main" id="{29DD65D2-20BB-44DF-9D82-7280DD81A22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15" name="Rectangle: Rounded Corners 14">
          <a:hlinkClick xmlns:r="http://schemas.openxmlformats.org/officeDocument/2006/relationships" r:id="rId2"/>
          <a:extLst>
            <a:ext uri="{FF2B5EF4-FFF2-40B4-BE49-F238E27FC236}">
              <a16:creationId xmlns:a16="http://schemas.microsoft.com/office/drawing/2014/main" id="{16E31C19-BC06-4279-B7D7-4AC9641737E2}"/>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16" name="Rectangle: Rounded Corners 15">
          <a:extLst>
            <a:ext uri="{FF2B5EF4-FFF2-40B4-BE49-F238E27FC236}">
              <a16:creationId xmlns:a16="http://schemas.microsoft.com/office/drawing/2014/main" id="{D9724B0F-BCF5-412A-AC26-03347B78E61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17" name="Rectangle: Rounded Corners 16">
          <a:hlinkClick xmlns:r="http://schemas.openxmlformats.org/officeDocument/2006/relationships" r:id="rId4"/>
          <a:extLst>
            <a:ext uri="{FF2B5EF4-FFF2-40B4-BE49-F238E27FC236}">
              <a16:creationId xmlns:a16="http://schemas.microsoft.com/office/drawing/2014/main" id="{28AC819A-22C6-4465-B337-8824752623EC}"/>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18" name="Rectangle: Rounded Corners 17">
          <a:hlinkClick xmlns:r="http://schemas.openxmlformats.org/officeDocument/2006/relationships" r:id="rId5"/>
          <a:extLst>
            <a:ext uri="{FF2B5EF4-FFF2-40B4-BE49-F238E27FC236}">
              <a16:creationId xmlns:a16="http://schemas.microsoft.com/office/drawing/2014/main" id="{90BCE8A2-4E2C-4C38-B3D7-1A73CBF0EBC5}"/>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19" name="Rectangle: Rounded Corners 18">
          <a:hlinkClick xmlns:r="http://schemas.openxmlformats.org/officeDocument/2006/relationships" r:id="rId8"/>
          <a:extLst>
            <a:ext uri="{FF2B5EF4-FFF2-40B4-BE49-F238E27FC236}">
              <a16:creationId xmlns:a16="http://schemas.microsoft.com/office/drawing/2014/main" id="{FE29E889-68B6-4CEF-906E-69C727CA6BEC}"/>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20" name="Rectangle: Rounded Corners 19">
          <a:hlinkClick xmlns:r="http://schemas.openxmlformats.org/officeDocument/2006/relationships" r:id="rId6"/>
          <a:extLst>
            <a:ext uri="{FF2B5EF4-FFF2-40B4-BE49-F238E27FC236}">
              <a16:creationId xmlns:a16="http://schemas.microsoft.com/office/drawing/2014/main" id="{5E1A166D-8B8A-4B18-96D1-A734FB4AB27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1</xdr:col>
      <xdr:colOff>323850</xdr:colOff>
      <xdr:row>12</xdr:row>
      <xdr:rowOff>120894</xdr:rowOff>
    </xdr:from>
    <xdr:to>
      <xdr:col>9</xdr:col>
      <xdr:colOff>19050</xdr:colOff>
      <xdr:row>14</xdr:row>
      <xdr:rowOff>21248</xdr:rowOff>
    </xdr:to>
    <xdr:sp macro="" textlink="">
      <xdr:nvSpPr>
        <xdr:cNvPr id="23" name="Rectangle: Rounded Corners 22">
          <a:extLst>
            <a:ext uri="{FF2B5EF4-FFF2-40B4-BE49-F238E27FC236}">
              <a16:creationId xmlns:a16="http://schemas.microsoft.com/office/drawing/2014/main" id="{6C6F0FB8-D81D-4B0D-A96D-57C074C94FA3}"/>
            </a:ext>
          </a:extLst>
        </xdr:cNvPr>
        <xdr:cNvSpPr/>
      </xdr:nvSpPr>
      <xdr:spPr>
        <a:xfrm>
          <a:off x="657225" y="4588119"/>
          <a:ext cx="9420225" cy="348029"/>
        </a:xfrm>
        <a:prstGeom prst="roundRect">
          <a:avLst/>
        </a:prstGeom>
        <a:noFill/>
        <a:ln w="76200">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685801</xdr:colOff>
      <xdr:row>5</xdr:row>
      <xdr:rowOff>228600</xdr:rowOff>
    </xdr:from>
    <xdr:to>
      <xdr:col>12</xdr:col>
      <xdr:colOff>990601</xdr:colOff>
      <xdr:row>16</xdr:row>
      <xdr:rowOff>19050</xdr:rowOff>
    </xdr:to>
    <xdr:graphicFrame macro="">
      <xdr:nvGraphicFramePr>
        <xdr:cNvPr id="24" name="Chart 23">
          <a:extLst>
            <a:ext uri="{FF2B5EF4-FFF2-40B4-BE49-F238E27FC236}">
              <a16:creationId xmlns:a16="http://schemas.microsoft.com/office/drawing/2014/main" id="{4628BD3F-B0D4-1585-5002-7AE65DB678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542925</xdr:colOff>
      <xdr:row>18</xdr:row>
      <xdr:rowOff>323850</xdr:rowOff>
    </xdr:from>
    <xdr:to>
      <xdr:col>13</xdr:col>
      <xdr:colOff>333375</xdr:colOff>
      <xdr:row>29</xdr:row>
      <xdr:rowOff>333374</xdr:rowOff>
    </xdr:to>
    <xdr:graphicFrame macro="">
      <xdr:nvGraphicFramePr>
        <xdr:cNvPr id="26" name="Chart 25">
          <a:extLst>
            <a:ext uri="{FF2B5EF4-FFF2-40B4-BE49-F238E27FC236}">
              <a16:creationId xmlns:a16="http://schemas.microsoft.com/office/drawing/2014/main" id="{66FC4CDB-531C-C191-3E08-4688BFB91B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104775</xdr:colOff>
      <xdr:row>74</xdr:row>
      <xdr:rowOff>304800</xdr:rowOff>
    </xdr:from>
    <xdr:to>
      <xdr:col>11</xdr:col>
      <xdr:colOff>422331</xdr:colOff>
      <xdr:row>75</xdr:row>
      <xdr:rowOff>249887</xdr:rowOff>
    </xdr:to>
    <xdr:sp macro="" textlink="">
      <xdr:nvSpPr>
        <xdr:cNvPr id="27" name="TextBox 26">
          <a:extLst>
            <a:ext uri="{FF2B5EF4-FFF2-40B4-BE49-F238E27FC236}">
              <a16:creationId xmlns:a16="http://schemas.microsoft.com/office/drawing/2014/main" id="{843D5E98-E274-4D2A-B455-7E223453B63D}"/>
            </a:ext>
          </a:extLst>
        </xdr:cNvPr>
        <xdr:cNvSpPr txBox="1"/>
      </xdr:nvSpPr>
      <xdr:spPr>
        <a:xfrm>
          <a:off x="800100" y="21659850"/>
          <a:ext cx="12080931" cy="29751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b="0" i="0" u="none" strike="noStrike">
              <a:solidFill>
                <a:srgbClr val="D60000"/>
              </a:solidFill>
              <a:effectLst/>
              <a:latin typeface="Webdings" panose="05030102010509060703" pitchFamily="18" charset="2"/>
              <a:ea typeface="+mn-ea"/>
              <a:cs typeface="+mn-cs"/>
            </a:rPr>
            <a:t>g</a:t>
          </a:r>
          <a:r>
            <a:rPr lang="en-US" sz="1600"/>
            <a:t>   </a:t>
          </a:r>
          <a:r>
            <a:rPr lang="en-US" sz="1200" b="0" i="0" u="none" strike="noStrike">
              <a:solidFill>
                <a:schemeClr val="dk1"/>
              </a:solidFill>
              <a:effectLst/>
              <a:latin typeface="Avenir Next LT Pro" panose="020B0504020202020204" pitchFamily="34" charset="0"/>
              <a:ea typeface="+mn-ea"/>
              <a:cs typeface="+mn-cs"/>
            </a:rPr>
            <a:t>Basic  (1.5 or less)</a:t>
          </a:r>
          <a:r>
            <a:rPr lang="en-US" sz="1200" b="0" i="0" u="none" strike="noStrike">
              <a:solidFill>
                <a:srgbClr val="FFC000"/>
              </a:solidFill>
              <a:effectLst/>
              <a:latin typeface="Avenir Next LT Pro" panose="020B0504020202020204" pitchFamily="34" charset="0"/>
              <a:ea typeface="+mn-ea"/>
              <a:cs typeface="+mn-cs"/>
            </a:rPr>
            <a:t>)</a:t>
          </a:r>
          <a:r>
            <a:rPr lang="en-US" sz="1200">
              <a:solidFill>
                <a:srgbClr val="FFC000"/>
              </a:solidFill>
              <a:latin typeface="Avenir Next LT Pro" panose="020B0504020202020204" pitchFamily="34" charset="0"/>
            </a:rPr>
            <a:t>           </a:t>
          </a:r>
          <a:r>
            <a:rPr lang="en-US" sz="1400" b="0" i="0">
              <a:solidFill>
                <a:srgbClr val="FFC000"/>
              </a:solidFill>
              <a:effectLst/>
              <a:latin typeface="Webdings" panose="05030102010509060703" pitchFamily="18" charset="2"/>
              <a:ea typeface="+mn-ea"/>
              <a:cs typeface="+mn-cs"/>
            </a:rPr>
            <a:t>g</a:t>
          </a:r>
          <a:r>
            <a:rPr lang="en-US" sz="1400">
              <a:solidFill>
                <a:srgbClr val="D9BB05"/>
              </a:solidFill>
              <a:effectLst/>
              <a:latin typeface="Webdings" panose="05030102010509060703" pitchFamily="18" charset="2"/>
              <a:ea typeface="+mn-ea"/>
              <a:cs typeface="+mn-cs"/>
            </a:rPr>
            <a:t> </a:t>
          </a:r>
          <a:r>
            <a:rPr lang="en-US" sz="160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Developing (1.6 to 2.5)    </a:t>
          </a:r>
          <a:r>
            <a:rPr lang="en-US" sz="1600"/>
            <a:t>	 </a:t>
          </a:r>
          <a:r>
            <a:rPr lang="en-US" sz="1400" b="0" i="0">
              <a:solidFill>
                <a:schemeClr val="accent6"/>
              </a:solidFill>
              <a:effectLst/>
              <a:latin typeface="Webdings" panose="05030102010509060703" pitchFamily="18" charset="2"/>
              <a:ea typeface="+mn-ea"/>
              <a:cs typeface="+mn-cs"/>
            </a:rPr>
            <a:t>g</a:t>
          </a:r>
          <a:r>
            <a:rPr lang="en-US" sz="1600" b="0" i="0">
              <a:solidFill>
                <a:schemeClr val="dk1"/>
              </a:solidFill>
              <a:effectLst/>
              <a:latin typeface="Avenir Next LT Pro" panose="020B0504020202020204" pitchFamily="34" charset="0"/>
              <a:ea typeface="+mn-ea"/>
              <a:cs typeface="+mn-cs"/>
            </a:rPr>
            <a:t>  </a:t>
          </a:r>
          <a:r>
            <a:rPr lang="en-US" sz="1200" b="0" i="0">
              <a:solidFill>
                <a:schemeClr val="dk1"/>
              </a:solidFill>
              <a:effectLst/>
              <a:latin typeface="Avenir Next LT Pro" panose="020B0504020202020204" pitchFamily="34" charset="0"/>
              <a:ea typeface="+mn-ea"/>
              <a:cs typeface="+mn-cs"/>
            </a:rPr>
            <a:t>Established (2.5 to 3.5)</a:t>
          </a:r>
          <a:r>
            <a:rPr lang="en-US" sz="1600" b="0" i="0" baseline="0">
              <a:solidFill>
                <a:schemeClr val="dk1"/>
              </a:solidFill>
              <a:effectLst/>
              <a:latin typeface="+mn-lt"/>
              <a:ea typeface="+mn-ea"/>
              <a:cs typeface="+mn-cs"/>
            </a:rPr>
            <a:t>                </a:t>
          </a:r>
          <a:r>
            <a:rPr lang="en-US" sz="1400" b="0" i="0">
              <a:solidFill>
                <a:schemeClr val="tx2">
                  <a:lumMod val="50000"/>
                  <a:lumOff val="50000"/>
                </a:schemeClr>
              </a:solidFill>
              <a:effectLst/>
              <a:latin typeface="Webdings" panose="05030102010509060703" pitchFamily="18" charset="2"/>
              <a:ea typeface="+mn-ea"/>
              <a:cs typeface="+mn-cs"/>
            </a:rPr>
            <a:t>g</a:t>
          </a:r>
          <a:r>
            <a:rPr lang="en-US" sz="1200" b="0" i="0">
              <a:solidFill>
                <a:sysClr val="windowText" lastClr="000000"/>
              </a:solidFill>
              <a:effectLst/>
              <a:latin typeface="Avenir Next LT Pro" panose="020B0504020202020204" pitchFamily="34" charset="0"/>
              <a:ea typeface="+mn-ea"/>
              <a:cs typeface="+mn-cs"/>
            </a:rPr>
            <a:t>   Advanced (3.6 to 3.9)</a:t>
          </a:r>
          <a:r>
            <a:rPr lang="en-US" sz="1600"/>
            <a:t>	</a:t>
          </a:r>
          <a:r>
            <a:rPr lang="en-US" sz="1400"/>
            <a:t>         </a:t>
          </a:r>
          <a:r>
            <a:rPr lang="en-US" sz="1400" b="0" i="0">
              <a:solidFill>
                <a:schemeClr val="accent5"/>
              </a:solidFill>
              <a:effectLst/>
              <a:latin typeface="Webdings" panose="05030102010509060703" pitchFamily="18" charset="2"/>
              <a:ea typeface="+mn-ea"/>
              <a:cs typeface="+mn-cs"/>
            </a:rPr>
            <a:t>g</a:t>
          </a:r>
          <a:r>
            <a:rPr lang="en-US" sz="1400" b="0" i="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Transformative (</a:t>
          </a:r>
          <a:r>
            <a:rPr lang="en-US" sz="1200" b="0" i="0" baseline="0">
              <a:solidFill>
                <a:schemeClr val="dk1"/>
              </a:solidFill>
              <a:effectLst/>
              <a:latin typeface="Avenir Next LT Pro" panose="020B0504020202020204" pitchFamily="34" charset="0"/>
              <a:ea typeface="+mn-ea"/>
              <a:cs typeface="+mn-cs"/>
            </a:rPr>
            <a:t>4.</a:t>
          </a:r>
          <a:r>
            <a:rPr lang="en-US" sz="1200" b="0" i="0">
              <a:solidFill>
                <a:schemeClr val="dk1"/>
              </a:solidFill>
              <a:effectLst/>
              <a:latin typeface="Avenir Next LT Pro" panose="020B0504020202020204" pitchFamily="34" charset="0"/>
              <a:ea typeface="+mn-ea"/>
              <a:cs typeface="+mn-cs"/>
            </a:rPr>
            <a:t>0)    </a:t>
          </a:r>
          <a:endParaRPr lang="en-US" sz="1600" kern="1200">
            <a:solidFill>
              <a:sysClr val="windowText" lastClr="000000"/>
            </a:solidFill>
            <a:latin typeface="Avenir Next LT Pro" panose="020B0504020202020204" pitchFamily="34" charset="0"/>
          </a:endParaRPr>
        </a:p>
      </xdr:txBody>
    </xdr:sp>
    <xdr:clientData/>
  </xdr:twoCellAnchor>
  <xdr:twoCellAnchor>
    <xdr:from>
      <xdr:col>0</xdr:col>
      <xdr:colOff>133349</xdr:colOff>
      <xdr:row>18</xdr:row>
      <xdr:rowOff>295276</xdr:rowOff>
    </xdr:from>
    <xdr:to>
      <xdr:col>6</xdr:col>
      <xdr:colOff>400049</xdr:colOff>
      <xdr:row>29</xdr:row>
      <xdr:rowOff>9525</xdr:rowOff>
    </xdr:to>
    <xdr:graphicFrame macro="">
      <xdr:nvGraphicFramePr>
        <xdr:cNvPr id="2" name="Chart 1">
          <a:extLst>
            <a:ext uri="{FF2B5EF4-FFF2-40B4-BE49-F238E27FC236}">
              <a16:creationId xmlns:a16="http://schemas.microsoft.com/office/drawing/2014/main" id="{C8A63DD6-77E0-6CF3-0AE9-244095ACC8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28575</xdr:colOff>
      <xdr:row>1</xdr:row>
      <xdr:rowOff>0</xdr:rowOff>
    </xdr:from>
    <xdr:to>
      <xdr:col>1</xdr:col>
      <xdr:colOff>309928</xdr:colOff>
      <xdr:row>1</xdr:row>
      <xdr:rowOff>200024</xdr:rowOff>
    </xdr:to>
    <xdr:sp macro="" textlink="">
      <xdr:nvSpPr>
        <xdr:cNvPr id="32" name="Rectangle: Rounded Corners 31">
          <a:hlinkClick xmlns:r="http://schemas.openxmlformats.org/officeDocument/2006/relationships" r:id="rId1"/>
          <a:extLst>
            <a:ext uri="{FF2B5EF4-FFF2-40B4-BE49-F238E27FC236}">
              <a16:creationId xmlns:a16="http://schemas.microsoft.com/office/drawing/2014/main" id="{1600D088-D5A3-4202-ACBD-994A6F709477}"/>
            </a:ext>
          </a:extLst>
        </xdr:cNvPr>
        <xdr:cNvSpPr/>
      </xdr:nvSpPr>
      <xdr:spPr>
        <a:xfrm>
          <a:off x="28575"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2</xdr:col>
      <xdr:colOff>1968852</xdr:colOff>
      <xdr:row>1</xdr:row>
      <xdr:rowOff>733</xdr:rowOff>
    </xdr:from>
    <xdr:to>
      <xdr:col>3</xdr:col>
      <xdr:colOff>1252572</xdr:colOff>
      <xdr:row>1</xdr:row>
      <xdr:rowOff>200024</xdr:rowOff>
    </xdr:to>
    <xdr:sp macro="" textlink="">
      <xdr:nvSpPr>
        <xdr:cNvPr id="33" name="Rectangle: Rounded Corners 32">
          <a:hlinkClick xmlns:r="http://schemas.openxmlformats.org/officeDocument/2006/relationships" r:id="rId2"/>
          <a:extLst>
            <a:ext uri="{FF2B5EF4-FFF2-40B4-BE49-F238E27FC236}">
              <a16:creationId xmlns:a16="http://schemas.microsoft.com/office/drawing/2014/main" id="{CC9C5B79-22ED-4641-8D8A-3D4E8AD116F5}"/>
            </a:ext>
          </a:extLst>
        </xdr:cNvPr>
        <xdr:cNvSpPr/>
      </xdr:nvSpPr>
      <xdr:spPr>
        <a:xfrm>
          <a:off x="3388077"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853585</xdr:colOff>
      <xdr:row>1</xdr:row>
      <xdr:rowOff>733</xdr:rowOff>
    </xdr:from>
    <xdr:to>
      <xdr:col>8</xdr:col>
      <xdr:colOff>430823</xdr:colOff>
      <xdr:row>1</xdr:row>
      <xdr:rowOff>200024</xdr:rowOff>
    </xdr:to>
    <xdr:sp macro="" textlink="">
      <xdr:nvSpPr>
        <xdr:cNvPr id="34" name="Rectangle: Rounded Corners 33">
          <a:hlinkClick xmlns:r="http://schemas.openxmlformats.org/officeDocument/2006/relationships" r:id="rId3"/>
          <a:extLst>
            <a:ext uri="{FF2B5EF4-FFF2-40B4-BE49-F238E27FC236}">
              <a16:creationId xmlns:a16="http://schemas.microsoft.com/office/drawing/2014/main" id="{C32C1520-4442-40B8-92C4-BE242EBA74D6}"/>
            </a:ext>
          </a:extLst>
        </xdr:cNvPr>
        <xdr:cNvSpPr/>
      </xdr:nvSpPr>
      <xdr:spPr>
        <a:xfrm>
          <a:off x="8530735"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Scorecard </a:t>
          </a:r>
        </a:p>
      </xdr:txBody>
    </xdr:sp>
    <xdr:clientData/>
  </xdr:twoCellAnchor>
  <xdr:twoCellAnchor editAs="absolute">
    <xdr:from>
      <xdr:col>1</xdr:col>
      <xdr:colOff>400696</xdr:colOff>
      <xdr:row>1</xdr:row>
      <xdr:rowOff>0</xdr:rowOff>
    </xdr:from>
    <xdr:to>
      <xdr:col>2</xdr:col>
      <xdr:colOff>265759</xdr:colOff>
      <xdr:row>1</xdr:row>
      <xdr:rowOff>200024</xdr:rowOff>
    </xdr:to>
    <xdr:sp macro="" textlink="">
      <xdr:nvSpPr>
        <xdr:cNvPr id="35" name="Rectangle: Rounded Corners 34">
          <a:hlinkClick xmlns:r="http://schemas.openxmlformats.org/officeDocument/2006/relationships" r:id="rId4"/>
          <a:extLst>
            <a:ext uri="{FF2B5EF4-FFF2-40B4-BE49-F238E27FC236}">
              <a16:creationId xmlns:a16="http://schemas.microsoft.com/office/drawing/2014/main" id="{940C6B7C-253D-4C97-845D-512ED7F468D6}"/>
            </a:ext>
          </a:extLst>
        </xdr:cNvPr>
        <xdr:cNvSpPr/>
      </xdr:nvSpPr>
      <xdr:spPr>
        <a:xfrm>
          <a:off x="791221"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3</xdr:col>
      <xdr:colOff>1321359</xdr:colOff>
      <xdr:row>1</xdr:row>
      <xdr:rowOff>733</xdr:rowOff>
    </xdr:from>
    <xdr:to>
      <xdr:col>5</xdr:col>
      <xdr:colOff>1063011</xdr:colOff>
      <xdr:row>1</xdr:row>
      <xdr:rowOff>200024</xdr:rowOff>
    </xdr:to>
    <xdr:sp macro="" textlink="">
      <xdr:nvSpPr>
        <xdr:cNvPr id="36" name="Rectangle: Rounded Corners 35">
          <a:hlinkClick xmlns:r="http://schemas.openxmlformats.org/officeDocument/2006/relationships" r:id="rId5"/>
          <a:extLst>
            <a:ext uri="{FF2B5EF4-FFF2-40B4-BE49-F238E27FC236}">
              <a16:creationId xmlns:a16="http://schemas.microsoft.com/office/drawing/2014/main" id="{757901AD-8CF6-470B-8E3E-59DA847AECFC}"/>
            </a:ext>
          </a:extLst>
        </xdr:cNvPr>
        <xdr:cNvSpPr/>
      </xdr:nvSpPr>
      <xdr:spPr>
        <a:xfrm>
          <a:off x="5102784"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5</xdr:col>
      <xdr:colOff>1129600</xdr:colOff>
      <xdr:row>1</xdr:row>
      <xdr:rowOff>733</xdr:rowOff>
    </xdr:from>
    <xdr:to>
      <xdr:col>7</xdr:col>
      <xdr:colOff>784795</xdr:colOff>
      <xdr:row>1</xdr:row>
      <xdr:rowOff>200024</xdr:rowOff>
    </xdr:to>
    <xdr:sp macro="" textlink="">
      <xdr:nvSpPr>
        <xdr:cNvPr id="37" name="Rectangle: Rounded Corners 36">
          <a:hlinkClick xmlns:r="http://schemas.openxmlformats.org/officeDocument/2006/relationships" r:id="rId6"/>
          <a:extLst>
            <a:ext uri="{FF2B5EF4-FFF2-40B4-BE49-F238E27FC236}">
              <a16:creationId xmlns:a16="http://schemas.microsoft.com/office/drawing/2014/main" id="{55823BBD-616C-4687-AF43-67398A4BCF1C}"/>
            </a:ext>
          </a:extLst>
        </xdr:cNvPr>
        <xdr:cNvSpPr/>
      </xdr:nvSpPr>
      <xdr:spPr>
        <a:xfrm>
          <a:off x="6816025"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a:t>
          </a:r>
          <a:r>
            <a:rPr lang="en-US" sz="1100">
              <a:solidFill>
                <a:schemeClr val="bg1">
                  <a:lumMod val="50000"/>
                </a:schemeClr>
              </a:solidFill>
              <a:latin typeface="+mn-lt"/>
              <a:ea typeface="+mn-ea"/>
              <a:cs typeface="+mn-cs"/>
            </a:rPr>
            <a:t>ITR</a:t>
          </a:r>
          <a:r>
            <a:rPr lang="en-US" sz="1100">
              <a:solidFill>
                <a:schemeClr val="bg1">
                  <a:lumMod val="50000"/>
                </a:schemeClr>
              </a:solidFill>
            </a:rPr>
            <a:t>)</a:t>
          </a:r>
        </a:p>
      </xdr:txBody>
    </xdr:sp>
    <xdr:clientData/>
  </xdr:twoCellAnchor>
  <xdr:twoCellAnchor editAs="absolute">
    <xdr:from>
      <xdr:col>2</xdr:col>
      <xdr:colOff>303040</xdr:colOff>
      <xdr:row>1</xdr:row>
      <xdr:rowOff>733</xdr:rowOff>
    </xdr:from>
    <xdr:to>
      <xdr:col>2</xdr:col>
      <xdr:colOff>1890540</xdr:colOff>
      <xdr:row>1</xdr:row>
      <xdr:rowOff>200024</xdr:rowOff>
    </xdr:to>
    <xdr:sp macro="" textlink="">
      <xdr:nvSpPr>
        <xdr:cNvPr id="38" name="Rectangle: Rounded Corners 37">
          <a:hlinkClick xmlns:r="http://schemas.openxmlformats.org/officeDocument/2006/relationships" r:id="rId7"/>
          <a:extLst>
            <a:ext uri="{FF2B5EF4-FFF2-40B4-BE49-F238E27FC236}">
              <a16:creationId xmlns:a16="http://schemas.microsoft.com/office/drawing/2014/main" id="{C1799254-97BF-40C4-AE3D-FA8758F44B25}"/>
            </a:ext>
          </a:extLst>
        </xdr:cNvPr>
        <xdr:cNvSpPr/>
      </xdr:nvSpPr>
      <xdr:spPr>
        <a:xfrm>
          <a:off x="1722265" y="362683"/>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9</xdr:col>
      <xdr:colOff>130418</xdr:colOff>
      <xdr:row>1</xdr:row>
      <xdr:rowOff>7327</xdr:rowOff>
    </xdr:from>
    <xdr:to>
      <xdr:col>9</xdr:col>
      <xdr:colOff>1038225</xdr:colOff>
      <xdr:row>1</xdr:row>
      <xdr:rowOff>209548</xdr:rowOff>
    </xdr:to>
    <xdr:sp macro="" textlink="">
      <xdr:nvSpPr>
        <xdr:cNvPr id="39" name="Rectangle: Rounded Corners 38">
          <a:extLst>
            <a:ext uri="{FF2B5EF4-FFF2-40B4-BE49-F238E27FC236}">
              <a16:creationId xmlns:a16="http://schemas.microsoft.com/office/drawing/2014/main" id="{E2B17269-1331-4365-B316-4C30D5A8E49A}"/>
            </a:ext>
          </a:extLst>
        </xdr:cNvPr>
        <xdr:cNvSpPr/>
      </xdr:nvSpPr>
      <xdr:spPr>
        <a:xfrm>
          <a:off x="9826868" y="369277"/>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Compliance</a:t>
          </a:r>
          <a:endParaRPr lang="en-US" sz="1100">
            <a:solidFill>
              <a:schemeClr val="bg1">
                <a:lumMod val="50000"/>
              </a:schemeClr>
            </a:solidFill>
          </a:endParaRPr>
        </a:p>
      </xdr:txBody>
    </xdr:sp>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1FCBA-14D3-4EB0-94C6-B9260AC3463C}">
  <sheetPr codeName="Sheet7">
    <tabColor theme="9" tint="0.59999389629810485"/>
  </sheetPr>
  <dimension ref="A1:R38"/>
  <sheetViews>
    <sheetView showGridLines="0" tabSelected="1" zoomScale="130" zoomScaleNormal="130" workbookViewId="0">
      <selection activeCell="L32" sqref="L32"/>
    </sheetView>
  </sheetViews>
  <sheetFormatPr baseColWidth="10" defaultColWidth="0" defaultRowHeight="16" zeroHeight="1" x14ac:dyDescent="0.25"/>
  <cols>
    <col min="1" max="1" width="4.33203125" style="20" customWidth="1"/>
    <col min="2" max="2" width="4.5" style="20" customWidth="1"/>
    <col min="3" max="3" width="6.1640625" style="20" customWidth="1"/>
    <col min="4" max="4" width="57.5" style="20" customWidth="1"/>
    <col min="5" max="5" width="2.5" style="20" customWidth="1"/>
    <col min="6" max="6" width="2.83203125" style="20" customWidth="1"/>
    <col min="7" max="7" width="5.5" style="20" customWidth="1"/>
    <col min="8" max="8" width="68.33203125" style="20" customWidth="1"/>
    <col min="9" max="9" width="3.5" style="20" customWidth="1"/>
    <col min="10" max="10" width="5.1640625" style="20" customWidth="1"/>
    <col min="11" max="11" width="76.1640625" style="20" customWidth="1"/>
    <col min="12" max="12" width="7.1640625" style="20" customWidth="1"/>
    <col min="13" max="13" width="9.1640625" style="20" hidden="1" customWidth="1"/>
    <col min="14" max="16384" width="0" style="20" hidden="1"/>
  </cols>
  <sheetData>
    <row r="1" spans="1:18" s="74" customFormat="1" ht="28.5" customHeight="1" x14ac:dyDescent="0.3">
      <c r="A1" s="28"/>
      <c r="B1" s="85" t="s">
        <v>847</v>
      </c>
      <c r="C1" s="29"/>
      <c r="D1" s="28"/>
      <c r="E1" s="31"/>
      <c r="F1" s="31"/>
      <c r="G1" s="31"/>
      <c r="H1" s="28"/>
      <c r="I1" s="28"/>
      <c r="J1" s="28"/>
    </row>
    <row r="2" spans="1:18" s="19" customFormat="1" ht="22" customHeight="1" x14ac:dyDescent="0.2">
      <c r="A2" s="15"/>
      <c r="B2" s="16"/>
      <c r="C2" s="42"/>
      <c r="D2" s="15"/>
      <c r="E2" s="18"/>
      <c r="F2" s="18"/>
      <c r="G2" s="18"/>
      <c r="H2" s="15"/>
      <c r="I2" s="15"/>
      <c r="J2" s="44"/>
      <c r="K2" s="44"/>
      <c r="L2" s="44"/>
      <c r="M2" s="44"/>
      <c r="N2" s="44"/>
      <c r="O2" s="44"/>
      <c r="P2" s="44"/>
      <c r="Q2" s="44"/>
      <c r="R2" s="44"/>
    </row>
    <row r="3" spans="1:18" s="14" customFormat="1" ht="24" customHeight="1" x14ac:dyDescent="0.3">
      <c r="M3" s="196"/>
      <c r="N3" s="196"/>
    </row>
    <row r="4" spans="1:18" s="14" customFormat="1" ht="19.5" customHeight="1" x14ac:dyDescent="0.3">
      <c r="A4" s="209" t="s">
        <v>845</v>
      </c>
      <c r="B4" s="209"/>
      <c r="C4" s="209"/>
      <c r="D4" s="208" t="s">
        <v>859</v>
      </c>
      <c r="E4" s="208"/>
      <c r="F4" s="208"/>
      <c r="G4" s="208"/>
      <c r="H4" s="208"/>
      <c r="J4" s="20"/>
      <c r="K4" s="190" t="str">
        <f>IF(('Dimension 1 - CVI'!N2+'Dimension 2 - SGRM'!N2+'Dimension 3 - DPE'!N2+'Dimension 4 - ITR'!N2)/120 &lt; 0.8,"Assessment Completion Status: INCOMPLETE", "Assessment Completion Status: COMPLETE")</f>
        <v>Assessment Completion Status: INCOMPLETE</v>
      </c>
      <c r="L4" s="197"/>
      <c r="M4" s="197"/>
      <c r="O4" s="202"/>
      <c r="P4" s="202"/>
      <c r="Q4" s="202"/>
      <c r="R4" s="202"/>
    </row>
    <row r="5" spans="1:18" s="14" customFormat="1" ht="30.75" customHeight="1" x14ac:dyDescent="0.2">
      <c r="A5" s="209"/>
      <c r="B5" s="209"/>
      <c r="C5" s="209"/>
      <c r="D5" s="208"/>
      <c r="E5" s="208"/>
      <c r="F5" s="208"/>
      <c r="G5" s="208"/>
      <c r="H5" s="208"/>
      <c r="J5" s="108">
        <f>ROUND(('Dimension 1 - CVI'!N2+'Dimension 2 - SGRM'!N2+'Dimension 3 - DPE'!N2+'Dimension 4 - ITR'!N2)/120,2)</f>
        <v>0</v>
      </c>
      <c r="K5" s="198" t="str">
        <f>_xlfn.CONCAT(ROUND(('Dimension 1 - CVI'!N2+'Dimension 2 - SGRM'!N2+'Dimension 3 - DPE'!N2+'Dimension 4 - ITR'!N2)/120,2)*100,"% - ",
('Dimension 1 - CVI'!N2+'Dimension 2 - SGRM'!N2+'Dimension 3 - DPE'!N2+'Dimension 4 - ITR'!N2), " of 120 questions answered")</f>
        <v>0% - 0 of 120 questions answered</v>
      </c>
      <c r="O5" s="107"/>
      <c r="P5" s="203"/>
      <c r="Q5" s="203"/>
      <c r="R5" s="203"/>
    </row>
    <row r="6" spans="1:18" hidden="1" x14ac:dyDescent="0.25">
      <c r="D6" s="88" t="s">
        <v>860</v>
      </c>
      <c r="E6" s="47"/>
      <c r="F6" s="47"/>
      <c r="G6" s="47"/>
      <c r="H6" s="47"/>
      <c r="I6" s="47"/>
    </row>
    <row r="7" spans="1:18" ht="6.75" customHeight="1" x14ac:dyDescent="0.25">
      <c r="D7" s="39"/>
      <c r="E7" s="39"/>
      <c r="F7" s="39"/>
      <c r="G7" s="39"/>
      <c r="H7" s="39"/>
      <c r="I7" s="39"/>
    </row>
    <row r="8" spans="1:18" ht="16.5" customHeight="1" x14ac:dyDescent="0.25">
      <c r="C8" s="193"/>
      <c r="D8" s="193"/>
      <c r="E8" s="193"/>
      <c r="F8" s="193"/>
      <c r="G8" s="194"/>
      <c r="H8" s="193"/>
      <c r="I8" s="193"/>
      <c r="K8" s="193"/>
    </row>
    <row r="9" spans="1:18" ht="40.5" customHeight="1" x14ac:dyDescent="0.25">
      <c r="C9" s="207" t="s">
        <v>1821</v>
      </c>
      <c r="D9" s="207"/>
      <c r="E9" s="207"/>
      <c r="F9" s="193"/>
      <c r="G9" s="194"/>
      <c r="H9" s="205" t="s">
        <v>1820</v>
      </c>
      <c r="I9" s="195"/>
      <c r="K9" s="205" t="s">
        <v>1823</v>
      </c>
    </row>
    <row r="10" spans="1:18" ht="40.5" customHeight="1" x14ac:dyDescent="0.25">
      <c r="C10" s="207"/>
      <c r="D10" s="207"/>
      <c r="E10" s="207"/>
      <c r="F10" s="193"/>
      <c r="G10" s="194"/>
      <c r="H10" s="205"/>
      <c r="I10" s="195"/>
      <c r="K10" s="205"/>
    </row>
    <row r="11" spans="1:18" ht="40.5" customHeight="1" x14ac:dyDescent="0.25">
      <c r="C11" s="207"/>
      <c r="D11" s="207"/>
      <c r="E11" s="207"/>
      <c r="F11" s="193"/>
      <c r="G11" s="194"/>
      <c r="H11" s="205"/>
      <c r="I11" s="195"/>
      <c r="K11" s="205"/>
    </row>
    <row r="12" spans="1:18" ht="40.5" customHeight="1" x14ac:dyDescent="0.25">
      <c r="C12" s="207"/>
      <c r="D12" s="207"/>
      <c r="E12" s="207"/>
      <c r="F12" s="193"/>
      <c r="G12" s="194"/>
      <c r="H12" s="205"/>
      <c r="I12" s="195"/>
      <c r="K12" s="205"/>
    </row>
    <row r="13" spans="1:18" ht="40.5" customHeight="1" x14ac:dyDescent="0.25">
      <c r="C13" s="207"/>
      <c r="D13" s="207"/>
      <c r="E13" s="207"/>
      <c r="F13" s="193"/>
      <c r="G13" s="194"/>
      <c r="H13" s="205"/>
      <c r="I13" s="195"/>
      <c r="K13" s="205"/>
    </row>
    <row r="14" spans="1:18" ht="40.5" customHeight="1" x14ac:dyDescent="0.25">
      <c r="C14" s="207"/>
      <c r="D14" s="207"/>
      <c r="E14" s="207"/>
      <c r="F14" s="193"/>
      <c r="G14" s="194"/>
      <c r="H14" s="205"/>
      <c r="I14" s="195"/>
      <c r="K14" s="205"/>
    </row>
    <row r="15" spans="1:18" ht="40.5" customHeight="1" x14ac:dyDescent="0.25">
      <c r="C15" s="207"/>
      <c r="D15" s="207"/>
      <c r="E15" s="207"/>
      <c r="F15" s="193"/>
      <c r="G15" s="194"/>
      <c r="H15" s="205"/>
      <c r="I15" s="195"/>
      <c r="K15" s="205"/>
    </row>
    <row r="16" spans="1:18" ht="40.5" customHeight="1" x14ac:dyDescent="0.25">
      <c r="C16" s="207"/>
      <c r="D16" s="207"/>
      <c r="E16" s="207"/>
      <c r="F16" s="193"/>
      <c r="G16" s="194"/>
      <c r="H16" s="205"/>
      <c r="I16" s="195"/>
      <c r="K16" s="205"/>
    </row>
    <row r="17" spans="3:11" ht="66" customHeight="1" x14ac:dyDescent="0.25">
      <c r="C17" s="207"/>
      <c r="D17" s="207"/>
      <c r="E17" s="207"/>
      <c r="F17" s="193"/>
      <c r="G17" s="194"/>
      <c r="H17" s="205"/>
      <c r="I17" s="195"/>
      <c r="K17" s="205"/>
    </row>
    <row r="18" spans="3:11" ht="79.5" customHeight="1" x14ac:dyDescent="0.25">
      <c r="C18" s="207"/>
      <c r="D18" s="207"/>
      <c r="E18" s="207"/>
      <c r="F18" s="193"/>
      <c r="G18" s="194"/>
      <c r="H18" s="205"/>
      <c r="I18" s="195"/>
      <c r="K18" s="205"/>
    </row>
    <row r="19" spans="3:11" ht="57" customHeight="1" x14ac:dyDescent="0.25">
      <c r="C19" s="207"/>
      <c r="D19" s="207"/>
      <c r="E19" s="207"/>
      <c r="F19" s="193"/>
      <c r="G19" s="194"/>
      <c r="H19" s="205"/>
      <c r="I19" s="195"/>
      <c r="K19" s="205"/>
    </row>
    <row r="20" spans="3:11" ht="21.75" customHeight="1" x14ac:dyDescent="0.25">
      <c r="C20" s="199"/>
      <c r="D20" s="199"/>
      <c r="E20" s="199"/>
      <c r="F20" s="194"/>
      <c r="G20" s="194"/>
      <c r="H20" s="200"/>
      <c r="I20" s="200"/>
      <c r="K20" s="205"/>
    </row>
    <row r="21" spans="3:11" ht="17.25" customHeight="1" x14ac:dyDescent="0.25">
      <c r="C21" s="201"/>
      <c r="D21" s="201"/>
      <c r="E21" s="201"/>
      <c r="F21" s="201"/>
      <c r="G21" s="194"/>
      <c r="H21" s="201"/>
      <c r="I21" s="201"/>
      <c r="K21" s="205"/>
    </row>
    <row r="22" spans="3:11" ht="40.5" customHeight="1" x14ac:dyDescent="0.25">
      <c r="C22" s="206" t="s">
        <v>1814</v>
      </c>
      <c r="D22" s="206"/>
      <c r="E22" s="201"/>
      <c r="F22" s="201"/>
      <c r="G22" s="194"/>
      <c r="H22" s="204" t="s">
        <v>1822</v>
      </c>
      <c r="I22" s="204"/>
      <c r="K22" s="205"/>
    </row>
    <row r="23" spans="3:11" ht="40.5" customHeight="1" x14ac:dyDescent="0.25">
      <c r="C23" s="206"/>
      <c r="D23" s="206"/>
      <c r="E23" s="201"/>
      <c r="F23" s="201"/>
      <c r="G23" s="194"/>
      <c r="H23" s="204"/>
      <c r="I23" s="204"/>
      <c r="K23" s="205"/>
    </row>
    <row r="24" spans="3:11" ht="40.5" customHeight="1" x14ac:dyDescent="0.25">
      <c r="C24" s="206"/>
      <c r="D24" s="206"/>
      <c r="E24" s="201"/>
      <c r="F24" s="201"/>
      <c r="G24" s="194"/>
      <c r="H24" s="204"/>
      <c r="I24" s="204"/>
      <c r="K24" s="205"/>
    </row>
    <row r="25" spans="3:11" ht="81.75" customHeight="1" x14ac:dyDescent="0.25">
      <c r="C25" s="206"/>
      <c r="D25" s="206"/>
      <c r="E25" s="201"/>
      <c r="F25" s="201"/>
      <c r="G25" s="194"/>
      <c r="H25" s="204"/>
      <c r="I25" s="204"/>
      <c r="K25" s="205"/>
    </row>
    <row r="26" spans="3:11" ht="27" customHeight="1" x14ac:dyDescent="0.25">
      <c r="D26" s="194"/>
      <c r="E26" s="194"/>
      <c r="F26" s="194"/>
      <c r="G26" s="194"/>
      <c r="H26" s="194"/>
      <c r="I26" s="194"/>
    </row>
    <row r="27" spans="3:11" x14ac:dyDescent="0.25"/>
    <row r="28" spans="3:11" x14ac:dyDescent="0.25"/>
    <row r="29" spans="3:11" x14ac:dyDescent="0.25"/>
    <row r="30" spans="3:11" x14ac:dyDescent="0.25"/>
    <row r="31" spans="3:11" x14ac:dyDescent="0.25"/>
    <row r="32" spans="3:11" s="74" customFormat="1" ht="29.25" customHeight="1" x14ac:dyDescent="0.2"/>
    <row r="33" s="20" customFormat="1" x14ac:dyDescent="0.25"/>
    <row r="34" s="20" customFormat="1" x14ac:dyDescent="0.25"/>
    <row r="35" s="20" customFormat="1" x14ac:dyDescent="0.25"/>
    <row r="36" s="20" customFormat="1" x14ac:dyDescent="0.25"/>
    <row r="37" s="20" customFormat="1" x14ac:dyDescent="0.25"/>
    <row r="38" s="20" customFormat="1" x14ac:dyDescent="0.25"/>
  </sheetData>
  <mergeCells count="9">
    <mergeCell ref="O4:R4"/>
    <mergeCell ref="P5:R5"/>
    <mergeCell ref="H22:I25"/>
    <mergeCell ref="K9:K25"/>
    <mergeCell ref="C22:D25"/>
    <mergeCell ref="C9:E19"/>
    <mergeCell ref="D4:H5"/>
    <mergeCell ref="H9:H19"/>
    <mergeCell ref="A4:C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601AC-C0A5-4B10-95FD-1A0108E6CFD2}">
  <sheetPr codeName="Sheet1">
    <tabColor theme="3" tint="0.749992370372631"/>
  </sheetPr>
  <dimension ref="A1:AI26"/>
  <sheetViews>
    <sheetView showGridLines="0" workbookViewId="0">
      <selection activeCell="N26" sqref="N26"/>
    </sheetView>
  </sheetViews>
  <sheetFormatPr baseColWidth="10" defaultColWidth="0" defaultRowHeight="16" zeroHeight="1" x14ac:dyDescent="0.25"/>
  <cols>
    <col min="1" max="1" width="4.33203125" style="20" customWidth="1"/>
    <col min="2" max="2" width="10.6640625" style="20" customWidth="1"/>
    <col min="3" max="3" width="31.33203125" style="20" customWidth="1"/>
    <col min="4" max="4" width="46.83203125" style="20" customWidth="1"/>
    <col min="5" max="5" width="9.1640625" style="20" customWidth="1"/>
    <col min="6" max="6" width="34.5" style="20" customWidth="1"/>
    <col min="7" max="14" width="9.1640625" style="20" customWidth="1"/>
    <col min="15" max="35" width="0" style="20" hidden="1" customWidth="1"/>
    <col min="36" max="16384" width="9.1640625" style="20" hidden="1"/>
  </cols>
  <sheetData>
    <row r="1" spans="1:34"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4" s="19" customFormat="1" ht="16.5" customHeight="1" x14ac:dyDescent="0.2">
      <c r="A2" s="15"/>
      <c r="B2" s="16"/>
      <c r="C2" s="17"/>
      <c r="D2" s="15"/>
      <c r="E2" s="17"/>
      <c r="F2" s="15"/>
      <c r="G2" s="15"/>
      <c r="H2" s="18"/>
      <c r="I2" s="18"/>
      <c r="J2" s="18"/>
      <c r="K2" s="18"/>
      <c r="L2" s="15"/>
      <c r="M2" s="15"/>
      <c r="N2" s="15"/>
      <c r="O2" s="15"/>
      <c r="P2" s="15"/>
      <c r="Q2" s="15"/>
      <c r="R2" s="15"/>
      <c r="S2" s="15"/>
      <c r="T2" s="15"/>
      <c r="U2" s="15"/>
      <c r="V2" s="15"/>
      <c r="W2" s="15"/>
      <c r="X2" s="15"/>
      <c r="Y2" s="15"/>
      <c r="Z2" s="15"/>
      <c r="AA2" s="15"/>
      <c r="AB2" s="15"/>
      <c r="AC2" s="15"/>
      <c r="AD2" s="15"/>
      <c r="AE2" s="15"/>
      <c r="AF2" s="18"/>
      <c r="AG2" s="18"/>
      <c r="AH2" s="18"/>
    </row>
    <row r="3" spans="1:34" x14ac:dyDescent="0.25"/>
    <row r="4" spans="1:34" ht="30.75" customHeight="1" x14ac:dyDescent="0.35">
      <c r="B4" s="32" t="s">
        <v>845</v>
      </c>
      <c r="C4" s="34" t="s">
        <v>164</v>
      </c>
    </row>
    <row r="5" spans="1:34" x14ac:dyDescent="0.25"/>
    <row r="6" spans="1:34" x14ac:dyDescent="0.25"/>
    <row r="7" spans="1:34" s="21" customFormat="1" ht="21.75" customHeight="1" x14ac:dyDescent="0.2">
      <c r="B7" s="86" t="s">
        <v>838</v>
      </c>
      <c r="C7" s="22"/>
      <c r="D7" s="23"/>
    </row>
    <row r="8" spans="1:34" s="21" customFormat="1" ht="21.75" customHeight="1" x14ac:dyDescent="0.2">
      <c r="B8" s="87"/>
      <c r="C8" s="24"/>
      <c r="D8" s="25"/>
    </row>
    <row r="9" spans="1:34" s="21" customFormat="1" ht="21.75" customHeight="1" x14ac:dyDescent="0.2">
      <c r="B9" s="86" t="s">
        <v>839</v>
      </c>
      <c r="C9" s="22"/>
      <c r="D9" s="23"/>
      <c r="F9" s="26"/>
      <c r="H9" s="26"/>
      <c r="J9" s="26"/>
      <c r="L9" s="26"/>
      <c r="N9" s="26"/>
    </row>
    <row r="10" spans="1:34" s="21" customFormat="1" ht="21.75" customHeight="1" x14ac:dyDescent="0.2">
      <c r="B10" s="87"/>
      <c r="C10" s="24"/>
      <c r="D10" s="25"/>
    </row>
    <row r="11" spans="1:34" s="21" customFormat="1" ht="21.75" customHeight="1" x14ac:dyDescent="0.2">
      <c r="B11" s="86" t="s">
        <v>840</v>
      </c>
      <c r="C11" s="22"/>
      <c r="D11" s="23"/>
    </row>
    <row r="12" spans="1:34" s="21" customFormat="1" ht="21.75" customHeight="1" x14ac:dyDescent="0.2">
      <c r="B12" s="87"/>
      <c r="C12" s="24"/>
      <c r="D12" s="25"/>
    </row>
    <row r="13" spans="1:34" s="21" customFormat="1" ht="21.75" customHeight="1" x14ac:dyDescent="0.2">
      <c r="B13" s="86" t="s">
        <v>841</v>
      </c>
      <c r="C13" s="22"/>
      <c r="D13" s="23"/>
    </row>
    <row r="14" spans="1:34" s="21" customFormat="1" ht="21.75" customHeight="1" x14ac:dyDescent="0.2">
      <c r="B14" s="87"/>
      <c r="C14" s="24"/>
      <c r="D14" s="25"/>
    </row>
    <row r="15" spans="1:34" s="21" customFormat="1" ht="21.75" customHeight="1" x14ac:dyDescent="0.2">
      <c r="B15" s="86" t="s">
        <v>842</v>
      </c>
      <c r="C15" s="22"/>
      <c r="D15" s="23"/>
    </row>
    <row r="16" spans="1:34" s="21" customFormat="1" ht="21.75" customHeight="1" x14ac:dyDescent="0.2">
      <c r="B16" s="87"/>
      <c r="C16" s="24"/>
      <c r="D16" s="25"/>
    </row>
    <row r="17" spans="2:7" s="21" customFormat="1" ht="21.75" customHeight="1" x14ac:dyDescent="0.2">
      <c r="B17" s="86" t="s">
        <v>843</v>
      </c>
      <c r="C17" s="22"/>
      <c r="D17" s="23"/>
    </row>
    <row r="18" spans="2:7" x14ac:dyDescent="0.25"/>
    <row r="19" spans="2:7" x14ac:dyDescent="0.25"/>
    <row r="20" spans="2:7" x14ac:dyDescent="0.25"/>
    <row r="21" spans="2:7" ht="32.25" customHeight="1" x14ac:dyDescent="0.25">
      <c r="D21" s="33" t="str">
        <f>IFERROR(ROUND(
    VLOOKUP(D9, RiskMatrix, 3, FALSE) * VLOOKUP(D9, RiskMatrix, 2, FALSE) +
    VLOOKUP(D11, RiskMatrix, 3, FALSE) * VLOOKUP(D11, RiskMatrix, 2, FALSE) +
    VLOOKUP(D13, RiskMatrix, 3, FALSE) * VLOOKUP(D13, RiskMatrix, 2, FALSE) +
    VLOOKUP(D15, RiskMatrix, 3, FALSE) * VLOOKUP(D15, RiskMatrix, 2, FALSE) +
    VLOOKUP(D17, RiskMatrix, 3, FALSE) * VLOOKUP(D17, RiskMatrix, 2, FALSE),
    2),"-")</f>
        <v>-</v>
      </c>
    </row>
    <row r="22" spans="2:7" ht="21.75" customHeight="1" x14ac:dyDescent="0.25">
      <c r="D22" s="27" t="s">
        <v>844</v>
      </c>
    </row>
    <row r="23" spans="2:7" x14ac:dyDescent="0.25"/>
    <row r="24" spans="2:7" x14ac:dyDescent="0.25"/>
    <row r="25" spans="2:7" x14ac:dyDescent="0.25"/>
    <row r="26" spans="2:7" s="74" customFormat="1" ht="29.25" customHeight="1" x14ac:dyDescent="0.2">
      <c r="E26" s="89"/>
      <c r="G26" s="90"/>
    </row>
  </sheetData>
  <dataValidations count="4">
    <dataValidation type="list" allowBlank="1" showInputMessage="1" showErrorMessage="1" sqref="D9" xr:uid="{6FBA312B-334A-4A08-9187-F9727EECFB83}">
      <formula1>Industries</formula1>
    </dataValidation>
    <dataValidation type="list" allowBlank="1" showInputMessage="1" showErrorMessage="1" sqref="D11" xr:uid="{077B01E6-FEAD-4F6E-BA0B-FD2CE873BAC1}">
      <formula1>OrgSizes</formula1>
    </dataValidation>
    <dataValidation type="list" allowBlank="1" showInputMessage="1" showErrorMessage="1" sqref="D13" xr:uid="{C6A74CA2-01CA-4A62-8F71-AB0B81B8DA18}">
      <formula1>GeoScope</formula1>
    </dataValidation>
    <dataValidation type="list" allowBlank="1" showInputMessage="1" showErrorMessage="1" sqref="D17" xr:uid="{F5598E3E-A0D1-4EDE-8614-FA323C42A9D7}">
      <formula1>RegulatoryReqs</formula1>
    </dataValidation>
  </dataValidations>
  <pageMargins left="0.7" right="0.7" top="0.75" bottom="0.75" header="0.3" footer="0.3"/>
  <pageSetup orientation="portrait" horizontalDpi="4294967293"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CFA758C-1D71-4454-BA8E-F6BD8C5C1804}">
          <x14:formula1>
            <xm:f>Data!$I$2:$I$5</xm:f>
          </x14:formula1>
          <xm:sqref>D15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38187-34A1-4C63-BC7B-FADF86495A19}">
  <sheetPr codeName="Sheet2">
    <tabColor theme="5" tint="0.39997558519241921"/>
    <outlinePr summaryBelow="0" summaryRight="0"/>
  </sheetPr>
  <dimension ref="A1:XFC714"/>
  <sheetViews>
    <sheetView showGridLines="0" zoomScale="110" zoomScaleNormal="110" workbookViewId="0">
      <selection activeCell="O177" sqref="O177"/>
    </sheetView>
  </sheetViews>
  <sheetFormatPr baseColWidth="10" defaultColWidth="0" defaultRowHeight="14" zeroHeight="1" outlineLevelRow="3" x14ac:dyDescent="0.2"/>
  <cols>
    <col min="1" max="1" width="2.83203125" style="14" customWidth="1"/>
    <col min="2" max="2" width="2" style="14" customWidth="1"/>
    <col min="3" max="3" width="9" style="14" customWidth="1"/>
    <col min="4" max="4" width="2.83203125" style="14" customWidth="1"/>
    <col min="5" max="5" width="83.16406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x14ac:dyDescent="0.2">
      <c r="D3" s="59" t="s">
        <v>183</v>
      </c>
    </row>
    <row r="4" spans="1:35" ht="19.5" customHeight="1" x14ac:dyDescent="0.2">
      <c r="A4" s="209" t="s">
        <v>845</v>
      </c>
      <c r="B4" s="209"/>
      <c r="C4" s="209"/>
      <c r="D4" s="211" t="s">
        <v>861</v>
      </c>
      <c r="E4" s="211"/>
      <c r="J4" s="40"/>
      <c r="L4" s="213" t="str">
        <f>D4</f>
        <v xml:space="preserve">Critical Vulnerability Identification </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Asset Discovery &amp; Classification</v>
      </c>
      <c r="C6" s="35"/>
      <c r="D6" s="35"/>
      <c r="E6" s="36"/>
      <c r="F6" s="14">
        <f>MATCH(_xlfn.CONCAT(D3,"_",A6),Data!$V$3:$V$14)</f>
        <v>1</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Asset Discovery &amp; Classification
score</v>
      </c>
      <c r="N8" s="212" t="str">
        <f>_xlfn.CONCAT(B6, CHAR(10), "weighted score")</f>
        <v>Asset Discovery &amp; Classification
weighted score</v>
      </c>
    </row>
    <row r="9" spans="1:35" ht="29.25" customHeight="1" outlineLevel="2" thickBot="1" x14ac:dyDescent="0.25">
      <c r="A9" s="92"/>
      <c r="B9" s="53"/>
      <c r="C9" s="54" t="s">
        <v>168</v>
      </c>
      <c r="D9" s="55">
        <v>1</v>
      </c>
      <c r="E9" s="76" t="str">
        <f>VLOOKUP(D9,QuestionList,6,FALSE)</f>
        <v>How does your organization identify cryptographic assets?</v>
      </c>
      <c r="G9" s="56"/>
      <c r="I9" s="77" t="str">
        <f>IFERROR(
IF(G9="","",INT(LEFT(G9,1))),"")</f>
        <v/>
      </c>
      <c r="J9" s="53"/>
      <c r="K9" s="48"/>
      <c r="L9" s="212"/>
      <c r="M9" s="48"/>
      <c r="N9" s="212"/>
      <c r="O9" s="48"/>
      <c r="P9" s="48"/>
      <c r="Q9" s="48"/>
      <c r="R9" s="48"/>
      <c r="S9" s="48"/>
      <c r="T9" s="57"/>
    </row>
    <row r="10" spans="1:35" ht="61" outlineLevel="3" thickTop="1" x14ac:dyDescent="0.2">
      <c r="A10" s="92"/>
      <c r="C10" s="58"/>
      <c r="D10" s="59"/>
      <c r="E10" s="60" t="str">
        <f>VLOOKUP(D9,QuestionList,7,FALSE)</f>
        <v>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v>
      </c>
      <c r="L10" s="61"/>
    </row>
    <row r="11" spans="1:35" ht="18" customHeight="1" outlineLevel="3" x14ac:dyDescent="0.2">
      <c r="A11" s="92"/>
      <c r="C11" s="58"/>
      <c r="D11" s="59"/>
      <c r="E11" s="45" t="s">
        <v>169</v>
      </c>
      <c r="F11" s="48"/>
      <c r="G11" s="62"/>
      <c r="L11" s="61"/>
    </row>
    <row r="12" spans="1:35" ht="75" outlineLevel="3" x14ac:dyDescent="0.2">
      <c r="A12" s="92"/>
      <c r="C12" s="58"/>
      <c r="D12" s="59"/>
      <c r="E12" s="187" t="str">
        <f>VLOOKUP(D9,QuestionList,12,FALSE)</f>
        <v>•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2</v>
      </c>
      <c r="E14" s="76" t="str">
        <f>VLOOKUP(D14,QuestionList,6,FALSE)</f>
        <v>How does your organization document cryptographic assets?</v>
      </c>
      <c r="G14" s="56"/>
      <c r="I14" s="77" t="str">
        <f>IFERROR(
IF(G14="","",INT(LEFT(G14,1))),"")</f>
        <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how systematically you document identified cryptographic assets, including the level of detail captured (algorithms, key sizes, expiration dates) and how this information is maintained.</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v>
      </c>
      <c r="E19" s="76" t="str">
        <f>VLOOKUP(D19,QuestionList,6,FALSE)</f>
        <v>How does your organization govern cryptographic asset ownership and accountability?</v>
      </c>
      <c r="G19" s="56"/>
      <c r="I19" s="77" t="str">
        <f>IFERROR(
IF(G19="","",INT(LEFT(G19,1))),"")</f>
        <v/>
      </c>
      <c r="J19" s="53"/>
      <c r="K19" s="48"/>
      <c r="M19" s="48"/>
      <c r="N19" s="48"/>
      <c r="O19" s="48"/>
      <c r="P19" s="48"/>
      <c r="Q19" s="48"/>
      <c r="R19" s="48"/>
      <c r="S19" s="48"/>
      <c r="T19" s="57"/>
    </row>
    <row r="20" spans="1:20" ht="46" outlineLevel="3" thickTop="1" x14ac:dyDescent="0.2">
      <c r="A20" s="92"/>
      <c r="C20" s="58"/>
      <c r="D20" s="59"/>
      <c r="E20" s="60" t="str">
        <f>VLOOKUP(D19,QuestionList,7,FALSE)</f>
        <v>This examines whether your organization has clear, enforceable ownership of cryptographic assets—ensuring someone is responsible for maintaining inventory accuracy, supporting migration planning, and responding to vulnerabilities across all systems and environments.</v>
      </c>
      <c r="L20" s="61"/>
    </row>
    <row r="21" spans="1:20" ht="18" customHeight="1" outlineLevel="3" x14ac:dyDescent="0.2">
      <c r="A21" s="92"/>
      <c r="C21" s="58"/>
      <c r="D21" s="59"/>
      <c r="E21" s="45" t="s">
        <v>169</v>
      </c>
      <c r="G21" s="62"/>
      <c r="L21" s="61"/>
    </row>
    <row r="22" spans="1:20" ht="60" outlineLevel="3" x14ac:dyDescent="0.2">
      <c r="A22" s="92"/>
      <c r="C22" s="58"/>
      <c r="D22" s="59"/>
      <c r="E22" s="187" t="str">
        <f>VLOOKUP(D19,QuestionList,12,FALSE)</f>
        <v>•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4</v>
      </c>
      <c r="E24" s="76" t="str">
        <f>VLOOKUP(D24,QuestionList,6,FALSE)</f>
        <v>How does your organization validate cryptographic asset inventory completeness?</v>
      </c>
      <c r="G24" s="56"/>
      <c r="I24" s="77" t="str">
        <f>IFERROR(
IF(G24="","",INT(LEFT(G24,1))),"")</f>
        <v/>
      </c>
      <c r="J24" s="53"/>
      <c r="K24" s="48"/>
      <c r="M24" s="48"/>
      <c r="N24" s="48"/>
      <c r="O24" s="48"/>
      <c r="P24" s="48"/>
      <c r="Q24" s="48"/>
      <c r="R24" s="48"/>
      <c r="S24" s="48"/>
      <c r="T24" s="57"/>
    </row>
    <row r="25" spans="1:20" ht="31" outlineLevel="3" thickTop="1" x14ac:dyDescent="0.2">
      <c r="A25" s="92"/>
      <c r="C25" s="58"/>
      <c r="D25" s="59"/>
      <c r="E25" s="60" t="str">
        <f>VLOOKUP(D24,QuestionList,7,FALSE)</f>
        <v>This examines how you ensure your cryptographic asset inventory is accurate and comprehensive, without significant gaps or outdated information about algorithms, key sizes, or implementations.</v>
      </c>
      <c r="L25" s="61"/>
    </row>
    <row r="26" spans="1:20" ht="18" customHeight="1" outlineLevel="3" x14ac:dyDescent="0.2">
      <c r="A26" s="92"/>
      <c r="C26" s="58"/>
      <c r="D26" s="59"/>
      <c r="E26" s="45" t="s">
        <v>169</v>
      </c>
      <c r="G26" s="62"/>
      <c r="L26" s="61"/>
    </row>
    <row r="27" spans="1:20" ht="75" outlineLevel="3" x14ac:dyDescent="0.2">
      <c r="A27" s="92"/>
      <c r="C27" s="58"/>
      <c r="D27" s="59"/>
      <c r="E27" s="187" t="str">
        <f>VLOOKUP(D24,QuestionList,12,FALSE)</f>
        <v>•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v>
      </c>
      <c r="G27" s="63"/>
      <c r="L27" s="61"/>
    </row>
    <row r="28" spans="1:20" ht="7.5" customHeight="1" outlineLevel="2" x14ac:dyDescent="0.2">
      <c r="A28" s="92"/>
      <c r="C28" s="64"/>
      <c r="D28" s="59"/>
      <c r="E28" s="52"/>
    </row>
    <row r="29" spans="1:20" ht="16" outlineLevel="2" thickBot="1" x14ac:dyDescent="0.25">
      <c r="A29" s="92"/>
      <c r="B29" s="53"/>
      <c r="C29" s="54" t="s">
        <v>173</v>
      </c>
      <c r="D29" s="55">
        <f>D24+1</f>
        <v>5</v>
      </c>
      <c r="E29" s="76" t="str">
        <f>VLOOKUP(D29,QuestionList,6,FALSE)</f>
        <v>How does your organization ensure cryptographic visibility across third-party and cloud systems?</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v>
      </c>
      <c r="E37" s="76" t="str">
        <f>VLOOKUP(D37,QuestionList,6,FALSE)</f>
        <v>How is cryptographic asset inventory data used for strategic planning?</v>
      </c>
      <c r="G37" s="56"/>
      <c r="I37" s="77" t="str">
        <f>IFERROR(
IF(G37="","",INT(LEFT(G37,1))),"")</f>
        <v/>
      </c>
      <c r="J37" s="53"/>
      <c r="K37" s="48"/>
      <c r="L37" s="48"/>
      <c r="M37" s="48"/>
      <c r="N37" s="48"/>
      <c r="O37" s="48"/>
      <c r="P37" s="48"/>
      <c r="Q37" s="48"/>
      <c r="R37" s="48"/>
      <c r="S37" s="48"/>
      <c r="T37" s="57"/>
    </row>
    <row r="38" spans="1:20" ht="31" outlineLevel="3" thickTop="1" x14ac:dyDescent="0.2">
      <c r="A38" s="92"/>
      <c r="C38" s="58"/>
      <c r="D38" s="59"/>
      <c r="E38" s="60" t="str">
        <f>VLOOKUP(D37,QuestionList,7,FALSE)</f>
        <v>This examines whether and how cryptographic asset information influences organizational security planning and resource allocation for quantum readiness.</v>
      </c>
      <c r="L38" s="48"/>
    </row>
    <row r="39" spans="1:20" ht="18" customHeight="1" outlineLevel="3" x14ac:dyDescent="0.2">
      <c r="A39" s="92"/>
      <c r="C39" s="58"/>
      <c r="D39" s="59"/>
      <c r="E39" s="45" t="s">
        <v>169</v>
      </c>
      <c r="F39" s="48"/>
      <c r="G39" s="62"/>
      <c r="L39" s="61"/>
    </row>
    <row r="40" spans="1:20" ht="75" outlineLevel="3" x14ac:dyDescent="0.2">
      <c r="A40" s="92"/>
      <c r="C40" s="58"/>
      <c r="D40" s="59"/>
      <c r="E40" s="187" t="str">
        <f>VLOOKUP(D37,QuestionList,12,FALSE)</f>
        <v>•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7</v>
      </c>
      <c r="E42" s="76" t="str">
        <f>VLOOKUP(D42,QuestionList,6,FALSE)</f>
        <v>How are cryptographic assets prioritized for quantum-resistance upgrades?</v>
      </c>
      <c r="G42" s="56"/>
      <c r="I42" s="77" t="str">
        <f>IFERROR(
IF(G42="","",INT(LEFT(G42,1))),"")</f>
        <v/>
      </c>
      <c r="J42" s="53"/>
      <c r="K42" s="48"/>
      <c r="M42" s="48"/>
      <c r="N42" s="48"/>
      <c r="O42" s="48"/>
      <c r="P42" s="48"/>
      <c r="Q42" s="48"/>
      <c r="R42" s="48"/>
      <c r="S42" s="48"/>
      <c r="T42" s="57"/>
    </row>
    <row r="43" spans="1:20" ht="31" outlineLevel="3" thickTop="1" x14ac:dyDescent="0.2">
      <c r="A43" s="92"/>
      <c r="C43" s="58"/>
      <c r="D43" s="59"/>
      <c r="E43" s="60" t="str">
        <f>VLOOKUP(D42,QuestionList,7,FALSE)</f>
        <v>This examines how you determine which cryptographic assets should be addressed first in your quantum readiness efforts, based on vulnerability, importance, and other factors.</v>
      </c>
      <c r="L43" s="61"/>
    </row>
    <row r="44" spans="1:20" ht="18" customHeight="1" outlineLevel="3" x14ac:dyDescent="0.2">
      <c r="A44" s="92"/>
      <c r="C44" s="58"/>
      <c r="D44" s="59"/>
      <c r="E44" s="45" t="s">
        <v>169</v>
      </c>
      <c r="G44" s="62"/>
      <c r="L44" s="61"/>
    </row>
    <row r="45" spans="1:20" ht="60" outlineLevel="3" x14ac:dyDescent="0.2">
      <c r="A45" s="92"/>
      <c r="C45" s="58"/>
      <c r="D45" s="59"/>
      <c r="E45" s="187" t="str">
        <f>VLOOKUP(D42,QuestionList,12,FALSE)</f>
        <v>•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8</v>
      </c>
      <c r="E47" s="76" t="str">
        <f>VLOOKUP(D47,QuestionList,6,FALSE)</f>
        <v>How is cryptographic asset inventory maintained over time?</v>
      </c>
      <c r="G47" s="56"/>
      <c r="I47" s="77" t="str">
        <f>IFERROR(
IF(G47="","",INT(LEFT(G47,1))),"")</f>
        <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processes for keeping cryptographic asset inventory information current as systems change, certificates are renewed, and new applications are deployed.</v>
      </c>
      <c r="L48" s="61"/>
    </row>
    <row r="49" spans="1:20" ht="18" customHeight="1" outlineLevel="3" x14ac:dyDescent="0.2">
      <c r="A49" s="92"/>
      <c r="C49" s="58"/>
      <c r="D49" s="59"/>
      <c r="E49" s="45" t="s">
        <v>169</v>
      </c>
      <c r="G49" s="62"/>
      <c r="L49" s="61"/>
    </row>
    <row r="50" spans="1:20" ht="60" outlineLevel="3" x14ac:dyDescent="0.2">
      <c r="A50" s="92"/>
      <c r="C50" s="58"/>
      <c r="D50" s="59"/>
      <c r="E50" s="187" t="str">
        <f>VLOOKUP(D47,QuestionList,12,FALSE)</f>
        <v>•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v>
      </c>
      <c r="G50" s="63"/>
      <c r="I50" s="189"/>
      <c r="L50" s="61"/>
    </row>
    <row r="51" spans="1:20" ht="7.5" customHeight="1" outlineLevel="2" x14ac:dyDescent="0.2">
      <c r="A51" s="92"/>
      <c r="C51" s="64"/>
      <c r="D51" s="59"/>
      <c r="E51" s="52"/>
    </row>
    <row r="52" spans="1:20" ht="29.25" customHeight="1" outlineLevel="2" thickBot="1" x14ac:dyDescent="0.25">
      <c r="A52" s="92"/>
      <c r="B52" s="53"/>
      <c r="C52" s="54" t="s">
        <v>172</v>
      </c>
      <c r="D52" s="55">
        <f>D24+5</f>
        <v>9</v>
      </c>
      <c r="E52" s="76" t="str">
        <f>VLOOKUP(D52,QuestionList,6,FALSE)</f>
        <v>How does your organization include IoT and embedded devices in its cryptographic inventory and quantum readiness planning?</v>
      </c>
      <c r="G52" s="56"/>
      <c r="I52" s="77" t="str">
        <f>IFERROR(
IF(G52="","",INT(LEFT(G52,1))),"")</f>
        <v/>
      </c>
      <c r="J52" s="53"/>
      <c r="K52" s="48"/>
      <c r="M52" s="48"/>
      <c r="N52" s="48"/>
      <c r="O52" s="48"/>
      <c r="P52" s="48"/>
      <c r="Q52" s="48"/>
      <c r="R52" s="48"/>
      <c r="S52" s="48"/>
      <c r="T52" s="57"/>
    </row>
    <row r="53" spans="1:20" ht="31" outlineLevel="3" thickTop="1" x14ac:dyDescent="0.2">
      <c r="A53" s="92"/>
      <c r="C53" s="58"/>
      <c r="D53" s="59"/>
      <c r="E53" s="60" t="str">
        <f>VLOOKUP(D52,QuestionList,7,FALSE)</f>
        <v>This evaluates whether and how your organization identifies and manages cryptographic implementations in IoT and embedded devices—systems that often rely on hardcoded, legacy, or constrained cryptography.</v>
      </c>
      <c r="L53" s="61"/>
    </row>
    <row r="54" spans="1:20" ht="18" customHeight="1" outlineLevel="3" x14ac:dyDescent="0.2">
      <c r="A54" s="92"/>
      <c r="C54" s="58"/>
      <c r="D54" s="59"/>
      <c r="E54" s="45" t="s">
        <v>169</v>
      </c>
      <c r="G54" s="62"/>
      <c r="L54" s="61"/>
    </row>
    <row r="55" spans="1:20" ht="75" outlineLevel="3" x14ac:dyDescent="0.2">
      <c r="A55" s="92"/>
      <c r="C55" s="58"/>
      <c r="D55" s="59"/>
      <c r="E55" s="187" t="str">
        <f>VLOOKUP(D52,QuestionList,12,FALSE)</f>
        <v>•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10</v>
      </c>
      <c r="E57" s="76" t="str">
        <f>VLOOKUP(D57,QuestionList,6,FALSE)</f>
        <v>How does your organization stay informed about quantum computing and cryptanalysis advancements?</v>
      </c>
      <c r="G57" s="56"/>
      <c r="I57" s="77" t="str">
        <f>IFERROR(
IF(G57="","",INT(LEFT(G57,1))),"")</f>
        <v/>
      </c>
      <c r="J57" s="53"/>
      <c r="K57" s="48"/>
      <c r="M57" s="48"/>
      <c r="N57" s="48"/>
      <c r="O57" s="48"/>
      <c r="P57" s="48"/>
      <c r="Q57" s="48"/>
      <c r="R57" s="48"/>
      <c r="S57" s="48"/>
      <c r="T57" s="57"/>
    </row>
    <row r="58" spans="1:20" ht="61" outlineLevel="3" thickTop="1" x14ac:dyDescent="0.2">
      <c r="A58" s="92"/>
      <c r="C58" s="65"/>
      <c r="D58" s="59"/>
      <c r="E58" s="60" t="str">
        <f>VLOOKUP(D57,QuestionList,7,FALSE)</f>
        <v>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Vulnerability Scanning &amp; Analysis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Vulnerability Scanning &amp; Analysis
score</v>
      </c>
      <c r="N65" s="212" t="str">
        <f>_xlfn.CONCAT(B63, CHAR(10), "weighted score")</f>
        <v>Vulnerability Scanning &amp; Analysis
weighted score</v>
      </c>
      <c r="O65" s="61"/>
    </row>
    <row r="66" spans="1:20" ht="29.25" customHeight="1" outlineLevel="2" thickBot="1" x14ac:dyDescent="0.25">
      <c r="A66" s="92"/>
      <c r="B66" s="53"/>
      <c r="C66" s="54" t="s">
        <v>168</v>
      </c>
      <c r="D66" s="55">
        <f>D37+5</f>
        <v>11</v>
      </c>
      <c r="E66" s="76" t="str">
        <f>VLOOKUP(D66,QuestionList,6,FALSE)</f>
        <v>How does your organization assess quantum vulnerability of cryptographic assets?</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approach to evaluating how susceptible your cryptographic implementations are to quantum attacks (the weaknesses in the cryptography) based on algorithm types, key sizes, and implementation details.</v>
      </c>
      <c r="L67" s="61"/>
      <c r="M67" s="61"/>
      <c r="N67" s="61"/>
      <c r="O67" s="61"/>
    </row>
    <row r="68" spans="1:20" ht="18" customHeight="1" outlineLevel="3" x14ac:dyDescent="0.2">
      <c r="A68" s="92"/>
      <c r="C68" s="58"/>
      <c r="D68" s="59"/>
      <c r="E68" s="45" t="s">
        <v>169</v>
      </c>
      <c r="F68" s="48"/>
      <c r="G68" s="62"/>
      <c r="L68" s="61"/>
      <c r="M68" s="61"/>
      <c r="N68" s="61"/>
      <c r="O68" s="61"/>
    </row>
    <row r="69" spans="1:20" ht="75" outlineLevel="3" x14ac:dyDescent="0.2">
      <c r="A69" s="92"/>
      <c r="C69" s="58"/>
      <c r="D69" s="59"/>
      <c r="E69" s="187" t="str">
        <f>VLOOKUP(D66,QuestionList,12,FALSE)</f>
        <v>•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12</v>
      </c>
      <c r="E71" s="76" t="str">
        <f>VLOOKUP(D71,QuestionList,6,FALSE)</f>
        <v>How does your organization classify quantum vulnerability severity?</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evaluates how your organization prioritizes the urgency of addressing quantum vulnerabilities by considering factors such as key establishment vs digital signatures, algorithm, key size, implementation context, data exposure, and the long-term sensitivity of protected data.</v>
      </c>
      <c r="L72" s="61"/>
    </row>
    <row r="73" spans="1:20" ht="18" customHeight="1" outlineLevel="3" x14ac:dyDescent="0.2">
      <c r="A73" s="92"/>
      <c r="C73" s="58"/>
      <c r="D73" s="59"/>
      <c r="E73" s="45" t="s">
        <v>169</v>
      </c>
      <c r="G73" s="62"/>
      <c r="L73" s="61"/>
    </row>
    <row r="74" spans="1:20" ht="60" outlineLevel="3" x14ac:dyDescent="0.2">
      <c r="A74" s="92"/>
      <c r="C74" s="58"/>
      <c r="D74" s="59"/>
      <c r="E74" s="187" t="str">
        <f>VLOOKUP(D71,QuestionList,12,FALSE)</f>
        <v>•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13</v>
      </c>
      <c r="E76" s="76" t="str">
        <f>VLOOKUP(D76,QuestionList,6,FALSE)</f>
        <v>How does your organization validate vulnerability findings?</v>
      </c>
      <c r="G76" s="56"/>
      <c r="I76" s="77" t="str">
        <f>IFERROR(
IF(G76="","",INT(LEFT(G76,1))),"")</f>
        <v/>
      </c>
      <c r="J76" s="53"/>
      <c r="K76" s="48"/>
      <c r="M76" s="48"/>
      <c r="N76" s="48"/>
      <c r="O76" s="48"/>
      <c r="P76" s="48"/>
      <c r="Q76" s="48"/>
      <c r="R76" s="48"/>
      <c r="S76" s="48"/>
      <c r="T76" s="57"/>
    </row>
    <row r="77" spans="1:20" ht="31" outlineLevel="3" thickTop="1" x14ac:dyDescent="0.2">
      <c r="A77" s="92"/>
      <c r="C77" s="58"/>
      <c r="D77" s="59"/>
      <c r="E77" s="60" t="str">
        <f>VLOOKUP(D76,QuestionList,7,FALSE)</f>
        <v>This examines your approach to verifying that identified cryptographic vulnerabilities are accurate and properly characterized in terms of algorithm types, key sizes, and implementation details.</v>
      </c>
      <c r="L77" s="61"/>
    </row>
    <row r="78" spans="1:20" ht="18" customHeight="1" outlineLevel="3" x14ac:dyDescent="0.2">
      <c r="A78" s="92"/>
      <c r="C78" s="58"/>
      <c r="D78" s="59"/>
      <c r="E78" s="45" t="s">
        <v>169</v>
      </c>
      <c r="G78" s="62"/>
      <c r="L78" s="61"/>
    </row>
    <row r="79" spans="1:20" ht="75" outlineLevel="3" x14ac:dyDescent="0.2">
      <c r="A79" s="92"/>
      <c r="C79" s="58"/>
      <c r="D79" s="59"/>
      <c r="E79" s="187" t="str">
        <f>VLOOKUP(D76,QuestionList,12,FALSE)</f>
        <v>•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14</v>
      </c>
      <c r="E81" s="76" t="str">
        <f>VLOOKUP(D81,QuestionList,6,FALSE)</f>
        <v>How does your organization integrate emerging quantum threats into planning and strategy?</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evaluates how your organization uses insights from quantum computing and cryptanalysis developments to shape cryptographic roadmaps, prioritize asset upgrades, and inform long-term risk mitigation strategies.</v>
      </c>
      <c r="L82" s="61"/>
    </row>
    <row r="83" spans="1:20" ht="18" customHeight="1" outlineLevel="3" x14ac:dyDescent="0.2">
      <c r="A83" s="92"/>
      <c r="C83" s="58"/>
      <c r="D83" s="59"/>
      <c r="E83" s="45" t="s">
        <v>169</v>
      </c>
      <c r="G83" s="62"/>
      <c r="L83" s="61"/>
    </row>
    <row r="84" spans="1:20" ht="60" outlineLevel="3" x14ac:dyDescent="0.2">
      <c r="A84" s="92"/>
      <c r="C84" s="58"/>
      <c r="D84" s="59"/>
      <c r="E84" s="187" t="str">
        <f>VLOOKUP(D81,QuestionList,12,FALSE)</f>
        <v>•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15</v>
      </c>
      <c r="E86" s="76" t="str">
        <f>VLOOKUP(D86,QuestionList,6,FALSE)</f>
        <v>How does your organization contribute to (quantum) cryptanalysis and mitigation research?</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role in advancing the broader field of classical and post-quantum cryptographic research—such as algorithm analysis, vulnerability assessment, and mitigation strategies—through collaboration, knowledge sharing, or original research.</v>
      </c>
      <c r="L87" s="61"/>
    </row>
    <row r="88" spans="1:20" ht="18" customHeight="1" outlineLevel="3" x14ac:dyDescent="0.2">
      <c r="A88" s="92"/>
      <c r="C88" s="65"/>
      <c r="D88" s="59"/>
      <c r="E88" s="45" t="s">
        <v>169</v>
      </c>
      <c r="G88" s="62"/>
      <c r="L88" s="61"/>
    </row>
    <row r="89" spans="1:20" ht="75" outlineLevel="3" x14ac:dyDescent="0.2">
      <c r="A89" s="92"/>
      <c r="C89" s="65"/>
      <c r="D89" s="59"/>
      <c r="E89" s="187" t="str">
        <f>VLOOKUP(D86,QuestionList,12,FALSE)</f>
        <v>•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16</v>
      </c>
      <c r="E94" s="76" t="str">
        <f>VLOOKUP(D94,QuestionList,6,FALSE)</f>
        <v>How are vulnerability findings communicated to stakeholders?</v>
      </c>
      <c r="G94" s="56"/>
      <c r="I94" s="77" t="str">
        <f>IFERROR(
IF(G94="","",INT(LEFT(G94,1))),"")</f>
        <v/>
      </c>
      <c r="J94" s="53"/>
      <c r="K94" s="48"/>
      <c r="L94" s="48"/>
      <c r="M94" s="48"/>
      <c r="N94" s="48"/>
      <c r="O94" s="48"/>
      <c r="P94" s="48"/>
      <c r="Q94" s="48"/>
      <c r="R94" s="48"/>
      <c r="S94" s="48"/>
      <c r="T94" s="57"/>
    </row>
    <row r="95" spans="1:20" ht="31" outlineLevel="3" thickTop="1" x14ac:dyDescent="0.2">
      <c r="A95" s="92"/>
      <c r="C95" s="58"/>
      <c r="D95" s="59"/>
      <c r="E95" s="60" t="str">
        <f>VLOOKUP(D94,QuestionList,7,FALSE)</f>
        <v>This assesses how effectively your organization shares information about quantum-related cryptographic vulnerabilities with relevant internal stakeholders—including technical teams, system owners, and executives.</v>
      </c>
      <c r="L95" s="48"/>
    </row>
    <row r="96" spans="1:20" ht="18" customHeight="1" outlineLevel="3" x14ac:dyDescent="0.2">
      <c r="A96" s="92"/>
      <c r="C96" s="58"/>
      <c r="D96" s="59"/>
      <c r="E96" s="45" t="s">
        <v>169</v>
      </c>
      <c r="F96" s="48"/>
      <c r="G96" s="62"/>
      <c r="L96" s="61"/>
    </row>
    <row r="97" spans="1:20" ht="74" customHeight="1" outlineLevel="3" x14ac:dyDescent="0.2">
      <c r="A97" s="92"/>
      <c r="C97" s="58"/>
      <c r="D97" s="59"/>
      <c r="E97" s="187" t="str">
        <f>VLOOKUP(D94,QuestionList,12,FALSE)</f>
        <v>•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v>
      </c>
      <c r="G97" s="63"/>
      <c r="L97" s="61"/>
    </row>
    <row r="98" spans="1:20" outlineLevel="2" x14ac:dyDescent="0.2">
      <c r="A98" s="92"/>
      <c r="C98" s="64"/>
      <c r="D98" s="59"/>
      <c r="E98" s="52"/>
    </row>
    <row r="99" spans="1:20" ht="29.25" customHeight="1" outlineLevel="2" thickBot="1" x14ac:dyDescent="0.25">
      <c r="A99" s="92"/>
      <c r="B99" s="53"/>
      <c r="C99" s="54" t="s">
        <v>170</v>
      </c>
      <c r="D99" s="55">
        <f>D71+5</f>
        <v>17</v>
      </c>
      <c r="E99" s="76" t="str">
        <f>VLOOKUP(D99,QuestionList,6,FALSE)</f>
        <v>How does your organization assess the quantum vulnerability of cryptographic mechanisms used for data authenticity and long-term integrity?</v>
      </c>
      <c r="G99" s="56"/>
      <c r="I99" s="77" t="str">
        <f>IFERROR(
IF(G99="","",INT(LEFT(G99,1))),"")</f>
        <v/>
      </c>
      <c r="J99" s="53"/>
      <c r="K99" s="48"/>
      <c r="M99" s="48"/>
      <c r="N99" s="48"/>
      <c r="O99" s="48"/>
      <c r="P99" s="48"/>
      <c r="Q99" s="48"/>
      <c r="R99" s="48"/>
      <c r="S99" s="48"/>
      <c r="T99" s="57"/>
    </row>
    <row r="100" spans="1:20" ht="31" outlineLevel="3" thickTop="1" x14ac:dyDescent="0.2">
      <c r="A100" s="92"/>
      <c r="C100" s="58"/>
      <c r="D100" s="59"/>
      <c r="E100" s="60" t="str">
        <f>VLOOKUP(D99,QuestionList,7,FALSE)</f>
        <v>This examines whether your organization evaluates the post-quantum risks to digital signatures and message authentication mechanisms used to verify authenticity and protect the integrity of data over time.</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18</v>
      </c>
      <c r="E104" s="76" t="str">
        <f>VLOOKUP(D104,QuestionList,6,FALSE)</f>
        <v>How does your organization validate the correctness and secure configuration of deployed cryptographic implementations?</v>
      </c>
      <c r="G104" s="56"/>
      <c r="I104" s="77" t="str">
        <f>IFERROR(
IF(G104="","",INT(LEFT(G104,1))),"")</f>
        <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assesses whether your organization verifies that deployed cryptographic functions are implemented according to specifications, use secure parameters (e.g., key sizes, cipher modes), and conform to standards.</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19</v>
      </c>
      <c r="E109" s="76" t="str">
        <f>VLOOKUP(D109,QuestionList,6,FALSE)</f>
        <v>How does your organization assess trends in cryptographic vulnerabilities over time?</v>
      </c>
      <c r="G109" s="56"/>
      <c r="I109" s="77" t="str">
        <f>IFERROR(
IF(G109="","",INT(LEFT(G109,1))),"")</f>
        <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whether your organization tracks how cryptographic vulnerabilities evolve due to system changes, algorithm deprecation, or quantum computing progress—and whether this information is used to monitor readiness and guide remediation priorities.</v>
      </c>
      <c r="L110" s="61"/>
    </row>
    <row r="111" spans="1:20" ht="18" customHeight="1" outlineLevel="3" x14ac:dyDescent="0.2">
      <c r="A111" s="92"/>
      <c r="C111" s="58"/>
      <c r="D111" s="59"/>
      <c r="E111" s="45" t="s">
        <v>169</v>
      </c>
      <c r="G111" s="62"/>
      <c r="L111" s="61"/>
    </row>
    <row r="112" spans="1:20" ht="60" outlineLevel="3" x14ac:dyDescent="0.2">
      <c r="A112" s="92"/>
      <c r="C112" s="58"/>
      <c r="D112" s="59"/>
      <c r="E112" s="187" t="str">
        <f>VLOOKUP(D109,QuestionList,12,FALSE)</f>
        <v>•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20</v>
      </c>
      <c r="E114" s="76" t="str">
        <f>VLOOKUP(D114,QuestionList,6,FALSE)</f>
        <v>How does your organization apply quantum vulnerability insights to improve cryptographic practices and standards?</v>
      </c>
      <c r="G114" s="56"/>
      <c r="I114" s="77" t="str">
        <f>IFERROR(
IF(G114="","",INT(LEFT(G114,1))),"")</f>
        <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how insights gained from quantum-focused cryptographic assessments—such as algorithm weaknesses, misconfigurations, or systemic gaps—are used to improve implementation practices, internal standards, and future decision-making.</v>
      </c>
      <c r="L115" s="61"/>
    </row>
    <row r="116" spans="1:20" ht="18" customHeight="1" outlineLevel="3" x14ac:dyDescent="0.2">
      <c r="A116" s="92"/>
      <c r="C116" s="65"/>
      <c r="D116" s="59"/>
      <c r="E116" s="45" t="s">
        <v>169</v>
      </c>
      <c r="G116" s="62"/>
      <c r="L116" s="61"/>
    </row>
    <row r="117" spans="1:20" ht="60" outlineLevel="3" x14ac:dyDescent="0.2">
      <c r="A117" s="92"/>
      <c r="C117" s="65"/>
      <c r="D117" s="59"/>
      <c r="E117" s="187" t="str">
        <f>VLOOKUP(D114,QuestionList,12,FALSE)</f>
        <v>•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Risk Prioritization &amp; Tracking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Risk Prioritization &amp; Tracking
score</v>
      </c>
      <c r="N122" s="212" t="str">
        <f>_xlfn.CONCAT(B120, CHAR(10), "weighted score")</f>
        <v>Risk Prioritization &amp; Tracking
weighted score</v>
      </c>
      <c r="O122" s="61"/>
    </row>
    <row r="123" spans="1:20" ht="29.25" customHeight="1" outlineLevel="2" thickBot="1" x14ac:dyDescent="0.25">
      <c r="A123" s="92"/>
      <c r="B123" s="53"/>
      <c r="C123" s="54" t="s">
        <v>168</v>
      </c>
      <c r="D123" s="55">
        <f>D94+5</f>
        <v>21</v>
      </c>
      <c r="E123" s="76" t="str">
        <f>VLOOKUP(D123,QuestionList,6,FALSE)</f>
        <v>How does your organization identify and map cryptographic dependencies across systems and services?</v>
      </c>
      <c r="G123" s="56"/>
      <c r="I123" s="77" t="str">
        <f>IFERROR(
IF(G123="","",INT(LEFT(G123,1))),"")</f>
        <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assesses your ability to discover and document how cryptographic implementations connect systems, applications, services, and devices—such as shared keys, certificates, protocols, or libraries.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60" outlineLevel="3" x14ac:dyDescent="0.2">
      <c r="A126" s="92"/>
      <c r="C126" s="58"/>
      <c r="D126" s="59"/>
      <c r="E126" s="187" t="str">
        <f>VLOOKUP(D123,QuestionList,12,FALSE)</f>
        <v>•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22</v>
      </c>
      <c r="E128" s="76" t="str">
        <f>VLOOKUP(D128,QuestionList,6,FALSE)</f>
        <v>How does your organization document and maintain cryptographic dependencies between systems and services?</v>
      </c>
      <c r="G128" s="56"/>
      <c r="I128" s="77" t="str">
        <f>IFERROR(
IF(G128="","",INT(LEFT(G128,1))),"")</f>
        <v/>
      </c>
      <c r="J128" s="53"/>
      <c r="K128" s="48"/>
      <c r="M128" s="48"/>
      <c r="N128" s="48"/>
      <c r="O128" s="48"/>
      <c r="P128" s="48"/>
      <c r="Q128" s="48"/>
      <c r="R128" s="48"/>
      <c r="S128" s="48"/>
      <c r="T128" s="57"/>
    </row>
    <row r="129" spans="1:20" ht="31" outlineLevel="3" thickTop="1" x14ac:dyDescent="0.2">
      <c r="A129" s="92"/>
      <c r="C129" s="58"/>
      <c r="D129" s="59"/>
      <c r="E129" s="60" t="str">
        <f>VLOOKUP(D128,QuestionList,7,FALSE)</f>
        <v>This examines whether and how your organization records cryptographic interdependencies—such as shared certificates, keys, protocols, or algorithm implementations—across systems, applications, and services.</v>
      </c>
      <c r="L129" s="61"/>
    </row>
    <row r="130" spans="1:20" ht="18" customHeight="1" outlineLevel="3" x14ac:dyDescent="0.2">
      <c r="A130" s="92"/>
      <c r="C130" s="58"/>
      <c r="D130" s="59"/>
      <c r="E130" s="45" t="s">
        <v>169</v>
      </c>
      <c r="G130" s="62"/>
      <c r="L130" s="61"/>
    </row>
    <row r="131" spans="1:20" ht="105" outlineLevel="3" x14ac:dyDescent="0.2">
      <c r="A131" s="92"/>
      <c r="C131" s="58"/>
      <c r="D131" s="59"/>
      <c r="E131" s="187" t="str">
        <f>VLOOKUP(D128,QuestionList,12,FALSE)</f>
        <v>•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23</v>
      </c>
      <c r="E133" s="76" t="str">
        <f>VLOOKUP(D133,QuestionList,6,FALSE)</f>
        <v>How does your organization analyze the impact of cryptographic changes across dependent systems and services?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organization performs impact analysis to understand how cryptographic changes—such as algorithm upgrades, key rotations, or certificate transitions—affect interconnected systems, services, and workflows.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24</v>
      </c>
      <c r="E138" s="76" t="str">
        <f>VLOOKUP(D138,QuestionList,6,FALSE)</f>
        <v>How does your organization validate the accuracy and completeness of cryptographic dependency mapping?</v>
      </c>
      <c r="G138" s="56"/>
      <c r="I138" s="77" t="str">
        <f>IFERROR(
IF(G138="","",INT(LEFT(G138,1))),"")</f>
        <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v>
      </c>
      <c r="L139" s="61"/>
    </row>
    <row r="140" spans="1:20" ht="18" customHeight="1" outlineLevel="3" x14ac:dyDescent="0.2">
      <c r="A140" s="92"/>
      <c r="C140" s="58"/>
      <c r="D140" s="59"/>
      <c r="E140" s="45" t="s">
        <v>169</v>
      </c>
      <c r="G140" s="62"/>
      <c r="L140" s="61"/>
    </row>
    <row r="141" spans="1:20" ht="75" outlineLevel="3" x14ac:dyDescent="0.2">
      <c r="A141" s="92"/>
      <c r="C141" s="58"/>
      <c r="D141" s="59"/>
      <c r="E141" s="187" t="str">
        <f>VLOOKUP(D138,QuestionList,12,FALSE)</f>
        <v>•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25</v>
      </c>
      <c r="E143" s="76" t="str">
        <f>VLOOKUP(D143,QuestionList,6,FALSE)</f>
        <v>How does your organization keep cryptographic dependency information current as systems evolve?</v>
      </c>
      <c r="G143" s="56"/>
      <c r="I143" s="77" t="str">
        <f>IFERROR(
IF(G143="","",INT(LEFT(G143,1))),"")</f>
        <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v>
      </c>
      <c r="L144" s="61"/>
    </row>
    <row r="145" spans="1:20" ht="18" customHeight="1" outlineLevel="3" x14ac:dyDescent="0.2">
      <c r="A145" s="92"/>
      <c r="C145" s="65"/>
      <c r="D145" s="59"/>
      <c r="E145" s="45" t="s">
        <v>169</v>
      </c>
      <c r="G145" s="62"/>
      <c r="L145" s="61"/>
    </row>
    <row r="146" spans="1:20" ht="90" outlineLevel="3" x14ac:dyDescent="0.2">
      <c r="A146" s="92"/>
      <c r="C146" s="65"/>
      <c r="D146" s="59"/>
      <c r="E146" s="187" t="str">
        <f>VLOOKUP(D143,QuestionList,12,FALSE)</f>
        <v>•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26</v>
      </c>
      <c r="E151" s="76" t="str">
        <f>VLOOKUP(D151,QuestionList,6,FALSE)</f>
        <v>How is cryptographic dependency information used to inform migration planning and operational risk management?</v>
      </c>
      <c r="G151" s="56"/>
      <c r="I151" s="77" t="str">
        <f>IFERROR(
IF(G151="","",INT(LEFT(G151,1))),"")</f>
        <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whether your organization uses knowledge of cryptographic interdependencies—such as shared certificates, protocol chains, or API relationships—to guide transition sequencing, prevent cascading failures, and prioritize mitigation efforts.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27</v>
      </c>
      <c r="E156" s="76" t="str">
        <f>VLOOKUP(D156,QuestionList,6,FALSE)</f>
        <v>How does your organization manage cryptographic dependencies in software build systems and code-signing infrastructure?</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28</v>
      </c>
      <c r="E161" s="76" t="str">
        <f>VLOOKUP(D161,QuestionList,6,FALSE)</f>
        <v>How does your organization assess cryptographic dependencies and transition constraints in operational technology (OT) and industrial control environments?</v>
      </c>
      <c r="G161" s="56"/>
      <c r="I161" s="77" t="str">
        <f>IFERROR(
IF(G161="","",INT(LEFT(G161,1))),"")</f>
        <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v>
      </c>
      <c r="L162" s="61"/>
    </row>
    <row r="163" spans="1:20" ht="18" customHeight="1" outlineLevel="3" x14ac:dyDescent="0.2">
      <c r="A163" s="92"/>
      <c r="C163" s="58"/>
      <c r="D163" s="59"/>
      <c r="E163" s="45" t="s">
        <v>169</v>
      </c>
      <c r="G163" s="62"/>
      <c r="L163" s="61"/>
    </row>
    <row r="164" spans="1:20" ht="105" outlineLevel="3" x14ac:dyDescent="0.2">
      <c r="A164" s="92"/>
      <c r="C164" s="58"/>
      <c r="D164" s="59"/>
      <c r="E164" s="187" t="str">
        <f>VLOOKUP(D161,QuestionList,12,FALSE)</f>
        <v>•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29</v>
      </c>
      <c r="E166" s="76" t="str">
        <f>VLOOKUP(D166,QuestionList,6,FALSE)</f>
        <v>How are cryptographic dependencies evaluated for architectural complexity and transition fragility?</v>
      </c>
      <c r="G166" s="56"/>
      <c r="I166" s="77" t="str">
        <f>IFERROR(
IF(G166="","",INT(LEFT(G166,1))),"")</f>
        <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assesses whether your organization evaluates how tightly coupled cryptographic components are across systems, and how susceptible the architecture is to cascading failures or upgrade bottlenecks during quantum-safe transitions.</v>
      </c>
      <c r="L167" s="61"/>
    </row>
    <row r="168" spans="1:20" ht="18" customHeight="1" outlineLevel="3" x14ac:dyDescent="0.2">
      <c r="A168" s="48"/>
      <c r="C168" s="58"/>
      <c r="D168" s="59"/>
      <c r="E168" s="45" t="s">
        <v>169</v>
      </c>
      <c r="G168" s="62"/>
      <c r="L168" s="61"/>
    </row>
    <row r="169" spans="1:20" ht="90" outlineLevel="3" x14ac:dyDescent="0.2">
      <c r="A169" s="48"/>
      <c r="C169" s="58"/>
      <c r="D169" s="59"/>
      <c r="E169" s="187" t="str">
        <f>VLOOKUP(D166,QuestionList,12,FALSE)</f>
        <v>•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30</v>
      </c>
      <c r="E171" s="76" t="str">
        <f>VLOOKUP(D171,QuestionList,6,FALSE)</f>
        <v>How are cryptographic dependencies tracked across CI/CD pipelines, shared libraries, and external APIs?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Explanation: This assesses whether your organization identifies and manages cryptographic interdependencies introduced through development workflows, software components, or third-party interfaces, which may impact the timing or feasibility of quantum-resilient transitions.</v>
      </c>
      <c r="L172" s="61"/>
    </row>
    <row r="173" spans="1:20" ht="18" customHeight="1" outlineLevel="3" x14ac:dyDescent="0.2">
      <c r="A173" s="48"/>
      <c r="C173" s="65"/>
      <c r="D173" s="59"/>
      <c r="E173" s="45" t="s">
        <v>169</v>
      </c>
      <c r="G173" s="62"/>
      <c r="L173" s="61"/>
    </row>
    <row r="174" spans="1:20" ht="90" outlineLevel="3" x14ac:dyDescent="0.2">
      <c r="A174" s="48"/>
      <c r="C174" s="65"/>
      <c r="D174" s="59"/>
      <c r="E174" s="187" t="str">
        <f>VLOOKUP(D171,QuestionList,12,FALSE)</f>
        <v>•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v>
      </c>
      <c r="G174" s="63"/>
      <c r="L174" s="61"/>
    </row>
    <row r="175" spans="1:20" ht="7.5" customHeight="1" outlineLevel="2" x14ac:dyDescent="0.2">
      <c r="A175" s="48"/>
      <c r="D175" s="59"/>
      <c r="E175" s="52"/>
    </row>
    <row r="176" spans="1:20" x14ac:dyDescent="0.2">
      <c r="E176" s="62"/>
    </row>
    <row r="177" spans="5:7" s="74" customFormat="1" ht="29.25" customHeight="1" x14ac:dyDescent="0.2">
      <c r="E177" s="89"/>
      <c r="G177" s="90"/>
    </row>
    <row r="178" spans="5:7" hidden="1" x14ac:dyDescent="0.2">
      <c r="E178" s="62"/>
    </row>
    <row r="179" spans="5:7" hidden="1" x14ac:dyDescent="0.2">
      <c r="E179" s="62"/>
    </row>
    <row r="180" spans="5:7" hidden="1" x14ac:dyDescent="0.2">
      <c r="E180" s="62"/>
    </row>
    <row r="181" spans="5:7" hidden="1" x14ac:dyDescent="0.2">
      <c r="E181" s="62"/>
    </row>
    <row r="182" spans="5:7" hidden="1" x14ac:dyDescent="0.2">
      <c r="E182" s="62"/>
    </row>
    <row r="183" spans="5:7" hidden="1" x14ac:dyDescent="0.2">
      <c r="E183" s="62"/>
    </row>
    <row r="184" spans="5:7" hidden="1" x14ac:dyDescent="0.2">
      <c r="E184" s="62"/>
    </row>
    <row r="185" spans="5:7" hidden="1" x14ac:dyDescent="0.2">
      <c r="E185" s="62"/>
    </row>
    <row r="186" spans="5:7" hidden="1" x14ac:dyDescent="0.2">
      <c r="E186" s="62"/>
    </row>
    <row r="187" spans="5:7" hidden="1" x14ac:dyDescent="0.2">
      <c r="E187" s="62"/>
    </row>
    <row r="188" spans="5:7" hidden="1" x14ac:dyDescent="0.2">
      <c r="E188" s="62"/>
    </row>
    <row r="189" spans="5:7" hidden="1" x14ac:dyDescent="0.2">
      <c r="E189" s="62"/>
    </row>
    <row r="190" spans="5:7" hidden="1" x14ac:dyDescent="0.2">
      <c r="E190" s="62"/>
    </row>
    <row r="191" spans="5:7" hidden="1" x14ac:dyDescent="0.2">
      <c r="E191" s="62"/>
    </row>
    <row r="192" spans="5:7" hidden="1" x14ac:dyDescent="0.2">
      <c r="E192" s="62"/>
    </row>
    <row r="193" spans="5:5" hidden="1" x14ac:dyDescent="0.2">
      <c r="E193" s="62"/>
    </row>
    <row r="194" spans="5:5" hidden="1" x14ac:dyDescent="0.2">
      <c r="E194" s="62"/>
    </row>
    <row r="195" spans="5:5" hidden="1" x14ac:dyDescent="0.2">
      <c r="E195" s="62"/>
    </row>
    <row r="196" spans="5:5" hidden="1" x14ac:dyDescent="0.2">
      <c r="E196" s="62"/>
    </row>
    <row r="197" spans="5:5" hidden="1" x14ac:dyDescent="0.2">
      <c r="E197" s="62"/>
    </row>
    <row r="198" spans="5:5" hidden="1" x14ac:dyDescent="0.2">
      <c r="E198" s="62"/>
    </row>
    <row r="199" spans="5:5" hidden="1" x14ac:dyDescent="0.2">
      <c r="E199" s="62"/>
    </row>
    <row r="200" spans="5:5" hidden="1" x14ac:dyDescent="0.2">
      <c r="E200" s="62"/>
    </row>
    <row r="201" spans="5:5" hidden="1" x14ac:dyDescent="0.2">
      <c r="E201" s="62"/>
    </row>
    <row r="202" spans="5:5" hidden="1" x14ac:dyDescent="0.2">
      <c r="E202" s="62"/>
    </row>
    <row r="203" spans="5:5" hidden="1" x14ac:dyDescent="0.2">
      <c r="E203" s="62"/>
    </row>
    <row r="204" spans="5:5" hidden="1" x14ac:dyDescent="0.2">
      <c r="E204" s="62"/>
    </row>
    <row r="205" spans="5:5" hidden="1" x14ac:dyDescent="0.2">
      <c r="E205" s="62"/>
    </row>
    <row r="206" spans="5:5" hidden="1" x14ac:dyDescent="0.2">
      <c r="E206" s="62"/>
    </row>
    <row r="207" spans="5:5" hidden="1" x14ac:dyDescent="0.2">
      <c r="E207" s="62"/>
    </row>
    <row r="208" spans="5:5" hidden="1" x14ac:dyDescent="0.2">
      <c r="E208" s="62"/>
    </row>
    <row r="209" spans="5:5" hidden="1" x14ac:dyDescent="0.2">
      <c r="E209" s="62"/>
    </row>
    <row r="210" spans="5:5" hidden="1" x14ac:dyDescent="0.2">
      <c r="E210" s="62"/>
    </row>
    <row r="211" spans="5:5" hidden="1" x14ac:dyDescent="0.2">
      <c r="E211" s="62"/>
    </row>
    <row r="212" spans="5:5" hidden="1" x14ac:dyDescent="0.2">
      <c r="E212" s="62"/>
    </row>
    <row r="213" spans="5:5" hidden="1" x14ac:dyDescent="0.2">
      <c r="E213" s="62"/>
    </row>
    <row r="214" spans="5:5" hidden="1" x14ac:dyDescent="0.2">
      <c r="E214" s="62"/>
    </row>
    <row r="215" spans="5:5" hidden="1" x14ac:dyDescent="0.2">
      <c r="E215" s="62"/>
    </row>
    <row r="216" spans="5:5" hidden="1" x14ac:dyDescent="0.2">
      <c r="E216" s="62"/>
    </row>
    <row r="217" spans="5:5" hidden="1" x14ac:dyDescent="0.2">
      <c r="E217" s="62"/>
    </row>
    <row r="218" spans="5:5" hidden="1" x14ac:dyDescent="0.2">
      <c r="E218" s="62"/>
    </row>
    <row r="219" spans="5:5" hidden="1" x14ac:dyDescent="0.2">
      <c r="E219" s="62"/>
    </row>
    <row r="220" spans="5:5" hidden="1" x14ac:dyDescent="0.2">
      <c r="E220" s="62"/>
    </row>
    <row r="221" spans="5:5" hidden="1" x14ac:dyDescent="0.2">
      <c r="E221" s="62"/>
    </row>
    <row r="222" spans="5:5" hidden="1" x14ac:dyDescent="0.2">
      <c r="E222" s="62"/>
    </row>
    <row r="223" spans="5:5" hidden="1" x14ac:dyDescent="0.2">
      <c r="E223" s="62"/>
    </row>
    <row r="224" spans="5:5" hidden="1" x14ac:dyDescent="0.2">
      <c r="E224" s="62"/>
    </row>
    <row r="225" spans="5:5" hidden="1" x14ac:dyDescent="0.2">
      <c r="E225" s="62"/>
    </row>
    <row r="226" spans="5:5" hidden="1" x14ac:dyDescent="0.2">
      <c r="E226" s="62"/>
    </row>
    <row r="227" spans="5:5" hidden="1" x14ac:dyDescent="0.2">
      <c r="E227" s="62"/>
    </row>
    <row r="228" spans="5:5" hidden="1" x14ac:dyDescent="0.2">
      <c r="E228" s="62"/>
    </row>
    <row r="229" spans="5:5" hidden="1" x14ac:dyDescent="0.2">
      <c r="E229" s="62"/>
    </row>
    <row r="230" spans="5:5" hidden="1" x14ac:dyDescent="0.2">
      <c r="E230" s="62"/>
    </row>
    <row r="231" spans="5:5" hidden="1" x14ac:dyDescent="0.2">
      <c r="E231" s="62"/>
    </row>
    <row r="232" spans="5:5" hidden="1" x14ac:dyDescent="0.2">
      <c r="E232" s="62"/>
    </row>
    <row r="233" spans="5:5" hidden="1" x14ac:dyDescent="0.2">
      <c r="E233" s="62"/>
    </row>
    <row r="234" spans="5:5" hidden="1" x14ac:dyDescent="0.2">
      <c r="E234" s="62"/>
    </row>
    <row r="235" spans="5:5" hidden="1" x14ac:dyDescent="0.2">
      <c r="E235" s="62"/>
    </row>
    <row r="236" spans="5:5" hidden="1" x14ac:dyDescent="0.2">
      <c r="E236" s="62"/>
    </row>
    <row r="237" spans="5:5" hidden="1" x14ac:dyDescent="0.2">
      <c r="E237" s="62"/>
    </row>
    <row r="238" spans="5:5" hidden="1" x14ac:dyDescent="0.2">
      <c r="E238" s="62"/>
    </row>
    <row r="239" spans="5:5" hidden="1" x14ac:dyDescent="0.2">
      <c r="E239" s="62"/>
    </row>
    <row r="240" spans="5:5" hidden="1" x14ac:dyDescent="0.2">
      <c r="E240" s="62"/>
    </row>
    <row r="241" spans="5:5" hidden="1" x14ac:dyDescent="0.2">
      <c r="E241" s="62"/>
    </row>
    <row r="242" spans="5:5" hidden="1" x14ac:dyDescent="0.2">
      <c r="E242" s="62"/>
    </row>
    <row r="243" spans="5:5" hidden="1" x14ac:dyDescent="0.2">
      <c r="E243" s="62"/>
    </row>
    <row r="244" spans="5:5" hidden="1" x14ac:dyDescent="0.2">
      <c r="E244" s="62"/>
    </row>
    <row r="245" spans="5:5" hidden="1" x14ac:dyDescent="0.2">
      <c r="E245" s="62"/>
    </row>
    <row r="246" spans="5:5" hidden="1" x14ac:dyDescent="0.2">
      <c r="E246" s="62"/>
    </row>
    <row r="247" spans="5:5" hidden="1" x14ac:dyDescent="0.2">
      <c r="E247" s="62"/>
    </row>
    <row r="248" spans="5:5" hidden="1" x14ac:dyDescent="0.2">
      <c r="E248" s="62"/>
    </row>
    <row r="249" spans="5:5" hidden="1" x14ac:dyDescent="0.2">
      <c r="E249" s="62"/>
    </row>
    <row r="250" spans="5:5" hidden="1" x14ac:dyDescent="0.2">
      <c r="E250" s="62"/>
    </row>
    <row r="251" spans="5:5" hidden="1" x14ac:dyDescent="0.2">
      <c r="E251" s="62"/>
    </row>
    <row r="252" spans="5:5" hidden="1" x14ac:dyDescent="0.2">
      <c r="E252" s="62"/>
    </row>
    <row r="253" spans="5:5" hidden="1" x14ac:dyDescent="0.2">
      <c r="E253" s="62"/>
    </row>
    <row r="254" spans="5:5" hidden="1" x14ac:dyDescent="0.2">
      <c r="E254" s="62"/>
    </row>
    <row r="255" spans="5:5" hidden="1" x14ac:dyDescent="0.2">
      <c r="E255" s="62"/>
    </row>
    <row r="256" spans="5:5" hidden="1" x14ac:dyDescent="0.2">
      <c r="E256" s="62"/>
    </row>
    <row r="257" spans="5:5" hidden="1" x14ac:dyDescent="0.2">
      <c r="E257" s="62"/>
    </row>
    <row r="258" spans="5:5" hidden="1" x14ac:dyDescent="0.2">
      <c r="E258" s="62"/>
    </row>
    <row r="259" spans="5:5" hidden="1" x14ac:dyDescent="0.2">
      <c r="E259" s="62"/>
    </row>
    <row r="260" spans="5:5" hidden="1" x14ac:dyDescent="0.2">
      <c r="E260" s="62"/>
    </row>
    <row r="261" spans="5:5" hidden="1" x14ac:dyDescent="0.2">
      <c r="E261" s="62"/>
    </row>
    <row r="262" spans="5:5" hidden="1" x14ac:dyDescent="0.2">
      <c r="E262" s="62"/>
    </row>
    <row r="263" spans="5:5" hidden="1" x14ac:dyDescent="0.2">
      <c r="E263" s="62"/>
    </row>
    <row r="264" spans="5:5" hidden="1" x14ac:dyDescent="0.2">
      <c r="E264" s="62"/>
    </row>
    <row r="265" spans="5:5" hidden="1" x14ac:dyDescent="0.2">
      <c r="E265" s="62"/>
    </row>
    <row r="266" spans="5:5" hidden="1" x14ac:dyDescent="0.2">
      <c r="E266" s="62"/>
    </row>
    <row r="267" spans="5:5" hidden="1" x14ac:dyDescent="0.2">
      <c r="E267" s="62"/>
    </row>
    <row r="268" spans="5:5" hidden="1" x14ac:dyDescent="0.2">
      <c r="E268" s="62"/>
    </row>
    <row r="269" spans="5:5" hidden="1" x14ac:dyDescent="0.2">
      <c r="E269" s="62"/>
    </row>
    <row r="270" spans="5:5" hidden="1" x14ac:dyDescent="0.2">
      <c r="E270" s="62"/>
    </row>
    <row r="271" spans="5:5" hidden="1" x14ac:dyDescent="0.2">
      <c r="E271" s="62"/>
    </row>
    <row r="272" spans="5:5" hidden="1" x14ac:dyDescent="0.2">
      <c r="E272" s="62"/>
    </row>
    <row r="273" spans="5:5" hidden="1" x14ac:dyDescent="0.2">
      <c r="E273" s="62"/>
    </row>
    <row r="274" spans="5:5" hidden="1" x14ac:dyDescent="0.2">
      <c r="E274" s="62"/>
    </row>
    <row r="275" spans="5:5" hidden="1" x14ac:dyDescent="0.2">
      <c r="E275" s="62"/>
    </row>
    <row r="276" spans="5:5" hidden="1" x14ac:dyDescent="0.2">
      <c r="E276" s="62"/>
    </row>
    <row r="277" spans="5:5" hidden="1" x14ac:dyDescent="0.2">
      <c r="E277" s="62"/>
    </row>
    <row r="278" spans="5:5" hidden="1" x14ac:dyDescent="0.2">
      <c r="E278" s="62"/>
    </row>
    <row r="279" spans="5:5" hidden="1" x14ac:dyDescent="0.2">
      <c r="E279" s="62"/>
    </row>
    <row r="280" spans="5:5" hidden="1" x14ac:dyDescent="0.2">
      <c r="E280" s="62"/>
    </row>
    <row r="281" spans="5:5" hidden="1" x14ac:dyDescent="0.2">
      <c r="E281" s="62"/>
    </row>
    <row r="282" spans="5:5" hidden="1" x14ac:dyDescent="0.2">
      <c r="E282" s="62"/>
    </row>
    <row r="283" spans="5:5" hidden="1" x14ac:dyDescent="0.2">
      <c r="E283" s="62"/>
    </row>
    <row r="284" spans="5:5" hidden="1" x14ac:dyDescent="0.2">
      <c r="E284" s="62"/>
    </row>
    <row r="285" spans="5:5" hidden="1" x14ac:dyDescent="0.2">
      <c r="E285" s="62"/>
    </row>
    <row r="286" spans="5:5" hidden="1" x14ac:dyDescent="0.2">
      <c r="E286" s="62"/>
    </row>
    <row r="287" spans="5:5" hidden="1" x14ac:dyDescent="0.2">
      <c r="E287" s="62"/>
    </row>
    <row r="288" spans="5:5" hidden="1" x14ac:dyDescent="0.2">
      <c r="E288" s="62"/>
    </row>
    <row r="289" spans="5:5" hidden="1" x14ac:dyDescent="0.2">
      <c r="E289" s="62"/>
    </row>
    <row r="290" spans="5:5" hidden="1" x14ac:dyDescent="0.2">
      <c r="E290" s="62"/>
    </row>
    <row r="291" spans="5:5" hidden="1" x14ac:dyDescent="0.2">
      <c r="E291" s="62"/>
    </row>
    <row r="292" spans="5:5" hidden="1" x14ac:dyDescent="0.2">
      <c r="E292" s="62"/>
    </row>
    <row r="293" spans="5:5" hidden="1" x14ac:dyDescent="0.2">
      <c r="E293" s="62"/>
    </row>
    <row r="294" spans="5:5" hidden="1" x14ac:dyDescent="0.2">
      <c r="E294" s="62"/>
    </row>
    <row r="295" spans="5:5" hidden="1" x14ac:dyDescent="0.2">
      <c r="E295" s="62"/>
    </row>
    <row r="296" spans="5:5" hidden="1" x14ac:dyDescent="0.2">
      <c r="E296" s="62"/>
    </row>
    <row r="297" spans="5:5" hidden="1" x14ac:dyDescent="0.2">
      <c r="E297" s="62"/>
    </row>
    <row r="298" spans="5:5" hidden="1" x14ac:dyDescent="0.2">
      <c r="E298" s="62"/>
    </row>
    <row r="299" spans="5:5" hidden="1" x14ac:dyDescent="0.2">
      <c r="E299" s="62"/>
    </row>
    <row r="300" spans="5:5" hidden="1" x14ac:dyDescent="0.2">
      <c r="E300" s="62"/>
    </row>
    <row r="301" spans="5:5" hidden="1" x14ac:dyDescent="0.2">
      <c r="E301" s="62"/>
    </row>
    <row r="302" spans="5:5" hidden="1" x14ac:dyDescent="0.2">
      <c r="E302" s="62"/>
    </row>
    <row r="303" spans="5:5" hidden="1" x14ac:dyDescent="0.2">
      <c r="E303" s="62"/>
    </row>
    <row r="304" spans="5:5" hidden="1" x14ac:dyDescent="0.2">
      <c r="E304" s="62"/>
    </row>
    <row r="305" spans="5:5" hidden="1" x14ac:dyDescent="0.2">
      <c r="E305" s="62"/>
    </row>
    <row r="306" spans="5:5" hidden="1" x14ac:dyDescent="0.2">
      <c r="E306" s="62"/>
    </row>
    <row r="307" spans="5:5" hidden="1" x14ac:dyDescent="0.2">
      <c r="E307" s="62"/>
    </row>
    <row r="308" spans="5:5" hidden="1" x14ac:dyDescent="0.2">
      <c r="E308" s="62"/>
    </row>
    <row r="309" spans="5:5" hidden="1" x14ac:dyDescent="0.2">
      <c r="E309" s="62"/>
    </row>
    <row r="310" spans="5:5" hidden="1" x14ac:dyDescent="0.2">
      <c r="E310" s="62"/>
    </row>
    <row r="311" spans="5:5" hidden="1" x14ac:dyDescent="0.2">
      <c r="E311" s="62"/>
    </row>
    <row r="312" spans="5:5" hidden="1" x14ac:dyDescent="0.2">
      <c r="E312" s="62"/>
    </row>
    <row r="313" spans="5:5" hidden="1" x14ac:dyDescent="0.2">
      <c r="E313" s="62"/>
    </row>
    <row r="314" spans="5:5" hidden="1" x14ac:dyDescent="0.2">
      <c r="E314" s="62"/>
    </row>
    <row r="315" spans="5:5" hidden="1" x14ac:dyDescent="0.2">
      <c r="E315" s="62"/>
    </row>
    <row r="316" spans="5:5" hidden="1" x14ac:dyDescent="0.2">
      <c r="E316" s="62"/>
    </row>
    <row r="317" spans="5:5" hidden="1" x14ac:dyDescent="0.2">
      <c r="E317" s="62"/>
    </row>
    <row r="318" spans="5:5" hidden="1" x14ac:dyDescent="0.2">
      <c r="E318" s="62"/>
    </row>
    <row r="319" spans="5:5" hidden="1" x14ac:dyDescent="0.2">
      <c r="E319" s="62"/>
    </row>
    <row r="320" spans="5:5" hidden="1" x14ac:dyDescent="0.2">
      <c r="E320" s="62"/>
    </row>
    <row r="321" spans="5:5" hidden="1" x14ac:dyDescent="0.2">
      <c r="E321" s="62"/>
    </row>
    <row r="322" spans="5:5" hidden="1" x14ac:dyDescent="0.2">
      <c r="E322" s="62"/>
    </row>
    <row r="323" spans="5:5" hidden="1" x14ac:dyDescent="0.2">
      <c r="E323" s="62"/>
    </row>
    <row r="324" spans="5:5" hidden="1" x14ac:dyDescent="0.2">
      <c r="E324" s="62"/>
    </row>
    <row r="325" spans="5:5" hidden="1" x14ac:dyDescent="0.2">
      <c r="E325" s="62"/>
    </row>
    <row r="326" spans="5:5" hidden="1" x14ac:dyDescent="0.2">
      <c r="E326" s="62"/>
    </row>
    <row r="327" spans="5:5" hidden="1" x14ac:dyDescent="0.2">
      <c r="E327" s="62"/>
    </row>
    <row r="328" spans="5:5" hidden="1" x14ac:dyDescent="0.2">
      <c r="E328" s="62"/>
    </row>
    <row r="329" spans="5:5" hidden="1" x14ac:dyDescent="0.2">
      <c r="E329" s="62"/>
    </row>
    <row r="330" spans="5:5" hidden="1" x14ac:dyDescent="0.2">
      <c r="E330" s="62"/>
    </row>
    <row r="331" spans="5:5" hidden="1" x14ac:dyDescent="0.2">
      <c r="E331" s="62"/>
    </row>
    <row r="332" spans="5:5" hidden="1" x14ac:dyDescent="0.2">
      <c r="E332" s="62"/>
    </row>
    <row r="333" spans="5:5" hidden="1" x14ac:dyDescent="0.2">
      <c r="E333" s="62"/>
    </row>
    <row r="334" spans="5:5" hidden="1" x14ac:dyDescent="0.2">
      <c r="E334" s="62"/>
    </row>
    <row r="335" spans="5:5" hidden="1" x14ac:dyDescent="0.2">
      <c r="E335" s="62"/>
    </row>
    <row r="336" spans="5:5" hidden="1" x14ac:dyDescent="0.2">
      <c r="E336" s="62"/>
    </row>
    <row r="337" spans="5:5" hidden="1" x14ac:dyDescent="0.2">
      <c r="E337" s="62"/>
    </row>
    <row r="338" spans="5:5" hidden="1" x14ac:dyDescent="0.2">
      <c r="E338" s="62"/>
    </row>
    <row r="339" spans="5:5" hidden="1" x14ac:dyDescent="0.2">
      <c r="E339" s="62"/>
    </row>
    <row r="340" spans="5:5" hidden="1" x14ac:dyDescent="0.2">
      <c r="E340" s="62"/>
    </row>
    <row r="341" spans="5:5" hidden="1" x14ac:dyDescent="0.2">
      <c r="E341" s="62"/>
    </row>
    <row r="342" spans="5:5" hidden="1" x14ac:dyDescent="0.2">
      <c r="E342" s="62"/>
    </row>
    <row r="343" spans="5:5" hidden="1" x14ac:dyDescent="0.2">
      <c r="E343" s="62"/>
    </row>
    <row r="344" spans="5:5" hidden="1" x14ac:dyDescent="0.2">
      <c r="E344" s="62"/>
    </row>
    <row r="345" spans="5:5" hidden="1" x14ac:dyDescent="0.2">
      <c r="E345" s="62"/>
    </row>
    <row r="346" spans="5:5" hidden="1" x14ac:dyDescent="0.2">
      <c r="E346" s="62"/>
    </row>
    <row r="347" spans="5:5" hidden="1" x14ac:dyDescent="0.2">
      <c r="E347" s="62"/>
    </row>
    <row r="348" spans="5:5" hidden="1" x14ac:dyDescent="0.2">
      <c r="E348" s="62"/>
    </row>
    <row r="349" spans="5:5" hidden="1" x14ac:dyDescent="0.2">
      <c r="E349" s="62"/>
    </row>
    <row r="350" spans="5:5" hidden="1" x14ac:dyDescent="0.2">
      <c r="E350" s="62"/>
    </row>
    <row r="351" spans="5:5" hidden="1" x14ac:dyDescent="0.2">
      <c r="E351" s="62"/>
    </row>
    <row r="352" spans="5:5" hidden="1" x14ac:dyDescent="0.2">
      <c r="E352" s="62"/>
    </row>
    <row r="353" spans="5:5" hidden="1" x14ac:dyDescent="0.2">
      <c r="E353" s="62"/>
    </row>
    <row r="354" spans="5:5" hidden="1" x14ac:dyDescent="0.2">
      <c r="E354" s="62"/>
    </row>
    <row r="355" spans="5:5" hidden="1" x14ac:dyDescent="0.2">
      <c r="E355" s="62"/>
    </row>
    <row r="356" spans="5:5" hidden="1" x14ac:dyDescent="0.2">
      <c r="E356" s="62"/>
    </row>
    <row r="357" spans="5:5" hidden="1" x14ac:dyDescent="0.2">
      <c r="E357" s="62"/>
    </row>
    <row r="358" spans="5:5" hidden="1" x14ac:dyDescent="0.2">
      <c r="E358" s="62"/>
    </row>
    <row r="359" spans="5:5" hidden="1" x14ac:dyDescent="0.2">
      <c r="E359" s="62"/>
    </row>
    <row r="360" spans="5:5" hidden="1" x14ac:dyDescent="0.2">
      <c r="E360" s="62"/>
    </row>
    <row r="361" spans="5:5" hidden="1" x14ac:dyDescent="0.2">
      <c r="E361" s="62"/>
    </row>
    <row r="362" spans="5:5" hidden="1" x14ac:dyDescent="0.2">
      <c r="E362" s="62"/>
    </row>
    <row r="363" spans="5:5" hidden="1" x14ac:dyDescent="0.2">
      <c r="E363" s="62"/>
    </row>
    <row r="364" spans="5:5" hidden="1" x14ac:dyDescent="0.2">
      <c r="E364" s="62"/>
    </row>
    <row r="365" spans="5:5" hidden="1" x14ac:dyDescent="0.2">
      <c r="E365" s="62"/>
    </row>
    <row r="366" spans="5:5" hidden="1" x14ac:dyDescent="0.2">
      <c r="E366" s="62"/>
    </row>
    <row r="367" spans="5:5" hidden="1" x14ac:dyDescent="0.2">
      <c r="E367" s="62"/>
    </row>
    <row r="368" spans="5:5" hidden="1" x14ac:dyDescent="0.2">
      <c r="E368" s="62"/>
    </row>
    <row r="369" spans="5:5" hidden="1" x14ac:dyDescent="0.2">
      <c r="E369" s="62"/>
    </row>
    <row r="370" spans="5:5" hidden="1" x14ac:dyDescent="0.2">
      <c r="E370" s="62"/>
    </row>
    <row r="371" spans="5:5" hidden="1" x14ac:dyDescent="0.2">
      <c r="E371" s="62"/>
    </row>
    <row r="372" spans="5:5" hidden="1" x14ac:dyDescent="0.2">
      <c r="E372" s="62"/>
    </row>
    <row r="373" spans="5:5" hidden="1" x14ac:dyDescent="0.2">
      <c r="E373" s="62"/>
    </row>
    <row r="374" spans="5:5" hidden="1" x14ac:dyDescent="0.2">
      <c r="E374" s="62"/>
    </row>
    <row r="375" spans="5:5" hidden="1" x14ac:dyDescent="0.2">
      <c r="E375" s="62"/>
    </row>
    <row r="376" spans="5:5" hidden="1" x14ac:dyDescent="0.2">
      <c r="E376" s="62"/>
    </row>
    <row r="377" spans="5:5" hidden="1" x14ac:dyDescent="0.2">
      <c r="E377" s="62"/>
    </row>
    <row r="378" spans="5:5" hidden="1" x14ac:dyDescent="0.2">
      <c r="E378" s="62"/>
    </row>
    <row r="379" spans="5:5" hidden="1" x14ac:dyDescent="0.2">
      <c r="E379" s="62"/>
    </row>
    <row r="380" spans="5:5" hidden="1" x14ac:dyDescent="0.2">
      <c r="E380" s="62"/>
    </row>
    <row r="381" spans="5:5" hidden="1" x14ac:dyDescent="0.2">
      <c r="E381" s="62"/>
    </row>
    <row r="382" spans="5:5" hidden="1" x14ac:dyDescent="0.2">
      <c r="E382" s="62"/>
    </row>
    <row r="383" spans="5:5" hidden="1" x14ac:dyDescent="0.2">
      <c r="E383" s="62"/>
    </row>
    <row r="384" spans="5:5" hidden="1" x14ac:dyDescent="0.2">
      <c r="E384" s="62"/>
    </row>
    <row r="385" spans="5:5" hidden="1" x14ac:dyDescent="0.2">
      <c r="E385" s="62"/>
    </row>
    <row r="386" spans="5:5" hidden="1" x14ac:dyDescent="0.2">
      <c r="E386" s="62"/>
    </row>
    <row r="387" spans="5:5" hidden="1" x14ac:dyDescent="0.2">
      <c r="E387" s="62"/>
    </row>
    <row r="388" spans="5:5" hidden="1" x14ac:dyDescent="0.2">
      <c r="E388" s="62"/>
    </row>
    <row r="389" spans="5:5" hidden="1" x14ac:dyDescent="0.2">
      <c r="E389" s="62"/>
    </row>
    <row r="390" spans="5:5" hidden="1" x14ac:dyDescent="0.2">
      <c r="E390" s="62"/>
    </row>
    <row r="391" spans="5:5" hidden="1" x14ac:dyDescent="0.2">
      <c r="E391" s="62"/>
    </row>
    <row r="392" spans="5:5" hidden="1" x14ac:dyDescent="0.2">
      <c r="E392" s="62"/>
    </row>
    <row r="393" spans="5:5" hidden="1" x14ac:dyDescent="0.2">
      <c r="E393" s="62"/>
    </row>
    <row r="394" spans="5:5" hidden="1" x14ac:dyDescent="0.2">
      <c r="E394" s="62"/>
    </row>
    <row r="395" spans="5:5" hidden="1" x14ac:dyDescent="0.2">
      <c r="E395" s="62"/>
    </row>
    <row r="396" spans="5:5" hidden="1" x14ac:dyDescent="0.2">
      <c r="E396" s="62"/>
    </row>
    <row r="397" spans="5:5" hidden="1" x14ac:dyDescent="0.2">
      <c r="E397" s="62"/>
    </row>
    <row r="398" spans="5:5" hidden="1" x14ac:dyDescent="0.2">
      <c r="E398" s="62"/>
    </row>
    <row r="399" spans="5:5" hidden="1" x14ac:dyDescent="0.2">
      <c r="E399" s="62"/>
    </row>
    <row r="400" spans="5:5" hidden="1" x14ac:dyDescent="0.2">
      <c r="E400" s="62"/>
    </row>
    <row r="401" spans="5:5" hidden="1" x14ac:dyDescent="0.2">
      <c r="E401" s="62"/>
    </row>
    <row r="402" spans="5:5" hidden="1" x14ac:dyDescent="0.2">
      <c r="E402" s="62"/>
    </row>
    <row r="403" spans="5:5" hidden="1" x14ac:dyDescent="0.2">
      <c r="E403" s="62"/>
    </row>
    <row r="404" spans="5:5" hidden="1" x14ac:dyDescent="0.2">
      <c r="E404" s="62"/>
    </row>
    <row r="405" spans="5:5" hidden="1" x14ac:dyDescent="0.2">
      <c r="E405" s="62"/>
    </row>
    <row r="406" spans="5:5" hidden="1" x14ac:dyDescent="0.2">
      <c r="E406" s="62"/>
    </row>
    <row r="407" spans="5:5" hidden="1" x14ac:dyDescent="0.2">
      <c r="E407" s="62"/>
    </row>
    <row r="408" spans="5:5" hidden="1" x14ac:dyDescent="0.2">
      <c r="E408" s="62"/>
    </row>
    <row r="409" spans="5:5" hidden="1" x14ac:dyDescent="0.2">
      <c r="E409" s="62"/>
    </row>
    <row r="410" spans="5:5" hidden="1" x14ac:dyDescent="0.2">
      <c r="E410" s="62"/>
    </row>
    <row r="411" spans="5:5" hidden="1" x14ac:dyDescent="0.2">
      <c r="E411" s="62"/>
    </row>
    <row r="412" spans="5:5" hidden="1" x14ac:dyDescent="0.2">
      <c r="E412" s="62"/>
    </row>
    <row r="413" spans="5:5" hidden="1" x14ac:dyDescent="0.2">
      <c r="E413" s="62"/>
    </row>
    <row r="414" spans="5:5" hidden="1" x14ac:dyDescent="0.2">
      <c r="E414" s="62"/>
    </row>
    <row r="415" spans="5:5" hidden="1" x14ac:dyDescent="0.2">
      <c r="E415" s="62"/>
    </row>
    <row r="416" spans="5:5" hidden="1" x14ac:dyDescent="0.2">
      <c r="E416" s="62"/>
    </row>
    <row r="417" spans="5:5" hidden="1" x14ac:dyDescent="0.2">
      <c r="E417" s="62"/>
    </row>
    <row r="418" spans="5:5" hidden="1" x14ac:dyDescent="0.2">
      <c r="E418" s="62"/>
    </row>
    <row r="419" spans="5:5" hidden="1" x14ac:dyDescent="0.2">
      <c r="E419" s="62"/>
    </row>
    <row r="420" spans="5:5" hidden="1" x14ac:dyDescent="0.2">
      <c r="E420" s="62"/>
    </row>
    <row r="421" spans="5:5" hidden="1" x14ac:dyDescent="0.2">
      <c r="E421" s="62"/>
    </row>
    <row r="422" spans="5:5" hidden="1" x14ac:dyDescent="0.2">
      <c r="E422" s="62"/>
    </row>
    <row r="423" spans="5:5" hidden="1" x14ac:dyDescent="0.2">
      <c r="E423" s="62"/>
    </row>
    <row r="424" spans="5:5" hidden="1" x14ac:dyDescent="0.2">
      <c r="E424" s="62"/>
    </row>
    <row r="425" spans="5:5" hidden="1" x14ac:dyDescent="0.2">
      <c r="E425" s="62"/>
    </row>
    <row r="426" spans="5:5" hidden="1" x14ac:dyDescent="0.2">
      <c r="E426" s="62"/>
    </row>
    <row r="427" spans="5:5" hidden="1" x14ac:dyDescent="0.2">
      <c r="E427" s="62"/>
    </row>
    <row r="428" spans="5:5" hidden="1" x14ac:dyDescent="0.2">
      <c r="E428" s="62"/>
    </row>
    <row r="429" spans="5:5" hidden="1" x14ac:dyDescent="0.2">
      <c r="E429" s="62"/>
    </row>
    <row r="430" spans="5:5" hidden="1" x14ac:dyDescent="0.2">
      <c r="E430" s="62"/>
    </row>
    <row r="431" spans="5:5" hidden="1" x14ac:dyDescent="0.2">
      <c r="E431" s="62"/>
    </row>
    <row r="432" spans="5:5" hidden="1" x14ac:dyDescent="0.2">
      <c r="E432" s="62"/>
    </row>
    <row r="433" spans="5:5" hidden="1" x14ac:dyDescent="0.2">
      <c r="E433" s="62"/>
    </row>
    <row r="434" spans="5:5" hidden="1" x14ac:dyDescent="0.2">
      <c r="E434" s="62"/>
    </row>
    <row r="435" spans="5:5" hidden="1" x14ac:dyDescent="0.2">
      <c r="E435" s="62"/>
    </row>
    <row r="436" spans="5:5" hidden="1" x14ac:dyDescent="0.2">
      <c r="E436" s="62"/>
    </row>
    <row r="437" spans="5:5" hidden="1" x14ac:dyDescent="0.2">
      <c r="E437" s="62"/>
    </row>
    <row r="438" spans="5:5" hidden="1" x14ac:dyDescent="0.2">
      <c r="E438" s="62"/>
    </row>
    <row r="439" spans="5:5" hidden="1" x14ac:dyDescent="0.2">
      <c r="E439" s="62"/>
    </row>
    <row r="440" spans="5:5" hidden="1" x14ac:dyDescent="0.2">
      <c r="E440" s="62"/>
    </row>
    <row r="441" spans="5:5" hidden="1" x14ac:dyDescent="0.2">
      <c r="E441" s="62"/>
    </row>
    <row r="442" spans="5:5" hidden="1" x14ac:dyDescent="0.2">
      <c r="E442" s="62"/>
    </row>
    <row r="443" spans="5:5" hidden="1" x14ac:dyDescent="0.2">
      <c r="E443" s="62"/>
    </row>
    <row r="444" spans="5:5" hidden="1" x14ac:dyDescent="0.2">
      <c r="E444" s="62"/>
    </row>
    <row r="445" spans="5:5" hidden="1" x14ac:dyDescent="0.2">
      <c r="E445" s="62"/>
    </row>
    <row r="446" spans="5:5" hidden="1" x14ac:dyDescent="0.2">
      <c r="E446" s="62"/>
    </row>
    <row r="447" spans="5:5" hidden="1" x14ac:dyDescent="0.2">
      <c r="E447" s="62"/>
    </row>
    <row r="448" spans="5:5" hidden="1" x14ac:dyDescent="0.2">
      <c r="E448" s="62"/>
    </row>
    <row r="449" spans="5:5" hidden="1" x14ac:dyDescent="0.2">
      <c r="E449" s="62"/>
    </row>
    <row r="450" spans="5:5" hidden="1" x14ac:dyDescent="0.2">
      <c r="E450" s="62"/>
    </row>
    <row r="451" spans="5:5" hidden="1" x14ac:dyDescent="0.2">
      <c r="E451" s="62"/>
    </row>
    <row r="452" spans="5:5" hidden="1" x14ac:dyDescent="0.2">
      <c r="E452" s="62"/>
    </row>
    <row r="453" spans="5:5" hidden="1" x14ac:dyDescent="0.2">
      <c r="E453" s="62"/>
    </row>
    <row r="454" spans="5:5" hidden="1" x14ac:dyDescent="0.2">
      <c r="E454" s="62"/>
    </row>
    <row r="455" spans="5:5" hidden="1" x14ac:dyDescent="0.2">
      <c r="E455" s="62"/>
    </row>
    <row r="456" spans="5:5" hidden="1" x14ac:dyDescent="0.2">
      <c r="E456" s="62"/>
    </row>
    <row r="457" spans="5:5" hidden="1" x14ac:dyDescent="0.2">
      <c r="E457" s="62"/>
    </row>
    <row r="458" spans="5:5" hidden="1" x14ac:dyDescent="0.2">
      <c r="E458" s="62"/>
    </row>
    <row r="459" spans="5:5" hidden="1" x14ac:dyDescent="0.2">
      <c r="E459" s="62"/>
    </row>
    <row r="460" spans="5:5" hidden="1" x14ac:dyDescent="0.2">
      <c r="E460" s="62"/>
    </row>
    <row r="461" spans="5:5" hidden="1" x14ac:dyDescent="0.2">
      <c r="E461" s="62"/>
    </row>
    <row r="462" spans="5:5" hidden="1" x14ac:dyDescent="0.2">
      <c r="E462" s="62"/>
    </row>
    <row r="463" spans="5:5" hidden="1" x14ac:dyDescent="0.2">
      <c r="E463" s="62"/>
    </row>
    <row r="464" spans="5:5" hidden="1" x14ac:dyDescent="0.2">
      <c r="E464" s="62"/>
    </row>
    <row r="465" spans="5:5" hidden="1" x14ac:dyDescent="0.2">
      <c r="E465" s="62"/>
    </row>
    <row r="466" spans="5:5" hidden="1" x14ac:dyDescent="0.2">
      <c r="E466" s="62"/>
    </row>
    <row r="467" spans="5:5" hidden="1" x14ac:dyDescent="0.2">
      <c r="E467" s="62"/>
    </row>
    <row r="468" spans="5:5" hidden="1" x14ac:dyDescent="0.2">
      <c r="E468" s="62"/>
    </row>
    <row r="469" spans="5:5" hidden="1" x14ac:dyDescent="0.2">
      <c r="E469" s="62"/>
    </row>
    <row r="470" spans="5:5" hidden="1" x14ac:dyDescent="0.2">
      <c r="E470" s="62"/>
    </row>
    <row r="471" spans="5:5" hidden="1" x14ac:dyDescent="0.2">
      <c r="E471" s="62"/>
    </row>
    <row r="472" spans="5:5" hidden="1" x14ac:dyDescent="0.2">
      <c r="E472" s="62"/>
    </row>
    <row r="473" spans="5:5" hidden="1" x14ac:dyDescent="0.2">
      <c r="E473" s="62"/>
    </row>
    <row r="474" spans="5:5" hidden="1" x14ac:dyDescent="0.2">
      <c r="E474" s="62"/>
    </row>
    <row r="475" spans="5:5" hidden="1" x14ac:dyDescent="0.2">
      <c r="E475" s="62"/>
    </row>
    <row r="476" spans="5:5" hidden="1" x14ac:dyDescent="0.2">
      <c r="E476" s="62"/>
    </row>
    <row r="477" spans="5:5" hidden="1" x14ac:dyDescent="0.2">
      <c r="E477" s="62"/>
    </row>
    <row r="478" spans="5:5" hidden="1" x14ac:dyDescent="0.2">
      <c r="E478" s="62"/>
    </row>
    <row r="479" spans="5:5" hidden="1" x14ac:dyDescent="0.2">
      <c r="E479" s="62"/>
    </row>
    <row r="480" spans="5:5" hidden="1" x14ac:dyDescent="0.2">
      <c r="E480" s="62"/>
    </row>
    <row r="481" spans="5:5" hidden="1" x14ac:dyDescent="0.2">
      <c r="E481" s="62"/>
    </row>
    <row r="482" spans="5:5" hidden="1" x14ac:dyDescent="0.2">
      <c r="E482" s="62"/>
    </row>
    <row r="483" spans="5:5" hidden="1" x14ac:dyDescent="0.2">
      <c r="E483" s="62"/>
    </row>
    <row r="484" spans="5:5" hidden="1" x14ac:dyDescent="0.2">
      <c r="E484" s="62"/>
    </row>
    <row r="485" spans="5:5" hidden="1" x14ac:dyDescent="0.2">
      <c r="E485" s="62"/>
    </row>
    <row r="486" spans="5:5" hidden="1" x14ac:dyDescent="0.2">
      <c r="E486" s="62"/>
    </row>
    <row r="487" spans="5:5" hidden="1" x14ac:dyDescent="0.2">
      <c r="E487" s="62"/>
    </row>
    <row r="488" spans="5:5" hidden="1" x14ac:dyDescent="0.2">
      <c r="E488" s="62"/>
    </row>
    <row r="489" spans="5:5" hidden="1" x14ac:dyDescent="0.2">
      <c r="E489" s="62"/>
    </row>
    <row r="490" spans="5:5" hidden="1" x14ac:dyDescent="0.2">
      <c r="E490" s="62"/>
    </row>
    <row r="491" spans="5:5" hidden="1" x14ac:dyDescent="0.2">
      <c r="E491" s="62"/>
    </row>
    <row r="492" spans="5:5" hidden="1" x14ac:dyDescent="0.2">
      <c r="E492" s="62"/>
    </row>
    <row r="493" spans="5:5" hidden="1" x14ac:dyDescent="0.2">
      <c r="E493" s="62"/>
    </row>
    <row r="494" spans="5:5" hidden="1" x14ac:dyDescent="0.2">
      <c r="E494" s="62"/>
    </row>
    <row r="495" spans="5:5" hidden="1" x14ac:dyDescent="0.2">
      <c r="E495" s="62"/>
    </row>
    <row r="496" spans="5:5" hidden="1" x14ac:dyDescent="0.2">
      <c r="E496" s="62"/>
    </row>
    <row r="497" spans="5:5" hidden="1" x14ac:dyDescent="0.2">
      <c r="E497" s="62"/>
    </row>
    <row r="498" spans="5:5" hidden="1" x14ac:dyDescent="0.2">
      <c r="E498" s="62"/>
    </row>
    <row r="499" spans="5:5" hidden="1" x14ac:dyDescent="0.2">
      <c r="E499" s="62"/>
    </row>
    <row r="500" spans="5:5" hidden="1" x14ac:dyDescent="0.2">
      <c r="E500" s="62"/>
    </row>
    <row r="501" spans="5:5" hidden="1" x14ac:dyDescent="0.2">
      <c r="E501" s="62"/>
    </row>
    <row r="502" spans="5:5" hidden="1" x14ac:dyDescent="0.2">
      <c r="E502" s="62"/>
    </row>
    <row r="503" spans="5:5" hidden="1" x14ac:dyDescent="0.2">
      <c r="E503" s="62"/>
    </row>
    <row r="504" spans="5:5" hidden="1" x14ac:dyDescent="0.2">
      <c r="E504" s="62"/>
    </row>
    <row r="505" spans="5:5" hidden="1" x14ac:dyDescent="0.2">
      <c r="E505" s="62"/>
    </row>
    <row r="506" spans="5:5" hidden="1" x14ac:dyDescent="0.2">
      <c r="E506" s="62"/>
    </row>
    <row r="507" spans="5:5" hidden="1" x14ac:dyDescent="0.2">
      <c r="E507" s="62"/>
    </row>
    <row r="508" spans="5:5" hidden="1" x14ac:dyDescent="0.2">
      <c r="E508" s="62"/>
    </row>
    <row r="509" spans="5:5" hidden="1" x14ac:dyDescent="0.2">
      <c r="E509" s="62"/>
    </row>
    <row r="510" spans="5:5" hidden="1" x14ac:dyDescent="0.2">
      <c r="E510" s="62"/>
    </row>
    <row r="511" spans="5:5" hidden="1" x14ac:dyDescent="0.2">
      <c r="E511" s="62"/>
    </row>
    <row r="512" spans="5:5" hidden="1" x14ac:dyDescent="0.2">
      <c r="E512" s="62"/>
    </row>
    <row r="513" spans="5:5" hidden="1" x14ac:dyDescent="0.2">
      <c r="E513" s="62"/>
    </row>
    <row r="514" spans="5:5" hidden="1" x14ac:dyDescent="0.2">
      <c r="E514" s="62"/>
    </row>
    <row r="515" spans="5:5" hidden="1" x14ac:dyDescent="0.2">
      <c r="E515" s="62"/>
    </row>
    <row r="516" spans="5:5" hidden="1" x14ac:dyDescent="0.2">
      <c r="E516" s="62"/>
    </row>
    <row r="517" spans="5:5" hidden="1" x14ac:dyDescent="0.2">
      <c r="E517" s="62"/>
    </row>
    <row r="518" spans="5:5" hidden="1" x14ac:dyDescent="0.2">
      <c r="E518" s="62"/>
    </row>
    <row r="519" spans="5:5" hidden="1" x14ac:dyDescent="0.2">
      <c r="E519" s="62"/>
    </row>
    <row r="520" spans="5:5" hidden="1" x14ac:dyDescent="0.2">
      <c r="E520" s="62"/>
    </row>
    <row r="521" spans="5:5" hidden="1" x14ac:dyDescent="0.2">
      <c r="E521" s="62"/>
    </row>
    <row r="522" spans="5:5" hidden="1" x14ac:dyDescent="0.2">
      <c r="E522" s="62"/>
    </row>
    <row r="523" spans="5:5" hidden="1" x14ac:dyDescent="0.2">
      <c r="E523" s="62"/>
    </row>
    <row r="524" spans="5:5" hidden="1" x14ac:dyDescent="0.2">
      <c r="E524" s="62"/>
    </row>
    <row r="525" spans="5:5" hidden="1" x14ac:dyDescent="0.2">
      <c r="E525" s="62"/>
    </row>
    <row r="526" spans="5:5" hidden="1" x14ac:dyDescent="0.2">
      <c r="E526" s="62"/>
    </row>
    <row r="527" spans="5:5" hidden="1" x14ac:dyDescent="0.2">
      <c r="E527" s="62"/>
    </row>
    <row r="528" spans="5:5" hidden="1" x14ac:dyDescent="0.2">
      <c r="E528" s="62"/>
    </row>
    <row r="529" spans="5:5" hidden="1" x14ac:dyDescent="0.2">
      <c r="E529" s="62"/>
    </row>
    <row r="530" spans="5:5" hidden="1" x14ac:dyDescent="0.2">
      <c r="E530" s="62"/>
    </row>
    <row r="531" spans="5:5" hidden="1" x14ac:dyDescent="0.2">
      <c r="E531" s="62"/>
    </row>
    <row r="532" spans="5:5" hidden="1" x14ac:dyDescent="0.2">
      <c r="E532" s="62"/>
    </row>
    <row r="533" spans="5:5" hidden="1" x14ac:dyDescent="0.2">
      <c r="E533" s="62"/>
    </row>
    <row r="534" spans="5:5" hidden="1" x14ac:dyDescent="0.2">
      <c r="E534" s="62"/>
    </row>
    <row r="535" spans="5:5" hidden="1" x14ac:dyDescent="0.2">
      <c r="E535" s="62"/>
    </row>
    <row r="536" spans="5:5" hidden="1" x14ac:dyDescent="0.2">
      <c r="E536" s="62"/>
    </row>
    <row r="537" spans="5:5" hidden="1" x14ac:dyDescent="0.2">
      <c r="E537" s="62"/>
    </row>
    <row r="538" spans="5:5" hidden="1" x14ac:dyDescent="0.2">
      <c r="E538" s="62"/>
    </row>
    <row r="539" spans="5:5" hidden="1" x14ac:dyDescent="0.2">
      <c r="E539" s="62"/>
    </row>
    <row r="540" spans="5:5" hidden="1" x14ac:dyDescent="0.2">
      <c r="E540" s="62"/>
    </row>
    <row r="541" spans="5:5" hidden="1" x14ac:dyDescent="0.2">
      <c r="E541" s="62"/>
    </row>
    <row r="542" spans="5:5" hidden="1" x14ac:dyDescent="0.2">
      <c r="E542" s="62"/>
    </row>
    <row r="543" spans="5:5" hidden="1" x14ac:dyDescent="0.2">
      <c r="E543" s="62"/>
    </row>
    <row r="544" spans="5:5" hidden="1" x14ac:dyDescent="0.2">
      <c r="E544" s="62"/>
    </row>
    <row r="545" spans="5:5" hidden="1" x14ac:dyDescent="0.2">
      <c r="E545" s="62"/>
    </row>
    <row r="546" spans="5:5" hidden="1" x14ac:dyDescent="0.2">
      <c r="E546" s="62"/>
    </row>
    <row r="547" spans="5:5" hidden="1" x14ac:dyDescent="0.2">
      <c r="E547" s="62"/>
    </row>
    <row r="548" spans="5:5" hidden="1" x14ac:dyDescent="0.2">
      <c r="E548" s="62"/>
    </row>
    <row r="549" spans="5:5" hidden="1" x14ac:dyDescent="0.2">
      <c r="E549" s="62"/>
    </row>
    <row r="550" spans="5:5" hidden="1" x14ac:dyDescent="0.2">
      <c r="E550" s="62"/>
    </row>
    <row r="551" spans="5:5" hidden="1" x14ac:dyDescent="0.2">
      <c r="E551" s="62"/>
    </row>
    <row r="552" spans="5:5" hidden="1" x14ac:dyDescent="0.2">
      <c r="E552" s="62"/>
    </row>
    <row r="553" spans="5:5" hidden="1" x14ac:dyDescent="0.2">
      <c r="E553" s="62"/>
    </row>
    <row r="554" spans="5:5" hidden="1" x14ac:dyDescent="0.2">
      <c r="E554" s="62"/>
    </row>
    <row r="555" spans="5:5" hidden="1" x14ac:dyDescent="0.2">
      <c r="E555" s="62"/>
    </row>
    <row r="556" spans="5:5" hidden="1" x14ac:dyDescent="0.2">
      <c r="E556" s="62"/>
    </row>
    <row r="557" spans="5:5" hidden="1" x14ac:dyDescent="0.2">
      <c r="E557" s="62"/>
    </row>
    <row r="558" spans="5:5" hidden="1" x14ac:dyDescent="0.2">
      <c r="E558" s="62"/>
    </row>
    <row r="559" spans="5:5" hidden="1" x14ac:dyDescent="0.2">
      <c r="E559" s="62"/>
    </row>
    <row r="560" spans="5:5" hidden="1" x14ac:dyDescent="0.2">
      <c r="E560" s="62"/>
    </row>
    <row r="561" spans="5:5" hidden="1" x14ac:dyDescent="0.2">
      <c r="E561" s="62"/>
    </row>
    <row r="562" spans="5:5" hidden="1" x14ac:dyDescent="0.2">
      <c r="E562" s="62"/>
    </row>
    <row r="563" spans="5:5" hidden="1" x14ac:dyDescent="0.2">
      <c r="E563" s="62"/>
    </row>
    <row r="564" spans="5:5" hidden="1" x14ac:dyDescent="0.2">
      <c r="E564" s="62"/>
    </row>
    <row r="565" spans="5:5" hidden="1" x14ac:dyDescent="0.2">
      <c r="E565" s="62"/>
    </row>
    <row r="566" spans="5:5" hidden="1" x14ac:dyDescent="0.2">
      <c r="E566" s="62"/>
    </row>
    <row r="567" spans="5:5" hidden="1" x14ac:dyDescent="0.2">
      <c r="E567" s="62"/>
    </row>
    <row r="568" spans="5:5" hidden="1" x14ac:dyDescent="0.2">
      <c r="E568" s="62"/>
    </row>
    <row r="569" spans="5:5" hidden="1" x14ac:dyDescent="0.2">
      <c r="E569" s="62"/>
    </row>
    <row r="570" spans="5:5" hidden="1" x14ac:dyDescent="0.2">
      <c r="E570" s="62"/>
    </row>
    <row r="571" spans="5:5" hidden="1" x14ac:dyDescent="0.2">
      <c r="E571" s="62"/>
    </row>
    <row r="572" spans="5:5" hidden="1" x14ac:dyDescent="0.2">
      <c r="E572" s="62"/>
    </row>
    <row r="573" spans="5:5" hidden="1" x14ac:dyDescent="0.2">
      <c r="E573" s="62"/>
    </row>
    <row r="574" spans="5:5" hidden="1" x14ac:dyDescent="0.2">
      <c r="E574" s="62"/>
    </row>
    <row r="575" spans="5:5" hidden="1" x14ac:dyDescent="0.2">
      <c r="E575" s="62"/>
    </row>
    <row r="576" spans="5:5" hidden="1" x14ac:dyDescent="0.2">
      <c r="E576" s="62"/>
    </row>
    <row r="577" spans="5:5" hidden="1" x14ac:dyDescent="0.2">
      <c r="E577" s="62"/>
    </row>
    <row r="578" spans="5:5" hidden="1" x14ac:dyDescent="0.2">
      <c r="E578" s="62"/>
    </row>
    <row r="579" spans="5:5" hidden="1" x14ac:dyDescent="0.2">
      <c r="E579" s="62"/>
    </row>
    <row r="580" spans="5:5" hidden="1" x14ac:dyDescent="0.2">
      <c r="E580" s="62"/>
    </row>
    <row r="581" spans="5:5" hidden="1" x14ac:dyDescent="0.2">
      <c r="E581" s="62"/>
    </row>
    <row r="582" spans="5:5" hidden="1" x14ac:dyDescent="0.2">
      <c r="E582" s="62"/>
    </row>
    <row r="583" spans="5:5" hidden="1" x14ac:dyDescent="0.2">
      <c r="E583" s="62"/>
    </row>
    <row r="584" spans="5:5" hidden="1" x14ac:dyDescent="0.2">
      <c r="E584" s="62"/>
    </row>
    <row r="585" spans="5:5" hidden="1" x14ac:dyDescent="0.2">
      <c r="E585" s="62"/>
    </row>
    <row r="586" spans="5:5" hidden="1" x14ac:dyDescent="0.2">
      <c r="E586" s="62"/>
    </row>
    <row r="587" spans="5:5" hidden="1" x14ac:dyDescent="0.2">
      <c r="E587" s="62"/>
    </row>
    <row r="588" spans="5:5" hidden="1" x14ac:dyDescent="0.2">
      <c r="E588" s="62"/>
    </row>
    <row r="589" spans="5:5" hidden="1" x14ac:dyDescent="0.2">
      <c r="E589" s="62"/>
    </row>
    <row r="590" spans="5:5" hidden="1" x14ac:dyDescent="0.2">
      <c r="E590" s="62"/>
    </row>
    <row r="591" spans="5:5" hidden="1" x14ac:dyDescent="0.2">
      <c r="E591" s="62"/>
    </row>
    <row r="592" spans="5:5" hidden="1" x14ac:dyDescent="0.2">
      <c r="E592" s="62"/>
    </row>
    <row r="593" spans="5:5" hidden="1" x14ac:dyDescent="0.2">
      <c r="E593" s="62"/>
    </row>
    <row r="594" spans="5:5" hidden="1" x14ac:dyDescent="0.2">
      <c r="E594" s="62"/>
    </row>
    <row r="595" spans="5:5" hidden="1" x14ac:dyDescent="0.2">
      <c r="E595" s="62"/>
    </row>
    <row r="596" spans="5:5" hidden="1" x14ac:dyDescent="0.2">
      <c r="E596" s="62"/>
    </row>
    <row r="597" spans="5:5" hidden="1" x14ac:dyDescent="0.2">
      <c r="E597" s="62"/>
    </row>
    <row r="598" spans="5:5" hidden="1" x14ac:dyDescent="0.2">
      <c r="E598" s="62"/>
    </row>
    <row r="599" spans="5:5" hidden="1" x14ac:dyDescent="0.2">
      <c r="E599" s="62"/>
    </row>
    <row r="600" spans="5:5" hidden="1" x14ac:dyDescent="0.2">
      <c r="E600" s="62"/>
    </row>
    <row r="601" spans="5:5" hidden="1" x14ac:dyDescent="0.2">
      <c r="E601" s="62"/>
    </row>
    <row r="602" spans="5:5" hidden="1" x14ac:dyDescent="0.2">
      <c r="E602" s="62"/>
    </row>
    <row r="603" spans="5:5" hidden="1" x14ac:dyDescent="0.2">
      <c r="E603" s="62"/>
    </row>
    <row r="604" spans="5:5" hidden="1" x14ac:dyDescent="0.2">
      <c r="E604" s="62"/>
    </row>
    <row r="605" spans="5:5" hidden="1" x14ac:dyDescent="0.2">
      <c r="E605" s="62"/>
    </row>
    <row r="606" spans="5:5" hidden="1" x14ac:dyDescent="0.2">
      <c r="E606" s="62"/>
    </row>
    <row r="607" spans="5:5" hidden="1" x14ac:dyDescent="0.2">
      <c r="E607" s="62"/>
    </row>
    <row r="608" spans="5:5" hidden="1" x14ac:dyDescent="0.2">
      <c r="E608" s="62"/>
    </row>
    <row r="609" spans="5:5" hidden="1" x14ac:dyDescent="0.2">
      <c r="E609" s="62"/>
    </row>
    <row r="610" spans="5:5" hidden="1" x14ac:dyDescent="0.2">
      <c r="E610" s="62"/>
    </row>
    <row r="611" spans="5:5" hidden="1" x14ac:dyDescent="0.2">
      <c r="E611" s="62"/>
    </row>
    <row r="612" spans="5:5" hidden="1" x14ac:dyDescent="0.2">
      <c r="E612" s="62"/>
    </row>
    <row r="613" spans="5:5" hidden="1" x14ac:dyDescent="0.2">
      <c r="E613" s="62"/>
    </row>
    <row r="614" spans="5:5" hidden="1" x14ac:dyDescent="0.2">
      <c r="E614" s="62"/>
    </row>
    <row r="615" spans="5:5" hidden="1" x14ac:dyDescent="0.2">
      <c r="E615" s="62"/>
    </row>
    <row r="616" spans="5:5" hidden="1" x14ac:dyDescent="0.2">
      <c r="E616" s="62"/>
    </row>
    <row r="617" spans="5:5" hidden="1" x14ac:dyDescent="0.2">
      <c r="E617" s="62"/>
    </row>
    <row r="618" spans="5:5" hidden="1" x14ac:dyDescent="0.2">
      <c r="E618" s="62"/>
    </row>
    <row r="619" spans="5:5" hidden="1" x14ac:dyDescent="0.2">
      <c r="E619" s="62"/>
    </row>
    <row r="620" spans="5:5" hidden="1" x14ac:dyDescent="0.2">
      <c r="E620" s="62"/>
    </row>
    <row r="621" spans="5:5" hidden="1" x14ac:dyDescent="0.2">
      <c r="E621" s="62"/>
    </row>
    <row r="622" spans="5:5" hidden="1" x14ac:dyDescent="0.2">
      <c r="E622" s="62"/>
    </row>
    <row r="623" spans="5:5" hidden="1" x14ac:dyDescent="0.2">
      <c r="E623" s="62"/>
    </row>
    <row r="624" spans="5:5" hidden="1" x14ac:dyDescent="0.2">
      <c r="E624" s="62"/>
    </row>
    <row r="625" spans="5:5" hidden="1" x14ac:dyDescent="0.2">
      <c r="E625" s="62"/>
    </row>
    <row r="626" spans="5:5" hidden="1" x14ac:dyDescent="0.2">
      <c r="E626" s="62"/>
    </row>
    <row r="627" spans="5:5" hidden="1" x14ac:dyDescent="0.2">
      <c r="E627" s="62"/>
    </row>
    <row r="628" spans="5:5" hidden="1" x14ac:dyDescent="0.2">
      <c r="E628" s="62"/>
    </row>
    <row r="629" spans="5:5" hidden="1" x14ac:dyDescent="0.2">
      <c r="E629" s="62"/>
    </row>
    <row r="630" spans="5:5" hidden="1" x14ac:dyDescent="0.2">
      <c r="E630" s="62"/>
    </row>
    <row r="631" spans="5:5" hidden="1" x14ac:dyDescent="0.2">
      <c r="E631" s="62"/>
    </row>
    <row r="632" spans="5:5" hidden="1" x14ac:dyDescent="0.2">
      <c r="E632" s="62"/>
    </row>
    <row r="633" spans="5:5" hidden="1" x14ac:dyDescent="0.2">
      <c r="E633" s="62"/>
    </row>
    <row r="634" spans="5:5" hidden="1" x14ac:dyDescent="0.2">
      <c r="E634" s="62"/>
    </row>
    <row r="635" spans="5:5" hidden="1" x14ac:dyDescent="0.2">
      <c r="E635" s="62"/>
    </row>
    <row r="636" spans="5:5" hidden="1" x14ac:dyDescent="0.2">
      <c r="E636" s="62"/>
    </row>
    <row r="637" spans="5:5" hidden="1" x14ac:dyDescent="0.2">
      <c r="E637" s="62"/>
    </row>
    <row r="638" spans="5:5" hidden="1" x14ac:dyDescent="0.2">
      <c r="E638" s="62"/>
    </row>
    <row r="639" spans="5:5" hidden="1" x14ac:dyDescent="0.2">
      <c r="E639" s="62"/>
    </row>
    <row r="640" spans="5:5" hidden="1" x14ac:dyDescent="0.2">
      <c r="E640" s="62"/>
    </row>
    <row r="641" spans="5:5" hidden="1" x14ac:dyDescent="0.2">
      <c r="E641" s="62"/>
    </row>
    <row r="642" spans="5:5" hidden="1" x14ac:dyDescent="0.2">
      <c r="E642" s="62"/>
    </row>
    <row r="643" spans="5:5" hidden="1" x14ac:dyDescent="0.2">
      <c r="E643" s="62"/>
    </row>
    <row r="644" spans="5:5" hidden="1" x14ac:dyDescent="0.2">
      <c r="E644" s="62"/>
    </row>
    <row r="645" spans="5:5" hidden="1" x14ac:dyDescent="0.2">
      <c r="E645" s="62"/>
    </row>
    <row r="646" spans="5:5" hidden="1" x14ac:dyDescent="0.2">
      <c r="E646" s="62"/>
    </row>
    <row r="647" spans="5:5" hidden="1" x14ac:dyDescent="0.2">
      <c r="E647" s="62"/>
    </row>
    <row r="648" spans="5:5" hidden="1" x14ac:dyDescent="0.2">
      <c r="E648" s="62"/>
    </row>
    <row r="649" spans="5:5" hidden="1" x14ac:dyDescent="0.2">
      <c r="E649" s="62"/>
    </row>
    <row r="650" spans="5:5" hidden="1" x14ac:dyDescent="0.2">
      <c r="E650" s="62"/>
    </row>
    <row r="651" spans="5:5" hidden="1" x14ac:dyDescent="0.2">
      <c r="E651" s="62"/>
    </row>
    <row r="652" spans="5:5" hidden="1" x14ac:dyDescent="0.2">
      <c r="E652" s="62"/>
    </row>
    <row r="653" spans="5:5" hidden="1" x14ac:dyDescent="0.2">
      <c r="E653" s="62"/>
    </row>
    <row r="654" spans="5:5" hidden="1" x14ac:dyDescent="0.2">
      <c r="E654" s="62"/>
    </row>
    <row r="655" spans="5:5" hidden="1" x14ac:dyDescent="0.2">
      <c r="E655" s="62"/>
    </row>
    <row r="656" spans="5:5" hidden="1" x14ac:dyDescent="0.2">
      <c r="E656" s="62"/>
    </row>
    <row r="657" spans="5:5" hidden="1" x14ac:dyDescent="0.2">
      <c r="E657" s="62"/>
    </row>
    <row r="658" spans="5:5" hidden="1" x14ac:dyDescent="0.2">
      <c r="E658" s="62"/>
    </row>
    <row r="659" spans="5:5" hidden="1" x14ac:dyDescent="0.2">
      <c r="E659" s="62"/>
    </row>
    <row r="660" spans="5:5" hidden="1" x14ac:dyDescent="0.2">
      <c r="E660" s="62"/>
    </row>
    <row r="661" spans="5:5" hidden="1" x14ac:dyDescent="0.2">
      <c r="E661" s="62"/>
    </row>
    <row r="662" spans="5:5" hidden="1" x14ac:dyDescent="0.2">
      <c r="E662" s="62"/>
    </row>
    <row r="663" spans="5:5" hidden="1" x14ac:dyDescent="0.2">
      <c r="E663" s="62"/>
    </row>
    <row r="664" spans="5:5" hidden="1" x14ac:dyDescent="0.2">
      <c r="E664" s="62"/>
    </row>
    <row r="665" spans="5:5" hidden="1" x14ac:dyDescent="0.2">
      <c r="E665" s="62"/>
    </row>
    <row r="666" spans="5:5" hidden="1" x14ac:dyDescent="0.2">
      <c r="E666" s="62"/>
    </row>
    <row r="667" spans="5:5" hidden="1" x14ac:dyDescent="0.2">
      <c r="E667" s="62"/>
    </row>
    <row r="668" spans="5:5" hidden="1" x14ac:dyDescent="0.2">
      <c r="E668" s="62"/>
    </row>
    <row r="669" spans="5:5" hidden="1" x14ac:dyDescent="0.2">
      <c r="E669" s="62"/>
    </row>
    <row r="670" spans="5:5" hidden="1" x14ac:dyDescent="0.2">
      <c r="E670" s="62"/>
    </row>
    <row r="671" spans="5:5" hidden="1" x14ac:dyDescent="0.2">
      <c r="E671" s="62"/>
    </row>
    <row r="672" spans="5:5" hidden="1" x14ac:dyDescent="0.2">
      <c r="E672" s="62"/>
    </row>
    <row r="673" spans="5:5" hidden="1" x14ac:dyDescent="0.2">
      <c r="E673" s="62"/>
    </row>
    <row r="674" spans="5:5" hidden="1" x14ac:dyDescent="0.2">
      <c r="E674" s="62"/>
    </row>
    <row r="675" spans="5:5" hidden="1" x14ac:dyDescent="0.2">
      <c r="E675" s="62"/>
    </row>
    <row r="676" spans="5:5" hidden="1" x14ac:dyDescent="0.2">
      <c r="E676" s="62"/>
    </row>
    <row r="677" spans="5:5" hidden="1" x14ac:dyDescent="0.2">
      <c r="E677" s="62"/>
    </row>
    <row r="678" spans="5:5" hidden="1" x14ac:dyDescent="0.2">
      <c r="E678" s="62"/>
    </row>
    <row r="679" spans="5:5" hidden="1" x14ac:dyDescent="0.2">
      <c r="E679" s="62"/>
    </row>
    <row r="680" spans="5:5" hidden="1" x14ac:dyDescent="0.2">
      <c r="E680" s="62"/>
    </row>
    <row r="681" spans="5:5" hidden="1" x14ac:dyDescent="0.2">
      <c r="E681" s="62"/>
    </row>
    <row r="682" spans="5:5" hidden="1" x14ac:dyDescent="0.2">
      <c r="E682" s="62"/>
    </row>
    <row r="683" spans="5:5" hidden="1" x14ac:dyDescent="0.2">
      <c r="E683" s="62"/>
    </row>
    <row r="684" spans="5:5" hidden="1" x14ac:dyDescent="0.2">
      <c r="E684" s="62"/>
    </row>
    <row r="685" spans="5:5" hidden="1" x14ac:dyDescent="0.2">
      <c r="E685" s="62"/>
    </row>
    <row r="686" spans="5:5" hidden="1" x14ac:dyDescent="0.2">
      <c r="E686" s="62"/>
    </row>
    <row r="687" spans="5:5" hidden="1" x14ac:dyDescent="0.2">
      <c r="E687" s="62"/>
    </row>
    <row r="688" spans="5:5" hidden="1" x14ac:dyDescent="0.2">
      <c r="E688" s="62"/>
    </row>
    <row r="689" spans="5:5" hidden="1" x14ac:dyDescent="0.2">
      <c r="E689" s="62"/>
    </row>
    <row r="690" spans="5:5" hidden="1" x14ac:dyDescent="0.2">
      <c r="E690" s="62"/>
    </row>
    <row r="691" spans="5:5" hidden="1" x14ac:dyDescent="0.2">
      <c r="E691" s="62"/>
    </row>
    <row r="692" spans="5:5" hidden="1" x14ac:dyDescent="0.2">
      <c r="E692" s="62"/>
    </row>
    <row r="693" spans="5:5" hidden="1" x14ac:dyDescent="0.2">
      <c r="E693" s="62"/>
    </row>
    <row r="694" spans="5:5" hidden="1" x14ac:dyDescent="0.2">
      <c r="E694" s="62"/>
    </row>
    <row r="695" spans="5:5" hidden="1" x14ac:dyDescent="0.2">
      <c r="E695" s="62"/>
    </row>
    <row r="696" spans="5:5" hidden="1" x14ac:dyDescent="0.2">
      <c r="E696" s="62"/>
    </row>
    <row r="697" spans="5:5" hidden="1" x14ac:dyDescent="0.2">
      <c r="E697" s="62"/>
    </row>
    <row r="698" spans="5:5" hidden="1" x14ac:dyDescent="0.2">
      <c r="E698" s="62"/>
    </row>
    <row r="699" spans="5:5" hidden="1" x14ac:dyDescent="0.2">
      <c r="E699" s="62"/>
    </row>
    <row r="700" spans="5:5" hidden="1" x14ac:dyDescent="0.2">
      <c r="E700" s="62"/>
    </row>
    <row r="701" spans="5:5" hidden="1" x14ac:dyDescent="0.2">
      <c r="E701" s="62"/>
    </row>
    <row r="702" spans="5:5" hidden="1" x14ac:dyDescent="0.2">
      <c r="E702" s="62"/>
    </row>
    <row r="703" spans="5:5" hidden="1" x14ac:dyDescent="0.2">
      <c r="E703" s="62"/>
    </row>
    <row r="704" spans="5:5" hidden="1" x14ac:dyDescent="0.2">
      <c r="E704" s="62"/>
    </row>
    <row r="705" spans="5:5" hidden="1" x14ac:dyDescent="0.2">
      <c r="E705" s="62"/>
    </row>
    <row r="706" spans="5:5" hidden="1" x14ac:dyDescent="0.2">
      <c r="E706" s="62"/>
    </row>
    <row r="707" spans="5:5" hidden="1" x14ac:dyDescent="0.2">
      <c r="E707" s="62"/>
    </row>
    <row r="708" spans="5:5" hidden="1" x14ac:dyDescent="0.2">
      <c r="E708" s="62"/>
    </row>
    <row r="709" spans="5:5" hidden="1" x14ac:dyDescent="0.2">
      <c r="E709" s="62"/>
    </row>
    <row r="710" spans="5:5" hidden="1" x14ac:dyDescent="0.2">
      <c r="E710" s="62"/>
    </row>
    <row r="711" spans="5:5" hidden="1" x14ac:dyDescent="0.2">
      <c r="E711" s="62"/>
    </row>
    <row r="712" spans="5:5" hidden="1" x14ac:dyDescent="0.2">
      <c r="E712" s="62"/>
    </row>
    <row r="713" spans="5:5" hidden="1" x14ac:dyDescent="0.2">
      <c r="E713" s="62"/>
    </row>
    <row r="714" spans="5:5" hidden="1" x14ac:dyDescent="0.2">
      <c r="E714" s="62"/>
    </row>
  </sheetData>
  <mergeCells count="10">
    <mergeCell ref="N2:O2"/>
    <mergeCell ref="D4:E5"/>
    <mergeCell ref="A4:C5"/>
    <mergeCell ref="L65:L66"/>
    <mergeCell ref="L122:L123"/>
    <mergeCell ref="N8:N9"/>
    <mergeCell ref="N65:N66"/>
    <mergeCell ref="N122:N123"/>
    <mergeCell ref="L8:L9"/>
    <mergeCell ref="L4:N4"/>
  </mergeCells>
  <dataValidations count="30">
    <dataValidation type="list" allowBlank="1" showInputMessage="1" showErrorMessage="1" sqref="G9" xr:uid="{ABD7D82D-B99D-4234-84C7-D46628431003}">
      <formula1>Q1_answers</formula1>
    </dataValidation>
    <dataValidation type="list" allowBlank="1" showInputMessage="1" showErrorMessage="1" sqref="G14" xr:uid="{C538A780-2F27-46CE-A524-0CA19058080B}">
      <formula1>Q2_answers</formula1>
    </dataValidation>
    <dataValidation type="list" allowBlank="1" showInputMessage="1" showErrorMessage="1" sqref="G19" xr:uid="{D46130CA-95FA-411B-BB3C-0C7FE8F70F7D}">
      <formula1>Q3_answers</formula1>
    </dataValidation>
    <dataValidation type="list" allowBlank="1" showInputMessage="1" showErrorMessage="1" sqref="G24" xr:uid="{2F8E1167-C8EA-48F9-A6E7-19BD15E59721}">
      <formula1>Q4_answers</formula1>
    </dataValidation>
    <dataValidation type="list" allowBlank="1" showInputMessage="1" showErrorMessage="1" sqref="G29" xr:uid="{B571D71F-AB6F-4884-87BB-396506392515}">
      <formula1>Q5_answers</formula1>
    </dataValidation>
    <dataValidation type="list" allowBlank="1" showInputMessage="1" showErrorMessage="1" sqref="G37" xr:uid="{3B1C06F8-5DEB-4327-AD20-C6E71539A049}">
      <formula1>Q6_answers</formula1>
    </dataValidation>
    <dataValidation type="list" allowBlank="1" showInputMessage="1" showErrorMessage="1" sqref="G42" xr:uid="{8675C960-5BE4-43D3-98F4-676AD841D2CC}">
      <formula1>Q7_answers</formula1>
    </dataValidation>
    <dataValidation type="list" allowBlank="1" showInputMessage="1" showErrorMessage="1" sqref="G47" xr:uid="{EF8DE532-2652-4DFB-9092-8EBD782FCC83}">
      <formula1>Q8_answers</formula1>
    </dataValidation>
    <dataValidation type="list" allowBlank="1" showInputMessage="1" showErrorMessage="1" sqref="G52" xr:uid="{017DACAC-3AC6-412F-96A3-01CF28542074}">
      <formula1>Q9_answers</formula1>
    </dataValidation>
    <dataValidation type="list" allowBlank="1" showInputMessage="1" showErrorMessage="1" sqref="G57" xr:uid="{BB1D7E75-D060-4BFF-8B31-0AAFCFC81796}">
      <formula1>Q10_answers</formula1>
    </dataValidation>
    <dataValidation type="list" allowBlank="1" showInputMessage="1" showErrorMessage="1" sqref="G66" xr:uid="{1D9E799E-7C28-4591-B3DD-E3B355CFE12D}">
      <formula1>Q11_answers</formula1>
    </dataValidation>
    <dataValidation type="list" allowBlank="1" showInputMessage="1" showErrorMessage="1" sqref="G71" xr:uid="{B58DB6A5-0D69-4419-8143-1B4840D07885}">
      <formula1>Q12_answers</formula1>
    </dataValidation>
    <dataValidation type="list" allowBlank="1" showInputMessage="1" showErrorMessage="1" sqref="G76" xr:uid="{21C8D1EE-E59C-46D7-A3BC-D26AEBCF96D8}">
      <formula1>Q13_answers</formula1>
    </dataValidation>
    <dataValidation type="list" allowBlank="1" showInputMessage="1" showErrorMessage="1" sqref="G81" xr:uid="{A88503F7-C040-4221-B2F8-174FBCE56084}">
      <formula1>Q14_answers</formula1>
    </dataValidation>
    <dataValidation type="list" allowBlank="1" showInputMessage="1" showErrorMessage="1" sqref="G86" xr:uid="{E9D55A19-086D-486A-8823-D754C6AF2814}">
      <formula1>Q15_answers</formula1>
    </dataValidation>
    <dataValidation type="list" allowBlank="1" showInputMessage="1" showErrorMessage="1" sqref="G94" xr:uid="{84BEE556-BBDF-4AC2-BF9B-F1682B104789}">
      <formula1>Q16_answers</formula1>
    </dataValidation>
    <dataValidation type="list" allowBlank="1" showInputMessage="1" showErrorMessage="1" sqref="G99" xr:uid="{CCAA027B-6F3D-4048-B554-6994532EF119}">
      <formula1>Q17_answers</formula1>
    </dataValidation>
    <dataValidation type="list" allowBlank="1" showInputMessage="1" showErrorMessage="1" sqref="G104" xr:uid="{6D9D4CFF-8430-4F02-B7C6-0B38CD22892C}">
      <formula1>Q18_answers</formula1>
    </dataValidation>
    <dataValidation type="list" allowBlank="1" showInputMessage="1" showErrorMessage="1" sqref="G109" xr:uid="{49CE2681-501E-41E3-823C-41E0F4A0539A}">
      <formula1>Q19_answers</formula1>
    </dataValidation>
    <dataValidation type="list" allowBlank="1" showInputMessage="1" showErrorMessage="1" sqref="G114" xr:uid="{091229D4-C483-4F75-8C48-66ECCECF387F}">
      <formula1>Q20_answers</formula1>
    </dataValidation>
    <dataValidation type="list" allowBlank="1" showInputMessage="1" showErrorMessage="1" sqref="G123" xr:uid="{029EFF56-D1BD-481A-9132-D50C99D86E78}">
      <formula1>Q21_answers</formula1>
    </dataValidation>
    <dataValidation type="list" allowBlank="1" showInputMessage="1" showErrorMessage="1" sqref="G128" xr:uid="{A68EF261-97C3-47B8-97C2-893EB96EB961}">
      <formula1>Q22_answers</formula1>
    </dataValidation>
    <dataValidation type="list" allowBlank="1" showInputMessage="1" showErrorMessage="1" sqref="G133" xr:uid="{62D6E295-8A91-41A5-BAA9-CA32A28EE999}">
      <formula1>Q23_answers</formula1>
    </dataValidation>
    <dataValidation type="list" allowBlank="1" showInputMessage="1" showErrorMessage="1" sqref="G138" xr:uid="{5183FF91-1328-4849-9E0B-3F3FB682D0B8}">
      <formula1>Q24_answers</formula1>
    </dataValidation>
    <dataValidation type="list" allowBlank="1" showInputMessage="1" showErrorMessage="1" sqref="G143" xr:uid="{79ED7024-08F2-4665-BA29-2E8EE378CFA7}">
      <formula1>Q25_answers</formula1>
    </dataValidation>
    <dataValidation type="list" allowBlank="1" showInputMessage="1" showErrorMessage="1" sqref="G151" xr:uid="{5719CF00-F13E-4C0A-81EB-9DC98C233EED}">
      <formula1>Q26_answers</formula1>
    </dataValidation>
    <dataValidation type="list" allowBlank="1" showInputMessage="1" showErrorMessage="1" sqref="G156" xr:uid="{147791BB-3F65-4734-A432-9E34EED1F0B2}">
      <formula1>Q27_answers</formula1>
    </dataValidation>
    <dataValidation type="list" allowBlank="1" showInputMessage="1" showErrorMessage="1" sqref="G161" xr:uid="{9FD37BDC-7E8B-4DAA-BB1A-5AA5DDD4BE81}">
      <formula1>Q28_answers</formula1>
    </dataValidation>
    <dataValidation type="list" allowBlank="1" showInputMessage="1" showErrorMessage="1" sqref="G166" xr:uid="{460F9945-92A7-4146-A282-6A67B2E9EB6B}">
      <formula1>Q29_answers</formula1>
    </dataValidation>
    <dataValidation type="list" allowBlank="1" showInputMessage="1" showErrorMessage="1" sqref="G171" xr:uid="{61C886C4-B2C0-49E5-A66E-A755772D2D51}">
      <formula1>Q30_answers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6162B-6D07-41C2-91E5-53F2F1AF299D}">
  <sheetPr codeName="Sheet5">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8.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254</v>
      </c>
    </row>
    <row r="4" spans="1:35" ht="19.5" customHeight="1" x14ac:dyDescent="0.2">
      <c r="A4" s="209" t="s">
        <v>845</v>
      </c>
      <c r="B4" s="209"/>
      <c r="C4" s="209"/>
      <c r="D4" s="211" t="s">
        <v>846</v>
      </c>
      <c r="E4" s="211"/>
      <c r="J4" s="40"/>
      <c r="L4" s="213" t="str">
        <f>D4</f>
        <v>Strategic Governance &amp; Risk Management</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Governance Structure &amp; Leadership</v>
      </c>
      <c r="C6" s="35"/>
      <c r="D6" s="35"/>
      <c r="E6" s="36"/>
      <c r="F6" s="14">
        <f>MATCH(_xlfn.CONCAT(D3,"_",A6),Data!$V$3:$V$14)</f>
        <v>4</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Governance Structure &amp; Leadership
score</v>
      </c>
      <c r="N8" s="212" t="str">
        <f>_xlfn.CONCAT(B6, CHAR(10), "weighted score")</f>
        <v>Governance Structure &amp; Leadership
weighted score</v>
      </c>
    </row>
    <row r="9" spans="1:35" ht="29.25" customHeight="1" outlineLevel="2" thickBot="1" x14ac:dyDescent="0.25">
      <c r="A9" s="92"/>
      <c r="B9" s="53"/>
      <c r="C9" s="54" t="s">
        <v>168</v>
      </c>
      <c r="D9" s="55">
        <v>31</v>
      </c>
      <c r="E9" s="76" t="str">
        <f>VLOOKUP(D9,QuestionList,6,FALSE)</f>
        <v>How is quantum risk oversight structured at the executive level?</v>
      </c>
      <c r="G9" s="56"/>
      <c r="I9" s="77" t="str">
        <f>IFERROR(
IF(G9="","",INT(LEFT(G9,1))),"")</f>
        <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has established leadership responsibility and accountability for quantum computing risks, including the governance structures that provide oversight of quantum readiness initiatives.</v>
      </c>
      <c r="L10" s="61"/>
    </row>
    <row r="11" spans="1:35" ht="18" customHeight="1" outlineLevel="3" x14ac:dyDescent="0.2">
      <c r="A11" s="92"/>
      <c r="C11" s="58"/>
      <c r="D11" s="59"/>
      <c r="E11" s="45" t="s">
        <v>169</v>
      </c>
      <c r="F11" s="48"/>
      <c r="G11" s="62"/>
      <c r="L11" s="61"/>
    </row>
    <row r="12" spans="1:35" ht="105" outlineLevel="3" x14ac:dyDescent="0.2">
      <c r="A12" s="92"/>
      <c r="C12" s="58"/>
      <c r="D12" s="59"/>
      <c r="E12" s="187" t="str">
        <f>VLOOKUP(D9,QuestionList,12,FALSE)</f>
        <v>•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v>
      </c>
      <c r="G12" s="63"/>
      <c r="L12" s="61"/>
    </row>
    <row r="13" spans="1:35" ht="7.5" customHeight="1" outlineLevel="2" x14ac:dyDescent="0.2">
      <c r="A13" s="92"/>
      <c r="C13" s="64"/>
      <c r="D13" s="59"/>
      <c r="E13" s="52"/>
    </row>
    <row r="14" spans="1:35" ht="21" customHeight="1" outlineLevel="2" thickBot="1" x14ac:dyDescent="0.25">
      <c r="A14" s="92"/>
      <c r="B14" s="53"/>
      <c r="C14" s="54" t="s">
        <v>170</v>
      </c>
      <c r="D14" s="55">
        <f>D9+1</f>
        <v>32</v>
      </c>
      <c r="E14" s="76" t="str">
        <f>VLOOKUP(D14,QuestionList,6,FALSE)</f>
        <v>How comprehensive is your quantum risk policy framework?</v>
      </c>
      <c r="G14" s="56"/>
      <c r="I14" s="77" t="str">
        <f>IFERROR(
IF(G14="","",INT(LEFT(G14,1))),"")</f>
        <v/>
      </c>
      <c r="J14" s="53"/>
      <c r="K14" s="48"/>
      <c r="M14" s="48"/>
      <c r="N14" s="48"/>
      <c r="O14" s="48"/>
      <c r="P14" s="48"/>
      <c r="Q14" s="48"/>
      <c r="R14" s="48"/>
      <c r="S14" s="48"/>
      <c r="T14" s="57"/>
    </row>
    <row r="15" spans="1:35" ht="31" outlineLevel="3" thickTop="1" x14ac:dyDescent="0.2">
      <c r="A15" s="92"/>
      <c r="C15" s="58"/>
      <c r="D15" s="59"/>
      <c r="E15" s="60" t="str">
        <f>VLOOKUP(D14,QuestionList,7,FALSE)</f>
        <v>This assesses the maturity of your organization's policy structure specifically addressing quantum computing risks, including the scope, depth, and implementation of policies that guide quantum readiness activities.</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33</v>
      </c>
      <c r="E19" s="76" t="str">
        <f>VLOOKUP(D19,QuestionList,6,FALSE)</f>
        <v>How are quantum security initiatives funded and resourced?</v>
      </c>
      <c r="G19" s="56"/>
      <c r="I19" s="77" t="str">
        <f>IFERROR(
IF(G19="","",INT(LEFT(G19,1))),"")</f>
        <v/>
      </c>
      <c r="J19" s="53"/>
      <c r="K19" s="48"/>
      <c r="M19" s="48"/>
      <c r="N19" s="48"/>
      <c r="O19" s="48"/>
      <c r="P19" s="48"/>
      <c r="Q19" s="48"/>
      <c r="R19" s="48"/>
      <c r="S19" s="48"/>
      <c r="T19" s="57"/>
    </row>
    <row r="20" spans="1:20" ht="45" customHeight="1" outlineLevel="3" thickTop="1" x14ac:dyDescent="0.2">
      <c r="A20" s="92"/>
      <c r="C20" s="58"/>
      <c r="D20" s="59"/>
      <c r="E20" s="60" t="str">
        <f>VLOOKUP(D19,QuestionList,7,FALSE)</f>
        <v>This examines how your organization allocates financial resources and personnel to quantum readiness initiatives, including the maturity of budgeting processes and investment tracking for quantum security efforts.</v>
      </c>
      <c r="L20" s="61"/>
    </row>
    <row r="21" spans="1:20" ht="15" outlineLevel="3" x14ac:dyDescent="0.2">
      <c r="A21" s="92"/>
      <c r="C21" s="58"/>
      <c r="D21" s="59"/>
      <c r="E21" s="45" t="s">
        <v>169</v>
      </c>
      <c r="G21" s="62"/>
      <c r="L21" s="61"/>
    </row>
    <row r="22" spans="1:20" ht="120" outlineLevel="3" x14ac:dyDescent="0.2">
      <c r="A22" s="92"/>
      <c r="C22" s="58"/>
      <c r="D22" s="59"/>
      <c r="E22" s="187" t="str">
        <f>VLOOKUP(D19,QuestionList,12,FALSE)</f>
        <v>•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34</v>
      </c>
      <c r="E24" s="76" t="str">
        <f>VLOOKUP(D24,QuestionList,6,FALSE)</f>
        <v>How do you measure quantum risk governance effectiveness?</v>
      </c>
      <c r="G24" s="56"/>
      <c r="I24" s="77" t="str">
        <f>IFERROR(
IF(G24="","",INT(LEFT(G24,1))),"")</f>
        <v/>
      </c>
      <c r="J24" s="53"/>
      <c r="K24" s="48"/>
      <c r="M24" s="48"/>
      <c r="N24" s="48"/>
      <c r="O24" s="48"/>
      <c r="P24" s="48"/>
      <c r="Q24" s="48"/>
      <c r="R24" s="48"/>
      <c r="S24" s="48"/>
      <c r="T24" s="57"/>
    </row>
    <row r="25" spans="1:20" ht="31" outlineLevel="3" thickTop="1" x14ac:dyDescent="0.2">
      <c r="A25" s="92"/>
      <c r="C25" s="58"/>
      <c r="D25" s="59"/>
      <c r="E25" s="60" t="str">
        <f>VLOOKUP(D24,QuestionList,7,FALSE)</f>
        <v>This assesses your organization's ability to evaluate the performance of quantum security governance activities, including metrics, analytics, and continuous improvement practices.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35</v>
      </c>
      <c r="E29" s="76" t="str">
        <f>VLOOKUP(D29,QuestionList,6,FALSE)</f>
        <v>How does leadership drive quantum security innovation?</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v>
      </c>
      <c r="L30" s="61"/>
    </row>
    <row r="31" spans="1:20" ht="18" customHeight="1" outlineLevel="3" x14ac:dyDescent="0.2">
      <c r="A31" s="92"/>
      <c r="C31" s="65"/>
      <c r="D31" s="59"/>
      <c r="E31" s="45" t="s">
        <v>169</v>
      </c>
      <c r="G31" s="62"/>
      <c r="L31" s="61"/>
    </row>
    <row r="32" spans="1:20" ht="120" outlineLevel="3" x14ac:dyDescent="0.2">
      <c r="A32" s="92"/>
      <c r="C32" s="65"/>
      <c r="D32" s="59"/>
      <c r="E32" s="187" t="str">
        <f>VLOOKUP(D29,QuestionList,12,FALSE)</f>
        <v>•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36</v>
      </c>
      <c r="E37" s="76" t="str">
        <f>VLOOKUP(D37,QuestionList,6,FALSE)</f>
        <v>How is quantum risk integrated into organizational strategy and long-term planning?</v>
      </c>
      <c r="G37" s="56"/>
      <c r="I37" s="77" t="str">
        <f>IFERROR(
IF(G37="","",INT(LEFT(G37,1))),"")</f>
        <v/>
      </c>
      <c r="J37" s="53"/>
      <c r="K37" s="48"/>
      <c r="L37" s="48"/>
      <c r="M37" s="48"/>
      <c r="N37" s="48"/>
      <c r="O37" s="48"/>
      <c r="P37" s="48"/>
      <c r="Q37" s="48"/>
      <c r="R37" s="48"/>
      <c r="S37" s="48"/>
      <c r="T37" s="57"/>
    </row>
    <row r="38" spans="1:20" ht="15" outlineLevel="3" thickTop="1" x14ac:dyDescent="0.2">
      <c r="A38" s="92"/>
      <c r="C38" s="58"/>
      <c r="D38" s="59"/>
      <c r="E38" s="188">
        <f>VLOOKUP(D37,QuestionList,7,FALSE)</f>
        <v>0</v>
      </c>
      <c r="L38" s="48"/>
    </row>
    <row r="39" spans="1:20" ht="18" customHeight="1" outlineLevel="3" x14ac:dyDescent="0.2">
      <c r="A39" s="92"/>
      <c r="C39" s="58"/>
      <c r="D39" s="59"/>
      <c r="E39" s="45" t="s">
        <v>169</v>
      </c>
      <c r="F39" s="48"/>
      <c r="G39" s="62"/>
      <c r="L39" s="61"/>
    </row>
    <row r="40" spans="1:20" ht="122" customHeight="1" outlineLevel="3" x14ac:dyDescent="0.2">
      <c r="A40" s="92"/>
      <c r="C40" s="58"/>
      <c r="D40" s="59"/>
      <c r="E40" s="187" t="str">
        <f>VLOOKUP(D37,QuestionList,12,FALSE)</f>
        <v>•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v>
      </c>
      <c r="G40" s="63"/>
      <c r="L40" s="61"/>
    </row>
    <row r="41" spans="1:20" ht="14" outlineLevel="2" x14ac:dyDescent="0.2">
      <c r="A41" s="92"/>
      <c r="C41" s="64"/>
      <c r="D41" s="59"/>
      <c r="E41" s="52"/>
    </row>
    <row r="42" spans="1:20" ht="29.25" customHeight="1" outlineLevel="2" thickBot="1" x14ac:dyDescent="0.25">
      <c r="A42" s="92"/>
      <c r="B42" s="53"/>
      <c r="C42" s="54" t="s">
        <v>170</v>
      </c>
      <c r="D42" s="55">
        <f>D14+5</f>
        <v>37</v>
      </c>
      <c r="E42" s="76" t="str">
        <f>VLOOKUP(D42,QuestionList,6,FALSE)</f>
        <v>How are quantum security policies reviewed and maintained over time?</v>
      </c>
      <c r="G42" s="56"/>
      <c r="I42" s="77" t="str">
        <f>IFERROR(
IF(G42="","",INT(LEFT(G42,1))),"")</f>
        <v/>
      </c>
      <c r="J42" s="53"/>
      <c r="K42" s="48"/>
      <c r="M42" s="48"/>
      <c r="N42" s="48"/>
      <c r="O42" s="48"/>
      <c r="P42" s="48"/>
      <c r="Q42" s="48"/>
      <c r="R42" s="48"/>
      <c r="S42" s="48"/>
      <c r="T42" s="57"/>
    </row>
    <row r="43" spans="1:20" ht="31" outlineLevel="3" thickTop="1" x14ac:dyDescent="0.2">
      <c r="A43" s="92"/>
      <c r="C43" s="58"/>
      <c r="D43" s="59"/>
      <c r="E43" s="188" t="str">
        <f>VLOOKUP(D42,QuestionList,7,FALSE)</f>
        <v>This assesses your organization's ability to ensure quantum-related policies remain current, accurate, and actionable as threats evolve and mitigation strategies advance.</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38</v>
      </c>
      <c r="E47" s="76" t="str">
        <f>VLOOKUP(D47,QuestionList,6,FALSE)</f>
        <v>How is executive leadership kept informed and prepared to guide quantum security strategy?</v>
      </c>
      <c r="G47" s="56"/>
      <c r="I47" s="77" t="str">
        <f>IFERROR(
IF(G47="","",INT(LEFT(G47,1))),"")</f>
        <v/>
      </c>
      <c r="J47" s="53"/>
      <c r="K47" s="48"/>
      <c r="M47" s="48"/>
      <c r="N47" s="48"/>
      <c r="O47" s="48"/>
      <c r="P47" s="48"/>
      <c r="Q47" s="48"/>
      <c r="R47" s="48"/>
      <c r="S47" s="48"/>
      <c r="T47" s="57"/>
    </row>
    <row r="48" spans="1:20" ht="61" outlineLevel="3" thickTop="1" x14ac:dyDescent="0.2">
      <c r="A48" s="92"/>
      <c r="C48" s="58"/>
      <c r="D48" s="59"/>
      <c r="E48" s="60" t="str">
        <f>VLOOKUP(D47,QuestionList,7,FALSE)</f>
        <v>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39</v>
      </c>
      <c r="E52" s="76" t="str">
        <f>VLOOKUP(D52,QuestionList,6,FALSE)</f>
        <v>How do you monitor and manage progress across your quantum readiness program and cryptographic transition activities?</v>
      </c>
      <c r="G52" s="56"/>
      <c r="I52" s="77" t="str">
        <f>IFERROR(
IF(G52="","",INT(LEFT(G52,1))),"")</f>
        <v/>
      </c>
      <c r="J52" s="53"/>
      <c r="K52" s="48"/>
      <c r="M52" s="48"/>
      <c r="N52" s="48"/>
      <c r="O52" s="48"/>
      <c r="P52" s="48"/>
      <c r="Q52" s="48"/>
      <c r="R52" s="48"/>
      <c r="S52" s="48"/>
      <c r="T52" s="57"/>
    </row>
    <row r="53" spans="1:20" ht="46" outlineLevel="3" thickTop="1" x14ac:dyDescent="0.2">
      <c r="A53" s="92"/>
      <c r="C53" s="58"/>
      <c r="D53" s="59"/>
      <c r="E53" s="60" t="str">
        <f>VLOOKUP(D52,QuestionList,7,FALSE)</f>
        <v>This assesses your organization's approach to tracking the advancement of quantum readiness initiatives across all relevant domains—cryptographic remediation, policy implementation, vendor upgrades, and workforce enablement.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40</v>
      </c>
      <c r="E57" s="76" t="str">
        <f>VLOOKUP(D57,QuestionList,6,FALSE)</f>
        <v>How does your organization contribute to shaping industry-wide quantum security and cryptographic agility practices?</v>
      </c>
      <c r="G57" s="56"/>
      <c r="I57" s="77" t="str">
        <f>IFERROR(
IF(G57="","",INT(LEFT(G57,1))),"")</f>
        <v/>
      </c>
      <c r="J57" s="53"/>
      <c r="K57" s="48"/>
      <c r="M57" s="48"/>
      <c r="N57" s="48"/>
      <c r="O57" s="48"/>
      <c r="P57" s="48"/>
      <c r="Q57" s="48"/>
      <c r="R57" s="48"/>
      <c r="S57" s="48"/>
      <c r="T57" s="57"/>
    </row>
    <row r="58" spans="1:20" ht="46" outlineLevel="3" thickTop="1" x14ac:dyDescent="0.2">
      <c r="A58" s="92"/>
      <c r="C58" s="65"/>
      <c r="D58" s="59"/>
      <c r="E58" s="60" t="str">
        <f>VLOOKUP(D57,QuestionList,7,FALSE)</f>
        <v>This assesses your organization's contributions to industry knowledge sharing, standards development, and thought leadership in quantum security and cryptographic transition planning—including efforts to drive interoperability, agility, and preparedness across sectors.</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Risk Management Framework</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Risk Management Framework
score</v>
      </c>
      <c r="N65" s="212" t="str">
        <f>_xlfn.CONCAT(B63, CHAR(10), "weighted score")</f>
        <v>Risk Management Framework
weighted score</v>
      </c>
      <c r="O65" s="61"/>
    </row>
    <row r="66" spans="1:20" ht="29.25" customHeight="1" outlineLevel="2" thickBot="1" x14ac:dyDescent="0.25">
      <c r="A66" s="92"/>
      <c r="B66" s="53"/>
      <c r="C66" s="54" t="s">
        <v>168</v>
      </c>
      <c r="D66" s="55">
        <f>D37+5</f>
        <v>41</v>
      </c>
      <c r="E66" s="76" t="str">
        <f>VLOOKUP(D66,QuestionList,6,FALSE)</f>
        <v>How comprehensive is your quantum risk assessment methodology?</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organization's approach to identifying and evaluating quantum computing risks, including structured assessment frameworks, risk categorization, prioritization methods, and how the results inform cryptographic agility and transition planning.</v>
      </c>
      <c r="L67" s="61"/>
      <c r="M67" s="61"/>
      <c r="N67" s="61"/>
      <c r="O67" s="61"/>
    </row>
    <row r="68" spans="1:20" ht="18" customHeight="1" outlineLevel="3" x14ac:dyDescent="0.2">
      <c r="A68" s="92"/>
      <c r="C68" s="58"/>
      <c r="D68" s="59"/>
      <c r="E68" s="45" t="s">
        <v>169</v>
      </c>
      <c r="F68" s="48"/>
      <c r="G68" s="62"/>
      <c r="L68" s="61"/>
      <c r="M68" s="61"/>
      <c r="N68" s="61"/>
      <c r="O68" s="61"/>
    </row>
    <row r="69" spans="1:20" ht="105" outlineLevel="3" x14ac:dyDescent="0.2">
      <c r="A69" s="92"/>
      <c r="C69" s="58"/>
      <c r="D69" s="59"/>
      <c r="E69" s="187" t="str">
        <f>VLOOKUP(D66,QuestionList,12,FALSE)</f>
        <v>•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42</v>
      </c>
      <c r="E71" s="76" t="str">
        <f>VLOOKUP(D71,QuestionList,6,FALSE)</f>
        <v>How automated is your quantum risk monitoring and integration into cryptographic transition planning?</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assesses your organization's capabilities for continuously monitoring quantum computing threats and their impact on cryptographic assets, and how this surveillance is integrated into cryptographic agility planning and transition execution.</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43</v>
      </c>
      <c r="E76" s="76" t="str">
        <f>VLOOKUP(D76,QuestionList,6,FALSE)</f>
        <v>How do you quantify quantum risk exposure?</v>
      </c>
      <c r="G76" s="56"/>
      <c r="I76" s="77" t="str">
        <f>IFERROR(
IF(G76="","",INT(LEFT(G76,1))),"")</f>
        <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methods for measuring the potential impact of quantum computing threats, including structured risk scoring, data sensitivity analysis, and the use of quantitative models to support cryptographic agility planning and business-aligned prioritization.</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44</v>
      </c>
      <c r="E81" s="76" t="str">
        <f>VLOOKUP(D81,QuestionList,6,FALSE)</f>
        <v>How do you validate the effectiveness of quantum risk controls?</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examines your organization's approach to verifying whether quantum-related risk mitigation controls—such as cryptographic upgrades, monitoring systems, and vendor safeguards—are functioning as intended and delivering the expected reduction in quantum risk exposure.</v>
      </c>
      <c r="L82" s="61"/>
    </row>
    <row r="83" spans="1:20" ht="18" customHeight="1" outlineLevel="3" x14ac:dyDescent="0.2">
      <c r="A83" s="92"/>
      <c r="C83" s="58"/>
      <c r="D83" s="59"/>
      <c r="E83" s="45" t="s">
        <v>169</v>
      </c>
      <c r="G83" s="62"/>
      <c r="L83" s="61"/>
    </row>
    <row r="84" spans="1:20" ht="120" outlineLevel="3" x14ac:dyDescent="0.2">
      <c r="A84" s="92"/>
      <c r="C84" s="58"/>
      <c r="D84" s="59"/>
      <c r="E84" s="187" t="str">
        <f>VLOOKUP(D81,QuestionList,12,FALSE)</f>
        <v>•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45</v>
      </c>
      <c r="E86" s="76" t="str">
        <f>VLOOKUP(D86,QuestionList,6,FALSE)</f>
        <v>How do you update your quantum risk assessment methodology as new threats and cryptographic developments emerge?</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ability to evolve its quantum risk assessment framework in response to advances in quantum computing, cryptanalysis, and PQC research—ensuring that risk models, prioritization criteria, and cryptographic agility planning remain current and effective.</v>
      </c>
      <c r="L87" s="61"/>
    </row>
    <row r="88" spans="1:20" ht="18" customHeight="1" outlineLevel="3" x14ac:dyDescent="0.2">
      <c r="A88" s="92"/>
      <c r="C88" s="65"/>
      <c r="D88" s="59"/>
      <c r="E88" s="45" t="s">
        <v>169</v>
      </c>
      <c r="G88" s="62"/>
      <c r="L88" s="61"/>
    </row>
    <row r="89" spans="1:20" ht="120" outlineLevel="3" x14ac:dyDescent="0.2">
      <c r="A89" s="92"/>
      <c r="C89" s="65"/>
      <c r="D89" s="59"/>
      <c r="E89" s="187" t="str">
        <f>VLOOKUP(D86,QuestionList,12,FALSE)</f>
        <v>•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46</v>
      </c>
      <c r="E94" s="76" t="str">
        <f>VLOOKUP(D94,QuestionList,6,FALSE)</f>
        <v>How mature is your quantum security compliance program?</v>
      </c>
      <c r="G94" s="56"/>
      <c r="I94" s="77" t="str">
        <f>IFERROR(
IF(G94="","",INT(LEFT(G94,1))),"")</f>
        <v/>
      </c>
      <c r="J94" s="53"/>
      <c r="K94" s="48"/>
      <c r="L94" s="48"/>
      <c r="M94" s="48"/>
      <c r="N94" s="48"/>
      <c r="O94" s="48"/>
      <c r="P94" s="48"/>
      <c r="Q94" s="48"/>
      <c r="R94" s="48"/>
      <c r="S94" s="48"/>
      <c r="T94" s="57"/>
    </row>
    <row r="95" spans="1:20" ht="61" outlineLevel="3" thickTop="1" x14ac:dyDescent="0.2">
      <c r="A95" s="92"/>
      <c r="C95" s="58"/>
      <c r="D95" s="59"/>
      <c r="E95" s="60" t="str">
        <f>VLOOKUP(D94,QuestionList,7,FALSE)</f>
        <v>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v>
      </c>
      <c r="L95" s="48"/>
    </row>
    <row r="96" spans="1:20" ht="18" customHeight="1" outlineLevel="3" x14ac:dyDescent="0.2">
      <c r="A96" s="92"/>
      <c r="C96" s="58"/>
      <c r="D96" s="59"/>
      <c r="E96" s="45" t="s">
        <v>169</v>
      </c>
      <c r="F96" s="48"/>
      <c r="G96" s="62"/>
      <c r="L96" s="61"/>
    </row>
    <row r="97" spans="1:20" ht="60" outlineLevel="3" x14ac:dyDescent="0.2">
      <c r="A97" s="92"/>
      <c r="C97" s="58"/>
      <c r="D97" s="59"/>
      <c r="E97" s="187" t="str">
        <f>VLOOKUP(D94,QuestionList,12,FALSE)</f>
        <v>•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47</v>
      </c>
      <c r="E99" s="76" t="str">
        <f>VLOOKUP(D99,QuestionList,6,FALSE)</f>
        <v>How does your organization adapt cryptographic practices in response to evolving quantum security standards and regulatory requirements?</v>
      </c>
      <c r="G99" s="56"/>
      <c r="I99" s="77" t="str">
        <f>IFERROR(
IF(G99="","",INT(LEFT(G99,1))),"")</f>
        <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track changes in quantum-related regulations and standards (e.g., NIST, ETSI), and update internal controls, cryptographic configurations, and transition plans accordingly to maintain compliance and agility.</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48</v>
      </c>
      <c r="E104" s="76" t="str">
        <f>VLOOKUP(D104,QuestionList,6,FALSE)</f>
        <v>How do you track and map compliance across quantum-relevant controls and systems?</v>
      </c>
      <c r="G104" s="56"/>
      <c r="I104" s="77" t="str">
        <f>IFERROR(
IF(G104="","",INT(LEFT(G104,1))),"")</f>
        <v/>
      </c>
      <c r="J104" s="53"/>
      <c r="K104" s="48"/>
      <c r="M104" s="48"/>
      <c r="N104" s="48"/>
      <c r="O104" s="48"/>
      <c r="P104" s="48"/>
      <c r="Q104" s="48"/>
      <c r="R104" s="48"/>
      <c r="S104" s="48"/>
      <c r="T104" s="57"/>
    </row>
    <row r="105" spans="1:20" ht="46" outlineLevel="3" thickTop="1" x14ac:dyDescent="0.2">
      <c r="A105" s="92"/>
      <c r="C105" s="58"/>
      <c r="D105" s="59"/>
      <c r="E105" s="60" t="str">
        <f>VLOOKUP(D104,QuestionList,7,FALSE)</f>
        <v>This examines your organization's ability to trace quantum security compliance requirements to specific systems, policies, and enforcement controls—ensuring coverage, accountability, and auditability across the enterprise.</v>
      </c>
      <c r="L105" s="61"/>
    </row>
    <row r="106" spans="1:20" ht="18" customHeight="1" outlineLevel="3" x14ac:dyDescent="0.2">
      <c r="A106" s="92"/>
      <c r="C106" s="58"/>
      <c r="D106" s="59"/>
      <c r="E106" s="45" t="s">
        <v>169</v>
      </c>
      <c r="G106" s="62"/>
      <c r="L106" s="61"/>
    </row>
    <row r="107" spans="1:20" ht="120" outlineLevel="3" x14ac:dyDescent="0.2">
      <c r="A107" s="92"/>
      <c r="C107" s="58"/>
      <c r="D107" s="59"/>
      <c r="E107" s="187" t="str">
        <f>VLOOKUP(D104,QuestionList,12,FALSE)</f>
        <v>•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49</v>
      </c>
      <c r="E109" s="76" t="str">
        <f>VLOOKUP(D109,QuestionList,6,FALSE)</f>
        <v>How do you measure cryptographic remediation progress for regulated domains?</v>
      </c>
      <c r="G109" s="56"/>
      <c r="I109" s="77" t="str">
        <f>IFERROR(
IF(G109="","",INT(LEFT(G109,1))),"")</f>
        <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assesses your organization’s ability to track and measure progress on closing quantum security compliance gaps across high-risk, regulated domains such as PKI infrastructure, TLS endpoints, code signing workflows, and software supply chain protections.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50</v>
      </c>
      <c r="E114" s="76" t="str">
        <f>VLOOKUP(D114,QuestionList,6,FALSE)</f>
        <v>How do you ensure quantum security requirements are integrated into audits and control testing?</v>
      </c>
      <c r="G114" s="56"/>
      <c r="I114" s="77" t="str">
        <f>IFERROR(
IF(G114="","",INT(LEFT(G114,1))),"")</f>
        <v/>
      </c>
      <c r="J114" s="53"/>
      <c r="K114" s="48"/>
      <c r="M114" s="48"/>
      <c r="N114" s="48"/>
      <c r="O114" s="48"/>
      <c r="P114" s="48"/>
      <c r="Q114" s="48"/>
      <c r="R114" s="48"/>
      <c r="S114" s="48"/>
      <c r="T114" s="57"/>
    </row>
    <row r="115" spans="1:20" ht="31" outlineLevel="3" thickTop="1" x14ac:dyDescent="0.2">
      <c r="A115" s="92"/>
      <c r="C115" s="65"/>
      <c r="D115" s="59"/>
      <c r="E115" s="60" t="str">
        <f>VLOOKUP(D114,QuestionList,7,FALSE)</f>
        <v>This assesses your organization’s ability to operationalize quantum readiness by embedding quantum security controls into audit procedures and technical control testing.</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Compliance &amp; Audit</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Compliance &amp; Audit
score</v>
      </c>
      <c r="N122" s="212" t="str">
        <f>_xlfn.CONCAT(B120, CHAR(10), "weighted score")</f>
        <v>Compliance &amp; Audit
weighted score</v>
      </c>
      <c r="O122" s="61"/>
    </row>
    <row r="123" spans="1:20" ht="29.25" customHeight="1" outlineLevel="2" thickBot="1" x14ac:dyDescent="0.25">
      <c r="A123" s="92"/>
      <c r="B123" s="53"/>
      <c r="C123" s="54" t="s">
        <v>168</v>
      </c>
      <c r="D123" s="55">
        <f>D94+5</f>
        <v>51</v>
      </c>
      <c r="E123" s="76" t="str">
        <f>VLOOKUP(D123,QuestionList,6,FALSE)</f>
        <v>How comprehensive is your assessment of vendor quantum readiness and cryptographic agility?</v>
      </c>
      <c r="G123" s="56"/>
      <c r="I123" s="77" t="str">
        <f>IFERROR(
IF(G123="","",INT(LEFT(G123,1))),"")</f>
        <v/>
      </c>
      <c r="J123" s="53"/>
      <c r="K123" s="48"/>
      <c r="L123" s="212"/>
      <c r="M123" s="48"/>
      <c r="N123" s="212"/>
      <c r="O123" s="61"/>
      <c r="P123" s="48"/>
      <c r="Q123" s="48"/>
      <c r="R123" s="48"/>
      <c r="S123" s="48"/>
      <c r="T123" s="57"/>
    </row>
    <row r="124" spans="1:20" ht="61" outlineLevel="3" thickTop="1" x14ac:dyDescent="0.2">
      <c r="A124" s="92"/>
      <c r="C124" s="58"/>
      <c r="D124" s="59"/>
      <c r="E124" s="60" t="str">
        <f>VLOOKUP(D123,QuestionList,7,FALSE)</f>
        <v>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0" outlineLevel="3" x14ac:dyDescent="0.2">
      <c r="A126" s="92"/>
      <c r="C126" s="58"/>
      <c r="D126" s="59"/>
      <c r="E126" s="187" t="str">
        <f>VLOOKUP(D123,QuestionList,12,FALSE)</f>
        <v>•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52</v>
      </c>
      <c r="E128" s="76" t="str">
        <f>VLOOKUP(D128,QuestionList,6,FALSE)</f>
        <v>How do you manage quantum security and cryptographic agility requirements for vendors handling sensitive systems?</v>
      </c>
      <c r="G128" s="56"/>
      <c r="I128" s="77" t="str">
        <f>IFERROR(
IF(G128="","",INT(LEFT(G128,1))),"")</f>
        <v/>
      </c>
      <c r="J128" s="53"/>
      <c r="K128" s="48"/>
      <c r="M128" s="48"/>
      <c r="N128" s="48"/>
      <c r="O128" s="48"/>
      <c r="P128" s="48"/>
      <c r="Q128" s="48"/>
      <c r="R128" s="48"/>
      <c r="S128" s="48"/>
      <c r="T128" s="57"/>
    </row>
    <row r="129" spans="1:20" ht="61" outlineLevel="3" thickTop="1" x14ac:dyDescent="0.2">
      <c r="A129" s="92"/>
      <c r="C129" s="58"/>
      <c r="D129" s="59"/>
      <c r="E129" s="60" t="str">
        <f>VLOOKUP(D128,QuestionList,7,FALSE)</f>
        <v>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v>
      </c>
      <c r="L129" s="61"/>
    </row>
    <row r="130" spans="1:20" ht="18" customHeight="1" outlineLevel="3" x14ac:dyDescent="0.2">
      <c r="A130" s="92"/>
      <c r="C130" s="58"/>
      <c r="D130" s="59"/>
      <c r="E130" s="45" t="s">
        <v>169</v>
      </c>
      <c r="G130" s="62"/>
      <c r="L130" s="61"/>
    </row>
    <row r="131" spans="1:20" ht="120" outlineLevel="3" x14ac:dyDescent="0.2">
      <c r="A131" s="92"/>
      <c r="C131" s="58"/>
      <c r="D131" s="59"/>
      <c r="E131" s="187" t="str">
        <f>VLOOKUP(D128,QuestionList,12,FALSE)</f>
        <v>•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53</v>
      </c>
      <c r="E133" s="76" t="str">
        <f>VLOOKUP(D133,QuestionList,6,FALSE)</f>
        <v>How do you audit vendor controls for quantum security in critical systems?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assesses your organization’s approach to verifying that vendors have implemented effective quantum-safe and cryptographic agility controls across high-risk systems such as code signing infrastructure, TLS endpoints, HSM configurations, CI/CD pipelines, and PKI integrations.</v>
      </c>
      <c r="L134" s="61"/>
    </row>
    <row r="135" spans="1:20" ht="18" customHeight="1" outlineLevel="3" x14ac:dyDescent="0.2">
      <c r="A135" s="92"/>
      <c r="C135" s="58"/>
      <c r="D135" s="59"/>
      <c r="E135" s="45" t="s">
        <v>169</v>
      </c>
      <c r="G135" s="62"/>
      <c r="L135" s="61"/>
    </row>
    <row r="136" spans="1:20" ht="120" outlineLevel="3" x14ac:dyDescent="0.2">
      <c r="A136" s="92"/>
      <c r="C136" s="58"/>
      <c r="D136" s="59"/>
      <c r="E136" s="187" t="str">
        <f>VLOOKUP(D133,QuestionList,12,FALSE)</f>
        <v>•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v>
      </c>
      <c r="G136" s="63"/>
      <c r="L136" s="61"/>
    </row>
    <row r="137" spans="1:20" ht="7.5" customHeight="1" outlineLevel="2" x14ac:dyDescent="0.2">
      <c r="A137" s="92"/>
      <c r="C137" s="64"/>
      <c r="D137" s="59"/>
      <c r="E137" s="52"/>
    </row>
    <row r="138" spans="1:20" ht="16" outlineLevel="2" thickBot="1" x14ac:dyDescent="0.25">
      <c r="A138" s="92"/>
      <c r="B138" s="53"/>
      <c r="C138" s="54" t="s">
        <v>172</v>
      </c>
      <c r="D138" s="55">
        <f>D109+5</f>
        <v>54</v>
      </c>
      <c r="E138" s="76" t="str">
        <f>VLOOKUP(D138,QuestionList,6,FALSE)</f>
        <v>How does your organization enforce and validate vendor cryptographic agility under real-world constraints?</v>
      </c>
      <c r="G138" s="56"/>
      <c r="I138" s="77" t="str">
        <f>IFERROR(
IF(G138="","",INT(LEFT(G138,1))),"")</f>
        <v/>
      </c>
      <c r="J138" s="53"/>
      <c r="K138" s="48"/>
      <c r="M138" s="48"/>
      <c r="N138" s="48"/>
      <c r="O138" s="48"/>
      <c r="P138" s="48"/>
      <c r="Q138" s="48"/>
      <c r="R138" s="48"/>
      <c r="S138" s="48"/>
      <c r="T138" s="57"/>
    </row>
    <row r="139" spans="1:20" ht="50.25" customHeight="1" outlineLevel="3" thickTop="1" x14ac:dyDescent="0.2">
      <c r="A139" s="92"/>
      <c r="C139" s="58"/>
      <c r="D139" s="59"/>
      <c r="E139" s="60" t="str">
        <f>VLOOKUP(D138,QuestionList,7,FALSE)</f>
        <v>This examines your organization’s oversight of whether vendors can reliably perform cryptographic agility operations under realistic operational, hardware, and deployment constraints, including bandwidth limitations, embedded environments, or downtime-sensitive systems.</v>
      </c>
      <c r="L139" s="61"/>
    </row>
    <row r="140" spans="1:20" ht="18" customHeight="1" outlineLevel="3" x14ac:dyDescent="0.2">
      <c r="A140" s="92"/>
      <c r="C140" s="58"/>
      <c r="D140" s="59"/>
      <c r="E140" s="45" t="s">
        <v>169</v>
      </c>
      <c r="G140" s="62"/>
      <c r="L140" s="61"/>
    </row>
    <row r="141" spans="1:20" ht="120" outlineLevel="3" x14ac:dyDescent="0.2">
      <c r="A141" s="92"/>
      <c r="C141" s="58"/>
      <c r="D141" s="59"/>
      <c r="E141" s="187" t="str">
        <f>VLOOKUP(D138,QuestionList,12,FALSE)</f>
        <v>•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v>
      </c>
      <c r="G141" s="63"/>
      <c r="L141" s="61"/>
    </row>
    <row r="142" spans="1:20" ht="7.5" customHeight="1" outlineLevel="2" x14ac:dyDescent="0.2">
      <c r="A142" s="92"/>
      <c r="C142" s="64"/>
      <c r="D142" s="59"/>
      <c r="E142" s="52"/>
    </row>
    <row r="143" spans="1:20" ht="16" outlineLevel="2" thickBot="1" x14ac:dyDescent="0.25">
      <c r="A143" s="92"/>
      <c r="B143" s="53"/>
      <c r="C143" s="54" t="s">
        <v>173</v>
      </c>
      <c r="D143" s="55">
        <f>D114+5</f>
        <v>55</v>
      </c>
      <c r="E143" s="76" t="str">
        <f>VLOOKUP(D143,QuestionList,6,FALSE)</f>
        <v>How do you evaluate vendor support for hardware dependencies?</v>
      </c>
      <c r="G143" s="56"/>
      <c r="I143" s="77" t="str">
        <f>IFERROR(
IF(G143="","",INT(LEFT(G143,1))),"")</f>
        <v/>
      </c>
      <c r="J143" s="53"/>
      <c r="K143" s="48"/>
      <c r="M143" s="48"/>
      <c r="N143" s="48"/>
      <c r="O143" s="48"/>
      <c r="P143" s="48"/>
      <c r="Q143" s="48"/>
      <c r="R143" s="48"/>
      <c r="S143" s="48"/>
      <c r="T143" s="57"/>
    </row>
    <row r="144" spans="1:20" ht="61" outlineLevel="3" thickTop="1" x14ac:dyDescent="0.2">
      <c r="A144" s="92"/>
      <c r="C144" s="65"/>
      <c r="D144" s="59"/>
      <c r="E144" s="60" t="str">
        <f>VLOOKUP(D143,QuestionList,7,FALSE)</f>
        <v>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56</v>
      </c>
      <c r="E151" s="76" t="str">
        <f>VLOOKUP(D151,QuestionList,6,FALSE)</f>
        <v>How does your organization assess and manage quantum-related risks across its supply chain?</v>
      </c>
      <c r="G151" s="56"/>
      <c r="I151" s="77" t="str">
        <f>IFERROR(
IF(G151="","",INT(LEFT(G151,1))),"")</f>
        <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your organization’s maturity in identifying, evaluating, and mitigating quantum computing risks within its vendor ecosystem and broader supply chain—focusing on structured frameworks, assessment methodologies, and the ability to adapt to evolving threats.</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57</v>
      </c>
      <c r="E156" s="76" t="str">
        <f>VLOOKUP(D156,QuestionList,6,FALSE)</f>
        <v>How does your organization perform technical evaluation of quantum risk across individual supply chain vendors and components?</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58</v>
      </c>
      <c r="E161" s="76" t="str">
        <f>VLOOKUP(D161,QuestionList,6,FALSE)</f>
        <v>How do you identify and prioritize supply chain systems that could delay or block enterprise cryptographic transitions?</v>
      </c>
      <c r="G161" s="56"/>
      <c r="I161" s="77" t="str">
        <f>IFERROR(
IF(G161="","",INT(LEFT(G161,1))),"")</f>
        <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v>
      </c>
      <c r="L162" s="61"/>
    </row>
    <row r="163" spans="1:20" ht="18" customHeight="1" outlineLevel="3" x14ac:dyDescent="0.2">
      <c r="A163" s="92"/>
      <c r="C163" s="58"/>
      <c r="D163" s="59"/>
      <c r="E163" s="45" t="s">
        <v>169</v>
      </c>
      <c r="G163" s="62"/>
      <c r="L163" s="61"/>
    </row>
    <row r="164" spans="1:20" ht="120" outlineLevel="3" x14ac:dyDescent="0.2">
      <c r="A164" s="92"/>
      <c r="C164" s="58"/>
      <c r="D164" s="59"/>
      <c r="E164" s="187" t="str">
        <f>VLOOKUP(D161,QuestionList,12,FALSE)</f>
        <v>•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59</v>
      </c>
      <c r="E166" s="76" t="str">
        <f>VLOOKUP(D166,QuestionList,6,FALSE)</f>
        <v>How does your organization evaluate fallback or downgrade risks in supply chain cryptographic protocols?</v>
      </c>
      <c r="G166" s="56"/>
      <c r="I166" s="77" t="str">
        <f>IFERROR(
IF(G166="","",INT(LEFT(G166,1))),"")</f>
        <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organization’s ability to identify and assess downgrade paths or fallback mechanisms in vendor-supplied cryptographic protocols that could undermine post-quantum security, such as legacy cipher support, weak default configurations, or disabled algorithm negotiation.</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60</v>
      </c>
      <c r="E171" s="76" t="str">
        <f>VLOOKUP(D171,QuestionList,6,FALSE)</f>
        <v>How does your organization improve vendor risk practices?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assesses your organization's contributions to advancing vendor risk management practices for quantum security, including innovation, standardization, and collaboration to strengthen cryptographic readiness across the broader supply chain.</v>
      </c>
      <c r="L172" s="61"/>
    </row>
    <row r="173" spans="1:20" ht="18" customHeight="1" outlineLevel="3" x14ac:dyDescent="0.2">
      <c r="A173" s="48"/>
      <c r="C173" s="65"/>
      <c r="D173" s="59"/>
      <c r="E173" s="45" t="s">
        <v>169</v>
      </c>
      <c r="G173" s="62"/>
      <c r="L173" s="61"/>
    </row>
    <row r="174" spans="1:20" ht="75" outlineLevel="3" x14ac:dyDescent="0.2">
      <c r="A174" s="48"/>
      <c r="C174" s="65"/>
      <c r="D174" s="59"/>
      <c r="E174" s="187" t="str">
        <f>VLOOKUP(D171,QuestionList,12,FALSE)</f>
        <v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07C8469C-4A7D-45AE-96AA-DE4AFF3DF6CC}">
      <formula1>Q31_answers</formula1>
    </dataValidation>
    <dataValidation type="list" allowBlank="1" showInputMessage="1" showErrorMessage="1" sqref="G14" xr:uid="{A545EB33-6D80-49AD-ABBA-F62D00401C45}">
      <formula1>Q32_answers</formula1>
    </dataValidation>
    <dataValidation type="list" allowBlank="1" showInputMessage="1" showErrorMessage="1" sqref="G19" xr:uid="{979460AB-9D8F-4F1F-9AFD-65003535CD82}">
      <formula1>Q33_answers</formula1>
    </dataValidation>
    <dataValidation type="list" allowBlank="1" showInputMessage="1" showErrorMessage="1" sqref="G24" xr:uid="{FEAC711C-DF71-4676-8D7B-2211D2D007B7}">
      <formula1>Q34_answers</formula1>
    </dataValidation>
    <dataValidation type="list" allowBlank="1" showInputMessage="1" showErrorMessage="1" sqref="G29" xr:uid="{5EEE71F5-E2CD-466E-BA38-6EA9B82207A4}">
      <formula1>Q35_answers</formula1>
    </dataValidation>
    <dataValidation type="list" allowBlank="1" showInputMessage="1" showErrorMessage="1" sqref="G37" xr:uid="{F2A5AA20-76FE-4CDD-B222-5C02B5F97D57}">
      <formula1>Q36_answers</formula1>
    </dataValidation>
    <dataValidation type="list" allowBlank="1" showInputMessage="1" showErrorMessage="1" sqref="G42" xr:uid="{FAC68CA2-DECB-4718-AF8C-D6484EA162BB}">
      <formula1>Q37_answers</formula1>
    </dataValidation>
    <dataValidation type="list" allowBlank="1" showInputMessage="1" showErrorMessage="1" sqref="G47" xr:uid="{562693E0-0C83-48C5-BF63-56E009B567BF}">
      <formula1>Q38_answers</formula1>
    </dataValidation>
    <dataValidation type="list" allowBlank="1" showInputMessage="1" showErrorMessage="1" sqref="G52" xr:uid="{9FD7E36A-66C8-43E0-915C-F255EB11DDD4}">
      <formula1>Q39_answers</formula1>
    </dataValidation>
    <dataValidation type="list" allowBlank="1" showInputMessage="1" showErrorMessage="1" sqref="G57" xr:uid="{8F35945F-C280-4116-8ADA-3D662F1BC025}">
      <formula1>Q40_answers</formula1>
    </dataValidation>
    <dataValidation type="list" allowBlank="1" showInputMessage="1" showErrorMessage="1" sqref="G66" xr:uid="{002E6529-4ABB-48E2-9D72-3312C5166F8F}">
      <formula1>Q41_answers</formula1>
    </dataValidation>
    <dataValidation type="list" allowBlank="1" showInputMessage="1" showErrorMessage="1" sqref="G71" xr:uid="{66288297-002E-4257-91CF-CECD18A30273}">
      <formula1>Q42_answers</formula1>
    </dataValidation>
    <dataValidation type="list" allowBlank="1" showInputMessage="1" showErrorMessage="1" sqref="G76" xr:uid="{A59823A8-F0BD-4568-AE56-5ED6FBA8791D}">
      <formula1>Q43_answers</formula1>
    </dataValidation>
    <dataValidation type="list" allowBlank="1" showInputMessage="1" showErrorMessage="1" sqref="G81" xr:uid="{F87DC0F4-C842-4451-9F4A-71650964265C}">
      <formula1>Q44_answers</formula1>
    </dataValidation>
    <dataValidation type="list" allowBlank="1" showInputMessage="1" showErrorMessage="1" sqref="G86" xr:uid="{3E23AFB9-35B4-4382-ABBE-D70DECCA5241}">
      <formula1>Q45_answers</formula1>
    </dataValidation>
    <dataValidation type="list" allowBlank="1" showInputMessage="1" showErrorMessage="1" sqref="G94" xr:uid="{F14EBF7B-C144-43A2-A95B-FA85D49E3779}">
      <formula1>Q46_answers</formula1>
    </dataValidation>
    <dataValidation type="list" allowBlank="1" showInputMessage="1" showErrorMessage="1" sqref="G99" xr:uid="{5A53868E-AFB2-48A4-B479-7CB49814D929}">
      <formula1>Q47_answers</formula1>
    </dataValidation>
    <dataValidation type="list" allowBlank="1" showInputMessage="1" showErrorMessage="1" sqref="G104" xr:uid="{F2AD8286-AA5D-4CCE-8D5D-5E4D2351B690}">
      <formula1>Q48_answers</formula1>
    </dataValidation>
    <dataValidation type="list" allowBlank="1" showInputMessage="1" showErrorMessage="1" sqref="G109" xr:uid="{8A54014F-397E-4548-BE6E-80AA6E942408}">
      <formula1>Q49_answers</formula1>
    </dataValidation>
    <dataValidation type="list" allowBlank="1" showInputMessage="1" showErrorMessage="1" sqref="G114" xr:uid="{DC5DA7A7-34F8-4568-8132-F692D1AF4148}">
      <formula1>Q50_answers</formula1>
    </dataValidation>
    <dataValidation type="list" allowBlank="1" showInputMessage="1" showErrorMessage="1" sqref="G123" xr:uid="{E9D2FAD8-0808-466C-A788-C4D0011C9784}">
      <formula1>Q51_answers</formula1>
    </dataValidation>
    <dataValidation type="list" allowBlank="1" showInputMessage="1" showErrorMessage="1" sqref="G128" xr:uid="{1405CE88-0429-4389-82EB-47287C5A560C}">
      <formula1>Q52_answers</formula1>
    </dataValidation>
    <dataValidation type="list" allowBlank="1" showInputMessage="1" showErrorMessage="1" sqref="G133" xr:uid="{63A326E6-EA00-4ECF-BA0A-D969290FB49C}">
      <formula1>Q53_answers</formula1>
    </dataValidation>
    <dataValidation type="list" allowBlank="1" showInputMessage="1" showErrorMessage="1" sqref="G138" xr:uid="{1AC563A9-C324-4D02-8429-02B38347B44C}">
      <formula1>Q54_answers</formula1>
    </dataValidation>
    <dataValidation type="list" allowBlank="1" showInputMessage="1" showErrorMessage="1" sqref="G143" xr:uid="{CDBC24FD-B982-4DD4-B405-EE3C1C5431D2}">
      <formula1>Q55_answers</formula1>
    </dataValidation>
    <dataValidation type="list" allowBlank="1" showInputMessage="1" showErrorMessage="1" sqref="G151" xr:uid="{F1D4FDD8-124C-4972-96F5-4AABA5B71CC0}">
      <formula1>Q56_answers</formula1>
    </dataValidation>
    <dataValidation type="list" allowBlank="1" showInputMessage="1" showErrorMessage="1" sqref="G156" xr:uid="{E3075F24-62C9-407C-BEA0-85E717A4F11B}">
      <formula1>Q57_answers</formula1>
    </dataValidation>
    <dataValidation type="list" allowBlank="1" showInputMessage="1" showErrorMessage="1" sqref="G161" xr:uid="{9E54065A-5BFB-4884-B81E-2FD123088469}">
      <formula1>Q58_answers</formula1>
    </dataValidation>
    <dataValidation type="list" allowBlank="1" showInputMessage="1" showErrorMessage="1" sqref="G166" xr:uid="{5C0522C6-8FCF-4F5D-8260-35CB940ADF6B}">
      <formula1>Q59_answers</formula1>
    </dataValidation>
    <dataValidation type="list" allowBlank="1" showInputMessage="1" showErrorMessage="1" sqref="G171" xr:uid="{42AF63CE-8E61-40DC-91BA-7CDEB77957BA}">
      <formula1>Q60_answers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828AA-EFBF-4C30-8353-D2EB73E4E5DC}">
  <sheetPr codeName="Sheet6">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5" style="14" customWidth="1"/>
    <col min="12" max="12" width="16.6640625" style="14" customWidth="1"/>
    <col min="13" max="13" width="3.1640625"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316</v>
      </c>
    </row>
    <row r="4" spans="1:35" ht="19.5" customHeight="1" x14ac:dyDescent="0.2">
      <c r="A4" s="209" t="s">
        <v>845</v>
      </c>
      <c r="B4" s="209"/>
      <c r="C4" s="209"/>
      <c r="D4" s="211" t="s">
        <v>874</v>
      </c>
      <c r="E4" s="211"/>
      <c r="J4" s="40"/>
      <c r="L4" s="213" t="str">
        <f>D4</f>
        <v>Data Protection Engineering</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Encryption Implementation</v>
      </c>
      <c r="C6" s="35"/>
      <c r="D6" s="35"/>
      <c r="E6" s="36"/>
      <c r="F6" s="14">
        <f>MATCH(_xlfn.CONCAT(D3,"_",A6),Data!$V$3:$V$14)</f>
        <v>3</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Encryption Implementation
score</v>
      </c>
      <c r="N8" s="212" t="str">
        <f>_xlfn.CONCAT(B6, CHAR(10), "weighted score")</f>
        <v>Encryption Implementation
weighted score</v>
      </c>
    </row>
    <row r="9" spans="1:35" ht="29.25" customHeight="1" outlineLevel="2" thickBot="1" x14ac:dyDescent="0.25">
      <c r="A9" s="92"/>
      <c r="B9" s="53"/>
      <c r="C9" s="54" t="s">
        <v>168</v>
      </c>
      <c r="D9" s="55">
        <v>61</v>
      </c>
      <c r="E9" s="76" t="str">
        <f>VLOOKUP(D9,QuestionList,6,FALSE)</f>
        <v>How does your organization identify data requiring quantum-resistant protection?</v>
      </c>
      <c r="G9" s="56"/>
      <c r="I9" s="77" t="str">
        <f>IFERROR(
IF(G9="","",INT(LEFT(G9,1))),"")</f>
        <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identifies sensitive or long-lived data that may require protection against evolving threats, including the future risks posed by quantum computing.</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62</v>
      </c>
      <c r="E14" s="76" t="str">
        <f>VLOOKUP(D14,QuestionList,6,FALSE)</f>
        <v>How does your organization classify data based on quantum risk?</v>
      </c>
      <c r="G14" s="56"/>
      <c r="I14" s="77" t="str">
        <f>IFERROR(
IF(G14="","",INT(LEFT(G14,1))),"")</f>
        <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your approach to categorizing data assets according to their vulnerability to quantum computing threats, considering factors like protection timeframe, sensitivity, and business impact.</v>
      </c>
      <c r="L15" s="61"/>
    </row>
    <row r="16" spans="1:35" ht="18" customHeight="1" outlineLevel="3" x14ac:dyDescent="0.2">
      <c r="A16" s="92"/>
      <c r="C16" s="58"/>
      <c r="D16" s="59"/>
      <c r="E16" s="45" t="s">
        <v>169</v>
      </c>
      <c r="G16" s="62"/>
      <c r="L16" s="61"/>
    </row>
    <row r="17" spans="1:20" ht="120" outlineLevel="3" x14ac:dyDescent="0.2">
      <c r="A17" s="92"/>
      <c r="C17" s="58"/>
      <c r="D17" s="59"/>
      <c r="E17" s="187" t="str">
        <f>VLOOKUP(D14,QuestionList,12,FALSE)</f>
        <v>•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63</v>
      </c>
      <c r="E19" s="76" t="str">
        <f>VLOOKUP(D19,QuestionList,6,FALSE)</f>
        <v>How does your organization implement quantum-resistant controls?</v>
      </c>
      <c r="G19" s="56"/>
      <c r="I19" s="77" t="str">
        <f>IFERROR(
IF(G19="","",INT(LEFT(G19,1))),"")</f>
        <v/>
      </c>
      <c r="J19" s="53"/>
      <c r="K19" s="48"/>
      <c r="M19" s="48"/>
      <c r="N19" s="48"/>
      <c r="O19" s="48"/>
      <c r="P19" s="48"/>
      <c r="Q19" s="48"/>
      <c r="R19" s="48"/>
      <c r="S19" s="48"/>
      <c r="T19" s="57"/>
    </row>
    <row r="20" spans="1:20" ht="31" outlineLevel="3" thickTop="1" x14ac:dyDescent="0.2">
      <c r="A20" s="92"/>
      <c r="C20" s="58"/>
      <c r="D20" s="59"/>
      <c r="E20" s="60" t="str">
        <f>VLOOKUP(D19,QuestionList,7,FALSE)</f>
        <v>This examines how your organization deploys cryptographic safeguards that protect data against quantum computing threats, including algorithm selection, key management, and control validation.</v>
      </c>
      <c r="L20" s="61"/>
    </row>
    <row r="21" spans="1:20" ht="18" customHeight="1" outlineLevel="3" x14ac:dyDescent="0.2">
      <c r="A21" s="92"/>
      <c r="C21" s="58"/>
      <c r="D21" s="59"/>
      <c r="E21" s="45" t="s">
        <v>169</v>
      </c>
      <c r="G21" s="62"/>
      <c r="L21" s="61"/>
    </row>
    <row r="22" spans="1:20" ht="120" outlineLevel="3" x14ac:dyDescent="0.2">
      <c r="A22" s="92"/>
      <c r="C22" s="58"/>
      <c r="D22" s="59"/>
      <c r="E22" s="187" t="str">
        <f>VLOOKUP(D19,QuestionList,12,FALSE)</f>
        <v>•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64</v>
      </c>
      <c r="E24" s="76" t="str">
        <f>VLOOKUP(D24,QuestionList,6,FALSE)</f>
        <v>How does your organization validate protection controls?</v>
      </c>
      <c r="G24" s="56"/>
      <c r="I24" s="77" t="str">
        <f>IFERROR(
IF(G24="","",INT(LEFT(G24,1))),"")</f>
        <v/>
      </c>
      <c r="J24" s="53"/>
      <c r="K24" s="48"/>
      <c r="M24" s="48"/>
      <c r="N24" s="48"/>
      <c r="O24" s="48"/>
      <c r="P24" s="48"/>
      <c r="Q24" s="48"/>
      <c r="R24" s="48"/>
      <c r="S24" s="48"/>
      <c r="T24" s="57"/>
    </row>
    <row r="25" spans="1:20" ht="31" outlineLevel="3" thickTop="1" x14ac:dyDescent="0.2">
      <c r="A25" s="92"/>
      <c r="C25" s="58"/>
      <c r="D25" s="59"/>
      <c r="E25" s="60" t="str">
        <f>VLOOKUP(D24,QuestionList,7,FALSE)</f>
        <v>This examines your approach to verifying that quantum-resistant data protection controls are correctly implemented and delivering the intended level of security across different environments.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65</v>
      </c>
      <c r="E29" s="76" t="str">
        <f>VLOOKUP(D29,QuestionList,6,FALSE)</f>
        <v>How does your organization tailor data protection requirements for constrained or specialized environments?</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examines whether your protection requirements account for platform-specific constraints—such as limited hardware, fragmented protocols, or cloud-native designs—especially in IoT, embedded, industrial, or multi-cloud systems.</v>
      </c>
      <c r="L30" s="61"/>
    </row>
    <row r="31" spans="1:20" ht="18" customHeight="1" outlineLevel="3" x14ac:dyDescent="0.2">
      <c r="A31" s="92"/>
      <c r="C31" s="65"/>
      <c r="D31" s="59"/>
      <c r="E31" s="45" t="s">
        <v>169</v>
      </c>
      <c r="G31" s="62"/>
      <c r="L31" s="61"/>
    </row>
    <row r="32" spans="1:20" ht="105" outlineLevel="3" x14ac:dyDescent="0.2">
      <c r="A32" s="92"/>
      <c r="C32" s="65"/>
      <c r="D32" s="59"/>
      <c r="E32" s="187" t="str">
        <f>VLOOKUP(D29,QuestionList,12,FALSE)</f>
        <v>•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66</v>
      </c>
      <c r="E37" s="76" t="str">
        <f>VLOOKUP(D37,QuestionList,6,FALSE)</f>
        <v>How does your organization define protection strategies based on data lifecycle and retention needs?</v>
      </c>
      <c r="G37" s="56"/>
      <c r="I37" s="77" t="str">
        <f>IFERROR(
IF(G37="","",INT(LEFT(G37,1))),"")</f>
        <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your organization’s strategic approach to aligning quantum-resistant protections with data lifecycles—ensuring that encryption and integrity controls remain valid for the duration the data must remain secure or verifiable.</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67</v>
      </c>
      <c r="E42" s="76" t="str">
        <f>VLOOKUP(D42,QuestionList,6,FALSE)</f>
        <v>How does your organization define protection strategies for unstructured or semi-structured data?</v>
      </c>
      <c r="G42" s="56"/>
      <c r="I42" s="77" t="str">
        <f>IFERROR(
IF(G42="","",INT(LEFT(G42,1))),"")</f>
        <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data protection strategy explicitly addresses hard-to-classify data types—such as email, documents, collaboration tools, messaging logs, or data lakes—which may contain quantum-sensitive information.</v>
      </c>
      <c r="L43" s="61"/>
    </row>
    <row r="44" spans="1:20" ht="18" customHeight="1" outlineLevel="3" x14ac:dyDescent="0.2">
      <c r="A44" s="92"/>
      <c r="C44" s="58"/>
      <c r="D44" s="59"/>
      <c r="E44" s="45" t="s">
        <v>169</v>
      </c>
      <c r="G44" s="62"/>
      <c r="L44" s="61"/>
    </row>
    <row r="45" spans="1:20" ht="75" outlineLevel="3" x14ac:dyDescent="0.2">
      <c r="A45" s="92"/>
      <c r="C45" s="58"/>
      <c r="D45" s="59"/>
      <c r="E45" s="187" t="str">
        <f>VLOOKUP(D42,QuestionList,12,FALSE)</f>
        <v>•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68</v>
      </c>
      <c r="E47" s="76" t="str">
        <f>VLOOKUP(D47,QuestionList,6,FALSE)</f>
        <v>How does your organization measure the effectiveness of data protection controls?</v>
      </c>
      <c r="G47" s="56"/>
      <c r="I47" s="77" t="str">
        <f>IFERROR(
IF(G47="","",INT(LEFT(G47,1))),"")</f>
        <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approach to assessing whether applied data protection controls meet their intended objectives—such as correctly aligning with data classifications and minimizing residual risk.</v>
      </c>
      <c r="L48" s="61"/>
    </row>
    <row r="49" spans="1:20" ht="18" customHeight="1" outlineLevel="3" x14ac:dyDescent="0.2">
      <c r="A49" s="92"/>
      <c r="C49" s="58"/>
      <c r="D49" s="59"/>
      <c r="E49" s="45" t="s">
        <v>169</v>
      </c>
      <c r="G49" s="62"/>
      <c r="L49" s="61"/>
    </row>
    <row r="50" spans="1:20" ht="120" outlineLevel="3" x14ac:dyDescent="0.2">
      <c r="A50" s="92"/>
      <c r="C50" s="58"/>
      <c r="D50" s="59"/>
      <c r="E50" s="187" t="str">
        <f>VLOOKUP(D47,QuestionList,12,FALSE)</f>
        <v>•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69</v>
      </c>
      <c r="E52" s="76" t="str">
        <f>VLOOKUP(D52,QuestionList,6,FALSE)</f>
        <v>How does your organization identify opportunities to improve data protection controls?</v>
      </c>
      <c r="G52" s="56"/>
      <c r="I52" s="77" t="str">
        <f>IFERROR(
IF(G52="","",INT(LEFT(G52,1))),"")</f>
        <v/>
      </c>
      <c r="J52" s="53"/>
      <c r="K52" s="48"/>
      <c r="M52" s="48"/>
      <c r="N52" s="48"/>
      <c r="O52" s="48"/>
      <c r="P52" s="48"/>
      <c r="Q52" s="48"/>
      <c r="R52" s="48"/>
      <c r="S52" s="48"/>
      <c r="T52" s="57"/>
    </row>
    <row r="53" spans="1:20" ht="46" outlineLevel="3" thickTop="1" x14ac:dyDescent="0.2">
      <c r="A53" s="92"/>
      <c r="C53" s="58"/>
      <c r="D53" s="59"/>
      <c r="E53" s="60" t="str">
        <f>VLOOKUP(D52,QuestionList,7,FALSE)</f>
        <v>This examines how your organization uncovers new protection gaps or improvement areas—through testing, quantum threat updates, performance analysis, or feedback from control validation and classification alignment.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70</v>
      </c>
      <c r="E57" s="76" t="str">
        <f>VLOOKUP(D57,QuestionList,6,FALSE)</f>
        <v>How does your organization assess the performance of data protection controls?</v>
      </c>
      <c r="G57" s="56"/>
      <c r="I57" s="77" t="str">
        <f>IFERROR(
IF(G57="","",INT(LEFT(G57,1))),"")</f>
        <v/>
      </c>
      <c r="J57" s="53"/>
      <c r="K57" s="48"/>
      <c r="M57" s="48"/>
      <c r="N57" s="48"/>
      <c r="O57" s="48"/>
      <c r="P57" s="48"/>
      <c r="Q57" s="48"/>
      <c r="R57" s="48"/>
      <c r="S57" s="48"/>
      <c r="T57" s="57"/>
    </row>
    <row r="58" spans="1:20" ht="46" outlineLevel="3" thickTop="1" x14ac:dyDescent="0.2">
      <c r="A58" s="92"/>
      <c r="C58" s="65"/>
      <c r="D58" s="59"/>
      <c r="E58" s="60" t="str">
        <f>VLOOKUP(D57,QuestionList,7,FALSE)</f>
        <v>This examines how your organization tests and monitors the performance of encryption, key management, and related protection mechanisms—including their impact on system efficiency, usability, and operational feasibility across environments.</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Key Management Systems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Key Management Systems
score</v>
      </c>
      <c r="N65" s="212" t="str">
        <f>_xlfn.CONCAT(B63, CHAR(10), "weighted score")</f>
        <v>Key Management Systems
weighted score</v>
      </c>
      <c r="O65" s="61"/>
    </row>
    <row r="66" spans="1:20" ht="29.25" customHeight="1" outlineLevel="2" thickBot="1" x14ac:dyDescent="0.25">
      <c r="A66" s="92"/>
      <c r="B66" s="53"/>
      <c r="C66" s="54" t="s">
        <v>168</v>
      </c>
      <c r="D66" s="55">
        <f>D37+5</f>
        <v>71</v>
      </c>
      <c r="E66" s="76" t="str">
        <f>VLOOKUP(D66,QuestionList,6,FALSE)</f>
        <v>How does your organization ensure that symmetric encryption for sensitive stored data is secure against quantum algorithms?</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how your organization applies and validates symmetric encryption controls for data at rest, ensuring that key sizes, encryption algorithms, and system design provide sufficient security against quantum computing threats and can be updated over time.</v>
      </c>
      <c r="L67" s="61"/>
      <c r="M67" s="61"/>
      <c r="N67" s="61"/>
      <c r="O67" s="61"/>
    </row>
    <row r="68" spans="1:20" ht="18" customHeight="1" outlineLevel="3" x14ac:dyDescent="0.2">
      <c r="A68" s="92"/>
      <c r="C68" s="58"/>
      <c r="D68" s="59"/>
      <c r="E68" s="45" t="s">
        <v>169</v>
      </c>
      <c r="F68" s="48"/>
      <c r="G68" s="62"/>
      <c r="L68" s="61"/>
      <c r="M68" s="61"/>
      <c r="N68" s="61"/>
      <c r="O68" s="61"/>
    </row>
    <row r="69" spans="1:20" ht="90" outlineLevel="3" x14ac:dyDescent="0.2">
      <c r="A69" s="92"/>
      <c r="C69" s="58"/>
      <c r="D69" s="59"/>
      <c r="E69" s="187" t="str">
        <f>VLOOKUP(D66,QuestionList,12,FALSE)</f>
        <v>•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72</v>
      </c>
      <c r="E71" s="76" t="str">
        <f>VLOOKUP(D71,QuestionList,6,FALSE)</f>
        <v>How does your organization manage encryption keys for stored data in an agile manner?</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examines your organization’s approach to the lifecycle management of encryption keys for data at rest, including generation, storage, rotation, retirement, and readiness to adapt to quantum-safe key types or wrapping mechanisms.</v>
      </c>
      <c r="L72" s="61"/>
    </row>
    <row r="73" spans="1:20" ht="18" customHeight="1" outlineLevel="3" x14ac:dyDescent="0.2">
      <c r="A73" s="92"/>
      <c r="C73" s="58"/>
      <c r="D73" s="59"/>
      <c r="E73" s="45" t="s">
        <v>169</v>
      </c>
      <c r="G73" s="62"/>
      <c r="L73" s="61"/>
    </row>
    <row r="74" spans="1:20" ht="105" outlineLevel="3" x14ac:dyDescent="0.2">
      <c r="A74" s="92"/>
      <c r="C74" s="58"/>
      <c r="D74" s="59"/>
      <c r="E74" s="187" t="str">
        <f>VLOOKUP(D71,QuestionList,12,FALSE)</f>
        <v>•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73</v>
      </c>
      <c r="E76" s="76" t="str">
        <f>VLOOKUP(D76,QuestionList,6,FALSE)</f>
        <v>How does your organization ensure strong, adaptable protection and recoverability for backup and archived data?</v>
      </c>
      <c r="G76" s="56"/>
      <c r="I76" s="77" t="str">
        <f>IFERROR(
IF(G76="","",INT(LEFT(G76,1))),"")</f>
        <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securing backup and archived data over extended retention periods, including the use of encryption, key management practices, and recovery validation that can support evolving cryptographic requirements.</v>
      </c>
      <c r="L77" s="61"/>
    </row>
    <row r="78" spans="1:20" ht="18" customHeight="1" outlineLevel="3" x14ac:dyDescent="0.2">
      <c r="A78" s="92"/>
      <c r="C78" s="58"/>
      <c r="D78" s="59"/>
      <c r="E78" s="45" t="s">
        <v>169</v>
      </c>
      <c r="G78" s="62"/>
      <c r="L78" s="61"/>
    </row>
    <row r="79" spans="1:20" ht="105" outlineLevel="3" x14ac:dyDescent="0.2">
      <c r="A79" s="92"/>
      <c r="C79" s="58"/>
      <c r="D79" s="59"/>
      <c r="E79" s="187" t="str">
        <f>VLOOKUP(D76,QuestionList,12,FALSE)</f>
        <v>•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74</v>
      </c>
      <c r="E81" s="76" t="str">
        <f>VLOOKUP(D81,QuestionList,6,FALSE)</f>
        <v>How does your organization ensure long-term cryptographic integrity of stored and archived data?</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examines how your organization applies integrity protections—such as digital signatures, hashes, and time-stamps—to detect tampering in stored or archived data and ensure those mechanisms remain effective over the full data retention period.</v>
      </c>
      <c r="L82" s="61"/>
    </row>
    <row r="83" spans="1:20" ht="18" customHeight="1" outlineLevel="3" x14ac:dyDescent="0.2">
      <c r="A83" s="92"/>
      <c r="C83" s="58"/>
      <c r="D83" s="59"/>
      <c r="E83" s="45" t="s">
        <v>169</v>
      </c>
      <c r="G83" s="62"/>
      <c r="L83" s="61"/>
    </row>
    <row r="84" spans="1:20" ht="75" outlineLevel="3" x14ac:dyDescent="0.2">
      <c r="A84" s="92"/>
      <c r="C84" s="58"/>
      <c r="D84" s="59"/>
      <c r="E84" s="187" t="str">
        <f>VLOOKUP(D81,QuestionList,12,FALSE)</f>
        <v>•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75</v>
      </c>
      <c r="E86" s="76" t="str">
        <f>VLOOKUP(D86,QuestionList,6,FALSE)</f>
        <v>How does your organization test whether storage encryption and key management controls are strong enough for long-term resilience, including future quantum threats?</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v>
      </c>
      <c r="L87" s="61"/>
    </row>
    <row r="88" spans="1:20" ht="18" customHeight="1" outlineLevel="3" x14ac:dyDescent="0.2">
      <c r="A88" s="92"/>
      <c r="C88" s="65"/>
      <c r="D88" s="59"/>
      <c r="E88" s="45" t="s">
        <v>169</v>
      </c>
      <c r="G88" s="62"/>
      <c r="L88" s="61"/>
    </row>
    <row r="89" spans="1:20" ht="90" outlineLevel="3" x14ac:dyDescent="0.2">
      <c r="A89" s="92"/>
      <c r="C89" s="65"/>
      <c r="D89" s="59"/>
      <c r="E89" s="187" t="str">
        <f>VLOOKUP(D86,QuestionList,12,FALSE)</f>
        <v>•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76</v>
      </c>
      <c r="E94" s="76" t="str">
        <f>VLOOKUP(D94,QuestionList,6,FALSE)</f>
        <v>How is your organization’s storage security strategy designed to support long-term data protection and resilience?</v>
      </c>
      <c r="G94" s="56"/>
      <c r="I94" s="77" t="str">
        <f>IFERROR(
IF(G94="","",INT(LEFT(G94,1))),"")</f>
        <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your approach to building a strategic framework for protecting stored data over time, including how your architecture, encryption models, and lifecycle policies account for data retention timelines, algorithm management, and evolving cryptographic requirements.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77</v>
      </c>
      <c r="E99" s="76" t="str">
        <f>VLOOKUP(D99,QuestionList,6,FALSE)</f>
        <v>How does your organization assess the upgrade and cryptographic support constraints of storage systems?</v>
      </c>
      <c r="G99" s="56"/>
      <c r="I99" s="77" t="str">
        <f>IFERROR(
IF(G99="","",INT(LEFT(G99,1))),"")</f>
        <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evaluate whether storage platforms can support current and future encryption requirements, considering factors such as key size support, algorithm agility, re-encryption feasibility, and performance or architectural limitations.</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78</v>
      </c>
      <c r="E104" s="76" t="str">
        <f>VLOOKUP(D104,QuestionList,6,FALSE)</f>
        <v>How does your organization measure the effectiveness of encryption and key management controls used to protect stored data?</v>
      </c>
      <c r="G104" s="56"/>
      <c r="I104" s="77" t="str">
        <f>IFERROR(
IF(G104="","",INT(LEFT(G104,1))),"")</f>
        <v/>
      </c>
      <c r="J104" s="53"/>
      <c r="K104" s="48"/>
      <c r="M104" s="48"/>
      <c r="N104" s="48"/>
      <c r="O104" s="48"/>
      <c r="P104" s="48"/>
      <c r="Q104" s="48"/>
      <c r="R104" s="48"/>
      <c r="S104" s="48"/>
      <c r="T104" s="57"/>
    </row>
    <row r="105" spans="1:20" ht="61" outlineLevel="3" thickTop="1" x14ac:dyDescent="0.2">
      <c r="A105" s="92"/>
      <c r="C105" s="58"/>
      <c r="D105" s="59"/>
      <c r="E105" s="60" t="str">
        <f>VLOOKUP(D104,QuestionList,7,FALSE)</f>
        <v>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79</v>
      </c>
      <c r="E109" s="76" t="str">
        <f>VLOOKUP(D109,QuestionList,6,FALSE)</f>
        <v>How does your organization identify opportunities to improve the security of encryption and key management for stored data?</v>
      </c>
      <c r="G109" s="56"/>
      <c r="I109" s="77" t="str">
        <f>IFERROR(
IF(G109="","",INT(LEFT(G109,1))),"")</f>
        <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how your organization detects and evaluates potential improvements to storage encryption and key lifecycle controls, including response to control weaknesses, emerging threats, and evolving requirements such as retention timelines or cryptographic standards.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80</v>
      </c>
      <c r="E114" s="76" t="str">
        <f>VLOOKUP(D114,QuestionList,6,FALSE)</f>
        <v>How does your organization enhance its storage encryption and key management capabilities over time?</v>
      </c>
      <c r="G114" s="56"/>
      <c r="I114" s="77" t="str">
        <f>IFERROR(
IF(G114="","",INT(LEFT(G114,1))),"")</f>
        <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your organization’s approach to advancing storage security by continuously evolving encryption methods, key lifecycle processes, and system capabilities in response to emerging threats, technology advancements, and long-term data protection requirements.</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Data Classification &amp; Handling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Data Classification &amp; Handling
score</v>
      </c>
      <c r="N122" s="212" t="str">
        <f>_xlfn.CONCAT(B120, CHAR(10), "weighted score")</f>
        <v>Data Classification &amp; Handling
weighted score</v>
      </c>
      <c r="O122" s="61"/>
    </row>
    <row r="123" spans="1:20" ht="29.25" customHeight="1" outlineLevel="2" thickBot="1" x14ac:dyDescent="0.25">
      <c r="A123" s="92"/>
      <c r="B123" s="53"/>
      <c r="C123" s="54" t="s">
        <v>168</v>
      </c>
      <c r="D123" s="55">
        <f>D94+5</f>
        <v>81</v>
      </c>
      <c r="E123" s="76" t="str">
        <f>VLOOKUP(D123,QuestionList,6,FALSE)</f>
        <v>How does your organization implement cryptographic protections within data-in-transit protocols?</v>
      </c>
      <c r="G123" s="56"/>
      <c r="I123" s="77" t="str">
        <f>IFERROR(
IF(G123="","",INT(LEFT(G123,1))),"")</f>
        <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examines how your organization applies cryptographic mechanisms—such as encryption, digital signatures, key exchange, and authentication—within communication protocols to protect data in transit from interception, tampering, or spoofing.</v>
      </c>
      <c r="L124" s="61"/>
      <c r="M124" s="61"/>
      <c r="N124" s="61"/>
      <c r="O124" s="61"/>
    </row>
    <row r="125" spans="1:20" ht="18" customHeight="1" outlineLevel="3" x14ac:dyDescent="0.2">
      <c r="A125" s="92"/>
      <c r="C125" s="58"/>
      <c r="D125" s="59"/>
      <c r="E125" s="45" t="s">
        <v>169</v>
      </c>
      <c r="F125" s="48"/>
      <c r="G125" s="62"/>
      <c r="L125" s="61"/>
      <c r="M125" s="61"/>
      <c r="N125" s="61"/>
      <c r="O125" s="61"/>
    </row>
    <row r="126" spans="1:20" ht="70" customHeight="1" outlineLevel="3" x14ac:dyDescent="0.2">
      <c r="A126" s="92"/>
      <c r="C126" s="58"/>
      <c r="D126" s="59"/>
      <c r="E126" s="187" t="str">
        <f>VLOOKUP(D123,QuestionList,12,FALSE)</f>
        <v>•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82</v>
      </c>
      <c r="E128" s="76" t="str">
        <f>VLOOKUP(D128,QuestionList,6,FALSE)</f>
        <v>How does your organization manage secure communication protocols?</v>
      </c>
      <c r="G128" s="56"/>
      <c r="I128" s="77" t="str">
        <f>IFERROR(
IF(G128="","",INT(LEFT(G128,1))),"")</f>
        <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your approach to selecting, configuring, and maintaining communication protocols that provide encryption, authentication, and integrity for data in transit, ensuring they are securely implemented, interoperable, and aligned with organizational requirements.</v>
      </c>
      <c r="L129" s="61"/>
    </row>
    <row r="130" spans="1:20" ht="18" customHeight="1" outlineLevel="3" x14ac:dyDescent="0.2">
      <c r="A130" s="92"/>
      <c r="C130" s="58"/>
      <c r="D130" s="59"/>
      <c r="E130" s="45" t="s">
        <v>169</v>
      </c>
      <c r="G130" s="62"/>
      <c r="L130" s="61"/>
    </row>
    <row r="131" spans="1:20" ht="75" outlineLevel="3" x14ac:dyDescent="0.2">
      <c r="A131" s="92"/>
      <c r="C131" s="58"/>
      <c r="D131" s="59"/>
      <c r="E131" s="187" t="str">
        <f>VLOOKUP(D128,QuestionList,12,FALSE)</f>
        <v>•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83</v>
      </c>
      <c r="E133" s="76" t="str">
        <f>VLOOKUP(D133,QuestionList,6,FALSE)</f>
        <v>How does your organization ensure trusted identity and authentication in secure network communications?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your approach to enforcing trust models in transit security—ensuring that endpoints are authenticated and that cryptographic protections provide not only encryption but also integrity and verified identity across systems and services.</v>
      </c>
      <c r="L134" s="61"/>
    </row>
    <row r="135" spans="1:20" ht="18" customHeight="1" outlineLevel="3" x14ac:dyDescent="0.2">
      <c r="A135" s="92"/>
      <c r="C135" s="58"/>
      <c r="D135" s="59"/>
      <c r="E135" s="45" t="s">
        <v>169</v>
      </c>
      <c r="G135" s="62"/>
      <c r="L135" s="61"/>
    </row>
    <row r="136" spans="1:20" ht="105" outlineLevel="3" x14ac:dyDescent="0.2">
      <c r="A136" s="92"/>
      <c r="C136" s="58"/>
      <c r="D136" s="59"/>
      <c r="E136" s="187" t="str">
        <f>VLOOKUP(D133,QuestionList,12,FALSE)</f>
        <v>•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84</v>
      </c>
      <c r="E138" s="76" t="str">
        <f>VLOOKUP(D138,QuestionList,6,FALSE)</f>
        <v>How does your organization enforce minimum cryptographic standards to prevent downgrade attacks in data-in-transit protocols?</v>
      </c>
      <c r="G138" s="56"/>
      <c r="I138" s="77" t="str">
        <f>IFERROR(
IF(G138="","",INT(LEFT(G138,1))),"")</f>
        <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how your organization ensures that communication protocols reject insecure configurations and prevent fallback to deprecated cryptographic settings—such as weak cipher suites, insecure versions, or unauthenticated channels.</v>
      </c>
      <c r="L139" s="61"/>
    </row>
    <row r="140" spans="1:20" ht="18" customHeight="1" outlineLevel="3" x14ac:dyDescent="0.2">
      <c r="A140" s="92"/>
      <c r="C140" s="58"/>
      <c r="D140" s="59"/>
      <c r="E140" s="45" t="s">
        <v>169</v>
      </c>
      <c r="G140" s="62"/>
      <c r="L140" s="61"/>
    </row>
    <row r="141" spans="1:20" ht="105" outlineLevel="3" x14ac:dyDescent="0.2">
      <c r="A141" s="92"/>
      <c r="C141" s="58"/>
      <c r="D141" s="59"/>
      <c r="E141" s="187" t="str">
        <f>VLOOKUP(D138,QuestionList,12,FALSE)</f>
        <v>•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85</v>
      </c>
      <c r="E143" s="76" t="str">
        <f>VLOOKUP(D143,QuestionList,6,FALSE)</f>
        <v>How does your organization validate the effectiveness of cryptographic protections used in transit protocols?</v>
      </c>
      <c r="G143" s="56"/>
      <c r="I143" s="77" t="str">
        <f>IFERROR(
IF(G143="","",INT(LEFT(G143,1))),"")</f>
        <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your approach to testing and verifying whether the encryption, key exchange, authentication, and integrity protections used in transit protocols are correctly implemented and aligned with security objectives.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86</v>
      </c>
      <c r="E151" s="76" t="str">
        <f>VLOOKUP(D151,QuestionList,6,FALSE)</f>
        <v>How does your organization define its approach to protecting data in transit?</v>
      </c>
      <c r="G151" s="56"/>
      <c r="I151" s="77" t="str">
        <f>IFERROR(
IF(G151="","",INT(LEFT(G151,1))),"")</f>
        <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examines whether your organization has established a clear, documented foundation for protecting data in transit, including guidance on protocol selection, encryption requirements, and key management responsibilities.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87</v>
      </c>
      <c r="E156" s="76" t="str">
        <f>VLOOKUP(D156,QuestionList,6,FALSE)</f>
        <v>How does your organization prioritize communication channels for enhanced cryptographic protection?</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determines which systems or communication paths receive stronger transit protections—based on factors such as data sensitivity, threat exposure, business impact, and technical feasibility.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88</v>
      </c>
      <c r="E161" s="76" t="str">
        <f>VLOOKUP(D161,QuestionList,6,FALSE)</f>
        <v>How does your organization manage and validate trust anchors for secure communication protocols?</v>
      </c>
      <c r="G161" s="56"/>
      <c r="I161" s="77" t="str">
        <f>IFERROR(
IF(G161="","",INT(LEFT(G161,1))),"")</f>
        <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your approach to managing root certificates, public keys, and trust stores used in transit protocols—ensuring that connections are authenticated against current, trusted authorities and that revocation or compromise is handled effectively.</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89</v>
      </c>
      <c r="E166" s="76" t="str">
        <f>VLOOKUP(D166,QuestionList,6,FALSE)</f>
        <v>How does your organization assess and enforce cryptographic protections in third-party or externally managed communication channels?</v>
      </c>
      <c r="G166" s="56"/>
      <c r="I166" s="77" t="str">
        <f>IFERROR(
IF(G166="","",INT(LEFT(G166,1))),"")</f>
        <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approach to ensuring that cryptographic protections—such as encryption, authentication, and protocol strength—are applied effectively to data in transit even when the communication path is partially or fully controlled by external providers, partners, or vendors.</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90</v>
      </c>
      <c r="E171" s="76" t="str">
        <f>VLOOKUP(D171,QuestionList,6,FALSE)</f>
        <v>How does your organization plan for interoperability and backward compatibility during cryptographic transitions in transit protocols?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how your organization manages the risks and dependencies associated with upgrading transit-layer cryptography—ensuring that secure communication remains functional across legacy systems, third-party clients, and modern endpoints during algorithm or protocol changes.</v>
      </c>
      <c r="L172" s="61"/>
    </row>
    <row r="173" spans="1:20" ht="18" customHeight="1" outlineLevel="3" x14ac:dyDescent="0.2">
      <c r="A173" s="48"/>
      <c r="C173" s="65"/>
      <c r="D173" s="59"/>
      <c r="E173" s="45" t="s">
        <v>169</v>
      </c>
      <c r="G173" s="62"/>
      <c r="L173" s="61"/>
    </row>
    <row r="174" spans="1:20" ht="120" outlineLevel="3" x14ac:dyDescent="0.2">
      <c r="A174" s="48"/>
      <c r="C174" s="65"/>
      <c r="D174" s="59"/>
      <c r="E174" s="187" t="str">
        <f>VLOOKUP(D171,QuestionList,12,FALSE)</f>
        <v>•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71436A9-882F-402C-BA90-1AFAAB4DAEB8}">
      <formula1>Q61_answers</formula1>
    </dataValidation>
    <dataValidation type="list" allowBlank="1" showInputMessage="1" showErrorMessage="1" sqref="G14" xr:uid="{7CB80A99-1790-443B-AAD3-4209BE537C19}">
      <formula1>Q62_answers</formula1>
    </dataValidation>
    <dataValidation type="list" allowBlank="1" showInputMessage="1" showErrorMessage="1" sqref="G19" xr:uid="{FF6AF8A1-971A-400D-A5D9-0A3D2DB4065F}">
      <formula1>Q63_answers</formula1>
    </dataValidation>
    <dataValidation type="list" allowBlank="1" showInputMessage="1" showErrorMessage="1" sqref="G24" xr:uid="{85E5B8AC-93A2-4E04-92C4-64CD091C607C}">
      <formula1>Q64_answers</formula1>
    </dataValidation>
    <dataValidation type="list" allowBlank="1" showInputMessage="1" showErrorMessage="1" sqref="G29" xr:uid="{97071776-C2A8-479E-83FC-C5667562F6EC}">
      <formula1>Q65_answers</formula1>
    </dataValidation>
    <dataValidation type="list" allowBlank="1" showInputMessage="1" showErrorMessage="1" sqref="G37" xr:uid="{73C72C7D-13E7-4488-9661-2546ED432F2F}">
      <formula1>Q66_answers</formula1>
    </dataValidation>
    <dataValidation type="list" allowBlank="1" showInputMessage="1" showErrorMessage="1" sqref="G42" xr:uid="{958EA907-8A53-4011-B306-1939E67B1BBE}">
      <formula1>Q67_answers</formula1>
    </dataValidation>
    <dataValidation type="list" allowBlank="1" showInputMessage="1" showErrorMessage="1" sqref="G47" xr:uid="{51F05C6F-9AC2-4A62-A83D-983F161682A6}">
      <formula1>Q68_answers</formula1>
    </dataValidation>
    <dataValidation type="list" allowBlank="1" showInputMessage="1" showErrorMessage="1" sqref="G52" xr:uid="{CA5569B1-70C2-46D9-9624-DFB3829BC1B1}">
      <formula1>Q69_answers</formula1>
    </dataValidation>
    <dataValidation type="list" allowBlank="1" showInputMessage="1" showErrorMessage="1" sqref="G57" xr:uid="{3ED82F88-7D3B-4BCE-A92D-7FB46489D283}">
      <formula1>Q70_answers</formula1>
    </dataValidation>
    <dataValidation type="list" allowBlank="1" showInputMessage="1" showErrorMessage="1" sqref="G66" xr:uid="{7A44B88E-DBE0-4733-B322-2EF8F92F1D0B}">
      <formula1>Q71_answers</formula1>
    </dataValidation>
    <dataValidation type="list" allowBlank="1" showInputMessage="1" showErrorMessage="1" sqref="G71" xr:uid="{502AB234-F12B-452E-97EA-A2FBC11786CA}">
      <formula1>Q72_answers</formula1>
    </dataValidation>
    <dataValidation type="list" allowBlank="1" showInputMessage="1" showErrorMessage="1" sqref="G76" xr:uid="{0B8A5550-B4BA-4998-8E6F-F7CB98F5DA08}">
      <formula1>Q73_answers</formula1>
    </dataValidation>
    <dataValidation type="list" allowBlank="1" showInputMessage="1" showErrorMessage="1" sqref="G81" xr:uid="{B7EF1AC2-3A47-41EC-9F2B-6C0382F637AB}">
      <formula1>Q74_answers</formula1>
    </dataValidation>
    <dataValidation type="list" allowBlank="1" showInputMessage="1" showErrorMessage="1" sqref="G86" xr:uid="{9C9BE119-790D-4521-854D-68A855A9F493}">
      <formula1>Q75_answers</formula1>
    </dataValidation>
    <dataValidation type="list" allowBlank="1" showInputMessage="1" showErrorMessage="1" sqref="G94" xr:uid="{4836C3BC-A2AB-48EE-96E3-5CDCEEEEBCA3}">
      <formula1>Q76_answers</formula1>
    </dataValidation>
    <dataValidation type="list" allowBlank="1" showInputMessage="1" showErrorMessage="1" sqref="G99" xr:uid="{C3C33815-FE7E-4D0E-A9D8-E2956AD29092}">
      <formula1>Q77_answers</formula1>
    </dataValidation>
    <dataValidation type="list" allowBlank="1" showInputMessage="1" showErrorMessage="1" sqref="G104" xr:uid="{E884692A-6F88-4479-A1C4-C0155F2698F5}">
      <formula1>Q78_answers</formula1>
    </dataValidation>
    <dataValidation type="list" allowBlank="1" showInputMessage="1" showErrorMessage="1" sqref="G109" xr:uid="{FFCD9DDA-84BC-48E3-9507-34E7D1A40D66}">
      <formula1>Q79_answers</formula1>
    </dataValidation>
    <dataValidation type="list" allowBlank="1" showInputMessage="1" showErrorMessage="1" sqref="G114" xr:uid="{C86800A4-4811-43F9-BBB3-D2AC6EBD0DC8}">
      <formula1>Q80_answers</formula1>
    </dataValidation>
    <dataValidation type="list" allowBlank="1" showInputMessage="1" showErrorMessage="1" sqref="G123" xr:uid="{6EBDEDB4-C46D-4DEB-9BE6-983C0D61F77D}">
      <formula1>Q81_answers</formula1>
    </dataValidation>
    <dataValidation type="list" allowBlank="1" showInputMessage="1" showErrorMessage="1" sqref="G128" xr:uid="{70D45CCF-F6C3-456B-9CC1-EB786B8039F5}">
      <formula1>Q82_answers</formula1>
    </dataValidation>
    <dataValidation type="list" allowBlank="1" showInputMessage="1" showErrorMessage="1" sqref="G133" xr:uid="{04876AF4-8015-49D3-8F36-0E414560D534}">
      <formula1>Q83_answers</formula1>
    </dataValidation>
    <dataValidation type="list" allowBlank="1" showInputMessage="1" showErrorMessage="1" sqref="G138" xr:uid="{904A0455-54A6-4962-9875-19403C381171}">
      <formula1>Q84_answers</formula1>
    </dataValidation>
    <dataValidation type="list" allowBlank="1" showInputMessage="1" showErrorMessage="1" sqref="G143" xr:uid="{1CB3AAD1-C14A-4A72-9EE6-886A6277826A}">
      <formula1>Q85_answers</formula1>
    </dataValidation>
    <dataValidation type="list" allowBlank="1" showInputMessage="1" showErrorMessage="1" sqref="G151" xr:uid="{BE9D1DD6-8669-4C23-B61D-DE0D3AE7A7A7}">
      <formula1>Q86_answers</formula1>
    </dataValidation>
    <dataValidation type="list" allowBlank="1" showInputMessage="1" showErrorMessage="1" sqref="G156" xr:uid="{55778F9C-7139-4FA3-A24F-FC7D506B79CB}">
      <formula1>Q87_answers</formula1>
    </dataValidation>
    <dataValidation type="list" allowBlank="1" showInputMessage="1" showErrorMessage="1" sqref="G161" xr:uid="{774D96F0-9687-4C7E-87D4-6B722ADC9935}">
      <formula1>Q88_answers</formula1>
    </dataValidation>
    <dataValidation type="list" allowBlank="1" showInputMessage="1" showErrorMessage="1" sqref="G166" xr:uid="{650CD3FA-E942-486A-ABA0-344FE768E7DF}">
      <formula1>Q89_answers</formula1>
    </dataValidation>
    <dataValidation type="list" allowBlank="1" showInputMessage="1" showErrorMessage="1" sqref="G171" xr:uid="{51FEECBF-BB08-4094-B6EB-D3FC5B45C635}">
      <formula1>Q90_answers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122D5-5106-4978-A5D9-5A36F9F0F432}">
  <sheetPr codeName="Sheet8">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847</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377</v>
      </c>
    </row>
    <row r="4" spans="1:35" ht="19.5" customHeight="1" x14ac:dyDescent="0.2">
      <c r="A4" s="209" t="s">
        <v>845</v>
      </c>
      <c r="B4" s="209"/>
      <c r="C4" s="209"/>
      <c r="D4" s="211" t="s">
        <v>875</v>
      </c>
      <c r="E4" s="211"/>
      <c r="J4" s="40"/>
      <c r="L4" s="213" t="str">
        <f>D4</f>
        <v>Implementation &amp; Technical Readiness</v>
      </c>
      <c r="M4" s="214"/>
      <c r="N4" s="214"/>
      <c r="O4" s="49"/>
      <c r="P4" s="72"/>
      <c r="T4" s="41"/>
    </row>
    <row r="5" spans="1:35" ht="30.75" customHeight="1" x14ac:dyDescent="0.2">
      <c r="A5" s="209"/>
      <c r="B5" s="209"/>
      <c r="C5" s="209"/>
      <c r="D5" s="211"/>
      <c r="E5" s="211"/>
      <c r="L5" s="84" t="str">
        <f>IFERROR(N7+N64+N121,"-")</f>
        <v>-</v>
      </c>
      <c r="M5" s="51"/>
      <c r="N5" s="84" t="str">
        <f>IFERROR(L5*ProfileMultiplier,"-")</f>
        <v>-</v>
      </c>
      <c r="O5" s="73"/>
    </row>
    <row r="6" spans="1:35" ht="28.5" customHeight="1" x14ac:dyDescent="0.2">
      <c r="A6" s="91">
        <v>1</v>
      </c>
      <c r="B6" s="88" t="str">
        <f>INDEX(Data!$U$3:$U$14,MATCH(_xlfn.CONCAT($D$3,"_",A6),Data!$V$3:$V$14,0))</f>
        <v>Network Security Architecture</v>
      </c>
      <c r="C6" s="35"/>
      <c r="D6" s="35"/>
      <c r="E6" s="36"/>
      <c r="F6" s="14">
        <f>MATCH(_xlfn.CONCAT(D3,"_",A6),Data!$V$3:$V$14)</f>
        <v>3</v>
      </c>
      <c r="G6" s="37"/>
      <c r="I6" s="38"/>
      <c r="J6" s="35"/>
      <c r="K6" s="48"/>
      <c r="L6" s="49" t="s">
        <v>165</v>
      </c>
      <c r="M6" s="50"/>
      <c r="N6" s="49" t="s">
        <v>858</v>
      </c>
      <c r="O6" s="49"/>
      <c r="P6" s="48"/>
      <c r="T6" s="35"/>
    </row>
    <row r="7" spans="1:35" ht="23.25" customHeight="1" outlineLevel="1" x14ac:dyDescent="0.2">
      <c r="A7" s="59"/>
      <c r="B7" s="78"/>
      <c r="C7" s="79" t="s">
        <v>835</v>
      </c>
      <c r="D7" s="79"/>
      <c r="E7" s="80"/>
      <c r="F7" s="78"/>
      <c r="G7" s="81" t="s">
        <v>166</v>
      </c>
      <c r="H7" s="78"/>
      <c r="I7" s="82" t="s">
        <v>167</v>
      </c>
      <c r="J7" s="79"/>
      <c r="K7" s="48"/>
      <c r="L7" s="83" t="str" cm="1">
        <f t="array" ref="L7">IFERROR(
IF(COUNTIF(I9:I32, "&gt;0") = 0, "", AVERAGE(IF(I9:I29&gt;0, I9:I29))) * 0.6
+IF(COUNTIF(I37:I57, "&gt;0") = 0, "", AVERAGE(IF(I37:I57&gt;0, I37:I57))) * 0.4,"-")</f>
        <v>-</v>
      </c>
      <c r="M7" s="51"/>
      <c r="N7" s="83" t="str">
        <f>IF(L7="-", "-", L7 * VLOOKUP(TRIM(B6), PracticeData, 3, FALSE))</f>
        <v>-</v>
      </c>
      <c r="O7" s="48"/>
      <c r="P7" s="48"/>
    </row>
    <row r="8" spans="1:35" ht="7.5" customHeight="1" outlineLevel="2" x14ac:dyDescent="0.2">
      <c r="A8" s="92"/>
      <c r="E8" s="52"/>
      <c r="L8" s="212" t="str">
        <f>_xlfn.CONCAT(B6, CHAR(10), "score")</f>
        <v>Network Security Architecture
score</v>
      </c>
      <c r="N8" s="212" t="str">
        <f>_xlfn.CONCAT(B6, CHAR(10), "weighted score")</f>
        <v>Network Security Architecture
weighted score</v>
      </c>
    </row>
    <row r="9" spans="1:35" ht="29.25" customHeight="1" outlineLevel="2" thickBot="1" x14ac:dyDescent="0.25">
      <c r="A9" s="92"/>
      <c r="B9" s="53"/>
      <c r="C9" s="54" t="s">
        <v>168</v>
      </c>
      <c r="D9" s="55">
        <v>91</v>
      </c>
      <c r="E9" s="76" t="str">
        <f>VLOOKUP(D9,QuestionList,6,FALSE)</f>
        <v>How does your organization assess the cryptographic agility and quantum readiness of its technical infrastructure?</v>
      </c>
      <c r="G9" s="56"/>
      <c r="I9" s="77" t="str">
        <f>IFERROR(
IF(G9="","",INT(LEFT(G9,1))),"")</f>
        <v/>
      </c>
      <c r="J9" s="53"/>
      <c r="K9" s="48"/>
      <c r="L9" s="212"/>
      <c r="M9" s="48"/>
      <c r="N9" s="212"/>
      <c r="O9" s="48"/>
      <c r="P9" s="48"/>
      <c r="Q9" s="48"/>
      <c r="R9" s="48"/>
      <c r="S9" s="48"/>
      <c r="T9" s="57"/>
    </row>
    <row r="10" spans="1:35" ht="61" outlineLevel="3" thickTop="1" x14ac:dyDescent="0.2">
      <c r="A10" s="92"/>
      <c r="C10" s="58"/>
      <c r="D10" s="59"/>
      <c r="E10" s="60" t="str">
        <f>VLOOKUP(D9,QuestionList,7,FALSE)</f>
        <v>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92</v>
      </c>
      <c r="E14" s="76" t="str">
        <f>VLOOKUP(D14,QuestionList,6,FALSE)</f>
        <v>How does your organization plan infrastructure upgrades to support cryptographic agility and quantum readiness?</v>
      </c>
      <c r="G14" s="56"/>
      <c r="I14" s="77" t="str">
        <f>IFERROR(
IF(G14="","",INT(LEFT(G14,1))),"")</f>
        <v/>
      </c>
      <c r="J14" s="53"/>
      <c r="K14" s="48"/>
      <c r="M14" s="48"/>
      <c r="N14" s="48"/>
      <c r="O14" s="48"/>
      <c r="P14" s="48"/>
      <c r="Q14" s="48"/>
      <c r="R14" s="48"/>
      <c r="S14" s="48"/>
      <c r="T14" s="57"/>
    </row>
    <row r="15" spans="1:35" ht="46" outlineLevel="3" thickTop="1" x14ac:dyDescent="0.2">
      <c r="A15" s="92"/>
      <c r="C15" s="58"/>
      <c r="D15" s="59"/>
      <c r="E15" s="60" t="str">
        <f>VLOOKUP(D14,QuestionList,7,FALSE)</f>
        <v>This examines how your organization prepares its infrastructure for cryptographic transitions—developing upgrade plans that account for flexibility in algorithm use, compatibility with evolving cryptographic standards, and the future adoption of quantum-resistant algorithms.</v>
      </c>
      <c r="L15" s="61"/>
    </row>
    <row r="16" spans="1:35" ht="18" customHeight="1" outlineLevel="3" x14ac:dyDescent="0.2">
      <c r="A16" s="92"/>
      <c r="C16" s="58"/>
      <c r="D16" s="59"/>
      <c r="E16" s="45" t="s">
        <v>169</v>
      </c>
      <c r="G16" s="62"/>
      <c r="L16" s="61"/>
    </row>
    <row r="17" spans="1:20" ht="97" customHeight="1" outlineLevel="3" x14ac:dyDescent="0.2">
      <c r="A17" s="92"/>
      <c r="C17" s="58"/>
      <c r="D17" s="59"/>
      <c r="E17" s="187" t="str">
        <f>VLOOKUP(D14,QuestionList,12,FALSE)</f>
        <v>•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v>
      </c>
      <c r="G17" s="63"/>
      <c r="L17" s="61"/>
    </row>
    <row r="18" spans="1:20" ht="14" outlineLevel="2" x14ac:dyDescent="0.2">
      <c r="A18" s="92"/>
      <c r="C18" s="64"/>
      <c r="D18" s="59"/>
      <c r="E18" s="52"/>
    </row>
    <row r="19" spans="1:20" ht="29.25" customHeight="1" outlineLevel="2" thickBot="1" x14ac:dyDescent="0.25">
      <c r="A19" s="92"/>
      <c r="B19" s="53"/>
      <c r="C19" s="54" t="s">
        <v>171</v>
      </c>
      <c r="D19" s="55">
        <f>D14+1</f>
        <v>93</v>
      </c>
      <c r="E19" s="76" t="str">
        <f>VLOOKUP(D19,QuestionList,6,FALSE)</f>
        <v>How does your organization evaluate cryptographic hardware readiness for quantum-era requirements?</v>
      </c>
      <c r="G19" s="56"/>
      <c r="I19" s="77" t="str">
        <f>IFERROR(
IF(G19="","",INT(LEFT(G19,1))),"")</f>
        <v/>
      </c>
      <c r="J19" s="53"/>
      <c r="K19" s="48"/>
      <c r="M19" s="48"/>
      <c r="N19" s="48"/>
      <c r="O19" s="48"/>
      <c r="P19" s="48"/>
      <c r="Q19" s="48"/>
      <c r="R19" s="48"/>
      <c r="S19" s="48"/>
      <c r="T19" s="57"/>
    </row>
    <row r="20" spans="1:20" ht="46" outlineLevel="3" thickTop="1" x14ac:dyDescent="0.2">
      <c r="A20" s="92"/>
      <c r="C20" s="58"/>
      <c r="D20" s="59"/>
      <c r="E20" s="60" t="str">
        <f>VLOOKUP(D19,QuestionList,7,FALSE)</f>
        <v>This examines how your organization assesses the ability of its hardware-based cryptographic modules—such as HSMs, TPMs, or offload engines—to support key size expansion, hybrid key management, and future algorithm migration necessary for cryptographic agility and quantum resilience.</v>
      </c>
      <c r="L20" s="61"/>
    </row>
    <row r="21" spans="1:20" ht="18" customHeight="1" outlineLevel="3" x14ac:dyDescent="0.2">
      <c r="A21" s="92"/>
      <c r="C21" s="58"/>
      <c r="D21" s="59"/>
      <c r="E21" s="45" t="s">
        <v>169</v>
      </c>
      <c r="G21" s="62"/>
      <c r="L21" s="61"/>
    </row>
    <row r="22" spans="1:20" ht="90" outlineLevel="3" x14ac:dyDescent="0.2">
      <c r="A22" s="92"/>
      <c r="C22" s="58"/>
      <c r="D22" s="59"/>
      <c r="E22" s="187" t="str">
        <f>VLOOKUP(D19,QuestionList,12,FALSE)</f>
        <v>•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94</v>
      </c>
      <c r="E24" s="76" t="str">
        <f>VLOOKUP(D24,QuestionList,6,FALSE)</f>
        <v>How does your organization identify and address cryptographic upgrade blockers in legacy or third-party systems?</v>
      </c>
      <c r="G24" s="56"/>
      <c r="I24" s="77" t="str">
        <f>IFERROR(
IF(G24="","",INT(LEFT(G24,1))),"")</f>
        <v/>
      </c>
      <c r="J24" s="53"/>
      <c r="K24" s="48"/>
      <c r="M24" s="48"/>
      <c r="N24" s="48"/>
      <c r="O24" s="48"/>
      <c r="P24" s="48"/>
      <c r="Q24" s="48"/>
      <c r="R24" s="48"/>
      <c r="S24" s="48"/>
      <c r="T24" s="57"/>
    </row>
    <row r="25" spans="1:20" ht="46" outlineLevel="3" thickTop="1" x14ac:dyDescent="0.2">
      <c r="A25" s="92"/>
      <c r="C25" s="58"/>
      <c r="D25" s="59"/>
      <c r="E25" s="60" t="str">
        <f>VLOOKUP(D24,QuestionList,7,FALSE)</f>
        <v>This examines whether your organization actively discovers systems—including legacy applications, third-party platforms, or unmanaged devices—that may delay or prevent adoption of new cryptographic algorithms due to architectural, licensing, or vendor limitations.</v>
      </c>
      <c r="L25" s="61"/>
    </row>
    <row r="26" spans="1:20" ht="18" customHeight="1" outlineLevel="3" x14ac:dyDescent="0.2">
      <c r="A26" s="92"/>
      <c r="C26" s="58"/>
      <c r="D26" s="59"/>
      <c r="E26" s="45" t="s">
        <v>169</v>
      </c>
      <c r="G26" s="62"/>
      <c r="L26" s="61"/>
    </row>
    <row r="27" spans="1:20" ht="90" outlineLevel="3" x14ac:dyDescent="0.2">
      <c r="A27" s="92"/>
      <c r="C27" s="58"/>
      <c r="D27" s="59"/>
      <c r="E27" s="187" t="str">
        <f>VLOOKUP(D24,QuestionList,12,FALSE)</f>
        <v>•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95</v>
      </c>
      <c r="E29" s="76" t="str">
        <f>VLOOKUP(D29,QuestionList,6,FALSE)</f>
        <v>How does your organization incorporate cryptographic agility requirements into system and software design processes?</v>
      </c>
      <c r="G29" s="56"/>
      <c r="I29" s="77" t="str">
        <f>IFERROR(
IF(G29="","",INT(LEFT(G29,1))),"")</f>
        <v/>
      </c>
      <c r="J29" s="53"/>
      <c r="K29" s="48"/>
      <c r="M29" s="48"/>
      <c r="N29" s="48"/>
      <c r="O29" s="48"/>
      <c r="P29" s="48"/>
      <c r="Q29" s="48"/>
      <c r="R29" s="48"/>
      <c r="S29" s="48"/>
      <c r="T29" s="57"/>
    </row>
    <row r="30" spans="1:20" ht="46" outlineLevel="3" thickTop="1" x14ac:dyDescent="0.2">
      <c r="A30" s="92"/>
      <c r="C30" s="65"/>
      <c r="D30" s="59"/>
      <c r="E30" s="60" t="str">
        <f>VLOOKUP(D29,QuestionList,7,FALSE)</f>
        <v>This examines how cryptographic flexibility—such as support for multiple algorithms, pluggable crypto libraries, or hybrid key configurations—is considered and documented during design and architecture phases of new systems, platforms, or software components.</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96</v>
      </c>
      <c r="E37" s="76" t="str">
        <f>VLOOKUP(D37,QuestionList,6,FALSE)</f>
        <v>How does your organization plan for cryptographic upgrade sequencing and dependency management?</v>
      </c>
      <c r="G37" s="56"/>
      <c r="I37" s="77" t="str">
        <f>IFERROR(
IF(G37="","",INT(LEFT(G37,1))),"")</f>
        <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how your organization identifies and plans for system, service, and vendor interdependencies that affect the order and coordination of cryptographic upgrades—ensuring upgrades are phased to avoid disruption, misalignment, or security gaps during the quantum transition.</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97</v>
      </c>
      <c r="E42" s="76" t="str">
        <f>VLOOKUP(D42,QuestionList,6,FALSE)</f>
        <v>How does your organization provide technical environments and tooling to support cryptographic transition planning and implementation?</v>
      </c>
      <c r="G42" s="56"/>
      <c r="I42" s="77" t="str">
        <f>IFERROR(
IF(G42="","",INT(LEFT(G42,1))),"")</f>
        <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organization has established the environments, tools, and cryptographic test infrastructure required to evaluate, prototype, and validate new algorithms, certificate types, key management models, and transition strategies in a controlled setting.</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98</v>
      </c>
      <c r="E47" s="76" t="str">
        <f>VLOOKUP(D47,QuestionList,6,FALSE)</f>
        <v>How does your organization embed cryptographic agility into system architecture design?</v>
      </c>
      <c r="G47" s="56"/>
      <c r="I47" s="77" t="str">
        <f>IFERROR(
IF(G47="","",INT(LEFT(G47,1))),"")</f>
        <v/>
      </c>
      <c r="J47" s="53"/>
      <c r="K47" s="48"/>
      <c r="M47" s="48"/>
      <c r="N47" s="48"/>
      <c r="O47" s="48"/>
      <c r="P47" s="48"/>
      <c r="Q47" s="48"/>
      <c r="R47" s="48"/>
      <c r="S47" s="48"/>
      <c r="T47" s="57"/>
    </row>
    <row r="48" spans="1:20" ht="46" outlineLevel="3" thickTop="1" x14ac:dyDescent="0.2">
      <c r="A48" s="92"/>
      <c r="C48" s="58"/>
      <c r="D48" s="59"/>
      <c r="E48" s="60" t="str">
        <f>VLOOKUP(D47,QuestionList,7,FALSE)</f>
        <v>This examines whether architectural decisions across systems and applications explicitly account for the need to support multiple algorithms, enable seamless cryptographic upgrades, and abstract cryptographic dependencies to minimize transition risks.</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99</v>
      </c>
      <c r="E52" s="76" t="str">
        <f>VLOOKUP(D52,QuestionList,6,FALSE)</f>
        <v>How does your organization define and measure technical milestones for cryptographic transitions?</v>
      </c>
      <c r="G52" s="56"/>
      <c r="I52" s="77" t="str">
        <f>IFERROR(
IF(G52="","",INT(LEFT(G52,1))),"")</f>
        <v/>
      </c>
      <c r="J52" s="53"/>
      <c r="K52" s="48"/>
      <c r="M52" s="48"/>
      <c r="N52" s="48"/>
      <c r="O52" s="48"/>
      <c r="P52" s="48"/>
      <c r="Q52" s="48"/>
      <c r="R52" s="48"/>
      <c r="S52" s="48"/>
      <c r="T52" s="57"/>
    </row>
    <row r="53" spans="1:20" ht="46" outlineLevel="3" thickTop="1" x14ac:dyDescent="0.2">
      <c r="A53" s="92"/>
      <c r="C53" s="58"/>
      <c r="D53" s="59"/>
      <c r="E53" s="60" t="str">
        <f>VLOOKUP(D52,QuestionList,7,FALSE)</f>
        <v>This examines whether your organization establishes and tracks concrete, cryptography-specific milestones to guide planning and execution—such as upgrading libraries, introducing hybrid certificates, phasing out weak algorithms, or implementing algorithm agility controls.</v>
      </c>
      <c r="L53" s="61"/>
    </row>
    <row r="54" spans="1:20" ht="18" customHeight="1" outlineLevel="3" x14ac:dyDescent="0.2">
      <c r="A54" s="92"/>
      <c r="C54" s="58"/>
      <c r="D54" s="59"/>
      <c r="E54" s="45" t="s">
        <v>169</v>
      </c>
      <c r="G54" s="62"/>
      <c r="L54" s="61"/>
    </row>
    <row r="55" spans="1:20" ht="90" outlineLevel="3" x14ac:dyDescent="0.2">
      <c r="A55" s="92"/>
      <c r="C55" s="58"/>
      <c r="D55" s="59"/>
      <c r="E55" s="187" t="str">
        <f>VLOOKUP(D52,QuestionList,12,FALSE)</f>
        <v>•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v>
      </c>
      <c r="G55" s="63"/>
      <c r="L55" s="61"/>
    </row>
    <row r="56" spans="1:20" ht="7.5" customHeight="1" outlineLevel="2" x14ac:dyDescent="0.2">
      <c r="A56" s="92"/>
      <c r="C56" s="64"/>
      <c r="D56" s="59"/>
      <c r="E56" s="52"/>
    </row>
    <row r="57" spans="1:20" ht="31" outlineLevel="2" thickBot="1" x14ac:dyDescent="0.25">
      <c r="A57" s="92"/>
      <c r="B57" s="53"/>
      <c r="C57" s="54" t="s">
        <v>173</v>
      </c>
      <c r="D57" s="55">
        <f>D29+5</f>
        <v>100</v>
      </c>
      <c r="E57" s="76" t="str">
        <f>VLOOKUP(D57,QuestionList,6,FALSE)</f>
        <v>How does your organization contribute to the development and advancement of technical standards for cryptographic agility and quantum-resistant implementations?</v>
      </c>
      <c r="G57" s="56"/>
      <c r="I57" s="77" t="str">
        <f>IFERROR(
IF(G57="","",INT(LEFT(G57,1))),"")</f>
        <v/>
      </c>
      <c r="J57" s="53"/>
      <c r="K57" s="48"/>
      <c r="M57" s="48"/>
      <c r="N57" s="48"/>
      <c r="O57" s="48"/>
      <c r="P57" s="48"/>
      <c r="Q57" s="48"/>
      <c r="R57" s="48"/>
      <c r="S57" s="48"/>
      <c r="T57" s="57"/>
    </row>
    <row r="58" spans="1:20" ht="31" outlineLevel="3" thickTop="1" x14ac:dyDescent="0.2">
      <c r="A58" s="92"/>
      <c r="C58" s="65"/>
      <c r="D58" s="59"/>
      <c r="E58" s="60" t="str">
        <f>VLOOKUP(D57,QuestionList,7,FALSE)</f>
        <v>This examines your organization’s involvement in shaping or advancing cryptographic standards—such as those related to agility, hybrid certificate handling, key management, or post-quantum protocol design.</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System Hardening &amp; Updates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t="str" cm="1">
        <f t="array" ref="L64">IFERROR(
IF(COUNTIF(I66:I89, "&gt;0") = 0, "", AVERAGE(IF(I66:I86&gt;0, I66:I86))) * 0.6
+IF(COUNTIF(I94:I114, "&gt;0") = 0, "", AVERAGE(IF(I94:I114&gt;0, I94:I114))) * 0.4,"-")</f>
        <v>-</v>
      </c>
      <c r="M64" s="51"/>
      <c r="N64" s="83" t="str">
        <f>IF(L64="-", "-", L64 * VLOOKUP(TRIM(B63), PracticeData, 3, FALSE))</f>
        <v>-</v>
      </c>
      <c r="O64" s="61"/>
      <c r="P64" s="48"/>
    </row>
    <row r="65" spans="1:20" ht="7.5" customHeight="1" outlineLevel="2" x14ac:dyDescent="0.2">
      <c r="A65" s="92"/>
      <c r="E65" s="52"/>
      <c r="L65" s="212" t="str">
        <f>_xlfn.CONCAT(B63, CHAR(10), "score")</f>
        <v>System Hardening &amp; Updates
score</v>
      </c>
      <c r="N65" s="212" t="str">
        <f>_xlfn.CONCAT(B63, CHAR(10), "weighted score")</f>
        <v>System Hardening &amp; Updates
weighted score</v>
      </c>
      <c r="O65" s="61"/>
    </row>
    <row r="66" spans="1:20" ht="29.25" customHeight="1" outlineLevel="2" thickBot="1" x14ac:dyDescent="0.25">
      <c r="A66" s="92"/>
      <c r="B66" s="53"/>
      <c r="C66" s="54" t="s">
        <v>168</v>
      </c>
      <c r="D66" s="55">
        <f>D37+5</f>
        <v>101</v>
      </c>
      <c r="E66" s="76" t="str">
        <f>VLOOKUP(D66,QuestionList,6,FALSE)</f>
        <v>How does your organization define the technical capabilities required to support quantum-resistant implementation?</v>
      </c>
      <c r="G66" s="56"/>
      <c r="I66" s="77" t="str">
        <f>IFERROR(
IF(G66="","",INT(LEFT(G66,1))),"")</f>
        <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whether your organization has identified the specific skills, technologies, and delivery capabilities needed to implement cryptographic agility and post-quantum upgrades, including where current gaps exist.</v>
      </c>
      <c r="L67" s="61"/>
      <c r="M67" s="61"/>
      <c r="N67" s="61"/>
      <c r="O67" s="61"/>
    </row>
    <row r="68" spans="1:20" ht="18" customHeight="1" outlineLevel="3" x14ac:dyDescent="0.2">
      <c r="A68" s="92"/>
      <c r="C68" s="58"/>
      <c r="D68" s="59"/>
      <c r="E68" s="45" t="s">
        <v>169</v>
      </c>
      <c r="F68" s="48"/>
      <c r="G68" s="62"/>
      <c r="L68" s="61"/>
      <c r="M68" s="61"/>
      <c r="N68" s="61"/>
      <c r="O68" s="61"/>
    </row>
    <row r="69" spans="1:20" ht="111" customHeight="1" outlineLevel="3" x14ac:dyDescent="0.2">
      <c r="A69" s="92"/>
      <c r="C69" s="58"/>
      <c r="D69" s="59"/>
      <c r="E69" s="187" t="str">
        <f>VLOOKUP(D66,QuestionList,12,FALSE)</f>
        <v>•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v>
      </c>
      <c r="G69" s="63"/>
      <c r="L69" s="61"/>
      <c r="M69" s="61"/>
      <c r="N69" s="61"/>
      <c r="O69" s="61"/>
    </row>
    <row r="70" spans="1:20" ht="7.5" customHeight="1" outlineLevel="2" x14ac:dyDescent="0.2">
      <c r="A70" s="92"/>
      <c r="C70" s="64"/>
      <c r="D70" s="59"/>
      <c r="E70" s="52"/>
    </row>
    <row r="71" spans="1:20" ht="31" outlineLevel="2" thickBot="1" x14ac:dyDescent="0.25">
      <c r="A71" s="92"/>
      <c r="B71" s="53"/>
      <c r="C71" s="54" t="s">
        <v>170</v>
      </c>
      <c r="D71" s="55">
        <f>D42+5</f>
        <v>102</v>
      </c>
      <c r="E71" s="76" t="str">
        <f>VLOOKUP(D71,QuestionList,6,FALSE)</f>
        <v>How does your organization allocate and protect specialized resources for cryptographic implementation and transition efforts?</v>
      </c>
      <c r="G71" s="56"/>
      <c r="I71" s="77" t="str">
        <f>IFERROR(
IF(G71="","",INT(LEFT(G71,1))),"")</f>
        <v/>
      </c>
      <c r="J71" s="53"/>
      <c r="K71" s="48"/>
      <c r="M71" s="48"/>
      <c r="N71" s="48"/>
      <c r="O71" s="48"/>
      <c r="P71" s="48"/>
      <c r="Q71" s="48"/>
      <c r="R71" s="48"/>
      <c r="S71" s="48"/>
      <c r="T71" s="57"/>
    </row>
    <row r="72" spans="1:20" ht="46" outlineLevel="3" thickTop="1" x14ac:dyDescent="0.2">
      <c r="A72" s="92"/>
      <c r="C72" s="58"/>
      <c r="D72" s="59"/>
      <c r="E72" s="60" t="str">
        <f>VLOOKUP(D71,QuestionList,7,FALSE)</f>
        <v>This examines whether your organization dedicates and prioritizes the technical resources—such as cryptographic experts, secure environments, and transition-enabling tools—required to support cryptographic upgrades and ensure continuity across agile and post-quantum implementations.</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103</v>
      </c>
      <c r="E76" s="76" t="str">
        <f>VLOOKUP(D76,QuestionList,6,FALSE)</f>
        <v>How does your organization ensure the quality and correctness of cryptographic implementations?</v>
      </c>
      <c r="G76" s="56"/>
      <c r="I76" s="77" t="str">
        <f>IFERROR(
IF(G76="","",INT(LEFT(G76,1))),"")</f>
        <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104</v>
      </c>
      <c r="E81" s="76" t="str">
        <f>VLOOKUP(D81,QuestionList,6,FALSE)</f>
        <v>How does your organization monitor the operational impact of cryptographic implementations after deployment?</v>
      </c>
      <c r="G81" s="56"/>
      <c r="I81" s="77" t="str">
        <f>IFERROR(
IF(G81="","",INT(LEFT(G81,1))),"")</f>
        <v/>
      </c>
      <c r="J81" s="53"/>
      <c r="K81" s="48"/>
      <c r="M81" s="48"/>
      <c r="N81" s="48"/>
      <c r="O81" s="48"/>
      <c r="P81" s="48"/>
      <c r="Q81" s="48"/>
      <c r="R81" s="48"/>
      <c r="S81" s="48"/>
      <c r="T81" s="57"/>
    </row>
    <row r="82" spans="1:20" ht="46" outlineLevel="3" thickTop="1" x14ac:dyDescent="0.2">
      <c r="A82" s="92"/>
      <c r="C82" s="58"/>
      <c r="D82" s="59"/>
      <c r="E82" s="60" t="str">
        <f>VLOOKUP(D81,QuestionList,7,FALSE)</f>
        <v>This examines whether your organization tracks how cryptographic changes—such as new algorithms, larger key sizes, or protocol upgrades—affect system performance, reliability, and user experience, and whether findings are used to inform future implementation improvements.</v>
      </c>
      <c r="L82" s="61"/>
    </row>
    <row r="83" spans="1:20" ht="18" customHeight="1" outlineLevel="3" x14ac:dyDescent="0.2">
      <c r="A83" s="92"/>
      <c r="C83" s="58"/>
      <c r="D83" s="59"/>
      <c r="E83" s="45" t="s">
        <v>169</v>
      </c>
      <c r="G83" s="62"/>
      <c r="L83" s="61"/>
    </row>
    <row r="84" spans="1:20" ht="105" outlineLevel="3" x14ac:dyDescent="0.2">
      <c r="A84" s="92"/>
      <c r="C84" s="58"/>
      <c r="D84" s="59"/>
      <c r="E84" s="187" t="str">
        <f>VLOOKUP(D81,QuestionList,12,FALSE)</f>
        <v>•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105</v>
      </c>
      <c r="E86" s="76" t="str">
        <f>VLOOKUP(D86,QuestionList,6,FALSE)</f>
        <v>How does your organization ensure cryptographic implementation libraries, patterns, and tools remain up to date with evolving standards?</v>
      </c>
      <c r="G86" s="56"/>
      <c r="I86" s="77" t="str">
        <f>IFERROR(
IF(G86="","",INT(LEFT(G86,1))),"")</f>
        <v/>
      </c>
      <c r="J86" s="53"/>
      <c r="K86" s="48"/>
      <c r="M86" s="48"/>
      <c r="N86" s="48"/>
      <c r="O86" s="48"/>
      <c r="P86" s="48"/>
      <c r="Q86" s="48"/>
      <c r="R86" s="48"/>
      <c r="S86" s="48"/>
      <c r="T86" s="57"/>
    </row>
    <row r="87" spans="1:20" ht="46" outlineLevel="3" thickTop="1" x14ac:dyDescent="0.2">
      <c r="A87" s="92"/>
      <c r="C87" s="65"/>
      <c r="D87" s="59"/>
      <c r="E87" s="60" t="str">
        <f>VLOOKUP(D86,QuestionList,7,FALSE)</f>
        <v>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v>
      </c>
      <c r="L87" s="61"/>
    </row>
    <row r="88" spans="1:20" ht="18" customHeight="1" outlineLevel="3" x14ac:dyDescent="0.2">
      <c r="A88" s="92"/>
      <c r="C88" s="65"/>
      <c r="D88" s="59"/>
      <c r="E88" s="45" t="s">
        <v>169</v>
      </c>
      <c r="G88" s="62"/>
      <c r="L88" s="61"/>
    </row>
    <row r="89" spans="1:20" ht="105" outlineLevel="3" x14ac:dyDescent="0.2">
      <c r="A89" s="92"/>
      <c r="C89" s="65"/>
      <c r="D89" s="59"/>
      <c r="E89" s="187" t="str">
        <f>VLOOKUP(D86,QuestionList,12,FALSE)</f>
        <v>•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16" outlineLevel="2" thickBot="1" x14ac:dyDescent="0.25">
      <c r="A94" s="92"/>
      <c r="B94" s="53"/>
      <c r="C94" s="54" t="s">
        <v>168</v>
      </c>
      <c r="D94" s="55">
        <f>D66+5</f>
        <v>106</v>
      </c>
      <c r="E94" s="76" t="str">
        <f>VLOOKUP(D94,QuestionList,6,FALSE)</f>
        <v>How structured is your delivery process for implementing cryptographic changes?</v>
      </c>
      <c r="G94" s="56"/>
      <c r="I94" s="77" t="str">
        <f>IFERROR(
IF(G94="","",INT(LEFT(G94,1))),"")</f>
        <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107</v>
      </c>
      <c r="E99" s="76" t="str">
        <f>VLOOKUP(D99,QuestionList,6,FALSE)</f>
        <v>How does your organization ensure consistent implementation of cryptographic practices across systems</v>
      </c>
      <c r="G99" s="56"/>
      <c r="I99" s="77" t="str">
        <f>IFERROR(
IF(G99="","",INT(LEFT(G99,1))),"")</f>
        <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whether your organization has established common patterns, standards, and verification methods to ensure cryptographic practices—such as algorithm selection, key management, protocol use, and configuration—are applied uniformly across teams, systems, and environments.</v>
      </c>
      <c r="L100" s="61"/>
    </row>
    <row r="101" spans="1:20" ht="18" customHeight="1" outlineLevel="3" x14ac:dyDescent="0.2">
      <c r="A101" s="92"/>
      <c r="C101" s="58"/>
      <c r="D101" s="59"/>
      <c r="E101" s="45" t="s">
        <v>169</v>
      </c>
      <c r="G101" s="62"/>
      <c r="L101" s="61"/>
    </row>
    <row r="102" spans="1:20" ht="60" outlineLevel="3" x14ac:dyDescent="0.2">
      <c r="A102" s="92"/>
      <c r="C102" s="58"/>
      <c r="D102" s="59"/>
      <c r="E102" s="187" t="str">
        <f>VLOOKUP(D99,QuestionList,12,FALSE)</f>
        <v>•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108</v>
      </c>
      <c r="E104" s="76" t="str">
        <f>VLOOKUP(D104,QuestionList,6,FALSE)</f>
        <v>How does your organization identify and manage risks associated with cryptographic transitions?</v>
      </c>
      <c r="G104" s="56"/>
      <c r="I104" s="77" t="str">
        <f>IFERROR(
IF(G104="","",INT(LEFT(G104,1))),"")</f>
        <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examines your approach to identifying, assessing, and mitigating risks that arise during cryptographic transitions including technical, architectural, and integration-related risks.</v>
      </c>
      <c r="L105" s="61"/>
    </row>
    <row r="106" spans="1:20" ht="18" customHeight="1" outlineLevel="3" x14ac:dyDescent="0.2">
      <c r="A106" s="92"/>
      <c r="C106" s="58"/>
      <c r="D106" s="59"/>
      <c r="E106" s="45" t="s">
        <v>169</v>
      </c>
      <c r="G106" s="62"/>
      <c r="L106" s="61"/>
    </row>
    <row r="107" spans="1:20" ht="105" outlineLevel="3" x14ac:dyDescent="0.2">
      <c r="A107" s="92"/>
      <c r="C107" s="58"/>
      <c r="D107" s="59"/>
      <c r="E107" s="187" t="str">
        <f>VLOOKUP(D104,QuestionList,12,FALSE)</f>
        <v>•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109</v>
      </c>
      <c r="E109" s="76" t="str">
        <f>VLOOKUP(D109,QuestionList,6,FALSE)</f>
        <v>How does your organization track and benchmark cryptographic delivery outcomes across implementation projects?</v>
      </c>
      <c r="G109" s="56"/>
      <c r="I109" s="77" t="str">
        <f>IFERROR(
IF(G109="","",INT(LEFT(G109,1))),"")</f>
        <v/>
      </c>
      <c r="J109" s="53"/>
      <c r="K109" s="48"/>
      <c r="M109" s="48"/>
      <c r="N109" s="48"/>
      <c r="O109" s="48"/>
      <c r="P109" s="48"/>
      <c r="Q109" s="48"/>
      <c r="R109" s="48"/>
      <c r="S109" s="48"/>
      <c r="T109" s="57"/>
    </row>
    <row r="110" spans="1:20" ht="31" outlineLevel="3" thickTop="1" x14ac:dyDescent="0.2">
      <c r="A110" s="92"/>
      <c r="C110" s="58"/>
      <c r="D110" s="59"/>
      <c r="E110" s="60" t="str">
        <f>VLOOKUP(D109,QuestionList,7,FALSE)</f>
        <v>This examines whether your organization evaluates cryptographic delivery efforts for consistency, speed, and success across different teams, environments, or vendors to identify systemic issues and improve readiness.</v>
      </c>
      <c r="L110" s="61"/>
    </row>
    <row r="111" spans="1:20" ht="18" customHeight="1" outlineLevel="3" x14ac:dyDescent="0.2">
      <c r="A111" s="92"/>
      <c r="C111" s="58"/>
      <c r="D111" s="59"/>
      <c r="E111" s="45" t="s">
        <v>169</v>
      </c>
      <c r="G111" s="62"/>
      <c r="L111" s="61"/>
    </row>
    <row r="112" spans="1:20" ht="105" outlineLevel="3" x14ac:dyDescent="0.2">
      <c r="A112" s="92"/>
      <c r="C112" s="58"/>
      <c r="D112" s="59"/>
      <c r="E112" s="187" t="str">
        <f>VLOOKUP(D109,QuestionList,12,FALSE)</f>
        <v>•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110</v>
      </c>
      <c r="E114" s="76" t="str">
        <f>VLOOKUP(D114,QuestionList,6,FALSE)</f>
        <v>How does your organization enforce cryptographic change readiness and agility through its CI/CD and software delivery pipelines?</v>
      </c>
      <c r="G114" s="56"/>
      <c r="I114" s="77" t="str">
        <f>IFERROR(
IF(G114="","",INT(LEFT(G114,1))),"")</f>
        <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whether your organization integrates cryptographic policy enforcement into delivery workflows—ensuring new code, configurations, or services comply with cryptographic agility, key management, and post-quantum preparedness requirements at build and deployment time.</v>
      </c>
      <c r="L115" s="61"/>
    </row>
    <row r="116" spans="1:20" ht="18" customHeight="1" outlineLevel="3" x14ac:dyDescent="0.2">
      <c r="A116" s="92"/>
      <c r="C116" s="65"/>
      <c r="D116" s="59"/>
      <c r="E116" s="45" t="s">
        <v>169</v>
      </c>
      <c r="G116" s="62"/>
      <c r="L116" s="61"/>
    </row>
    <row r="117" spans="1:20" ht="75" outlineLevel="3" x14ac:dyDescent="0.2">
      <c r="A117" s="92"/>
      <c r="C117" s="65"/>
      <c r="D117" s="59"/>
      <c r="E117" s="187" t="str">
        <f>VLOOKUP(D114,QuestionList,12,FALSE)</f>
        <v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Incident Response &amp; Recovery</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t="str" cm="1">
        <f t="array" ref="L121">IFERROR(
IF(COUNTIF(I123:I146, "&gt;0") = 0, "", AVERAGE(IF(I123:I143&gt;0, I123:I143))) * 0.6
+IF(COUNTIF(I151:I171, "&gt;0") = 0, "", AVERAGE(IF(I151:I171&gt;0, I151:I171))) * 0.4,"-")</f>
        <v>-</v>
      </c>
      <c r="M121" s="51"/>
      <c r="N121" s="83" t="str">
        <f>IF(L121="-", "-", L121 * VLOOKUP(TRIM(B120), PracticeData, 3, FALSE))</f>
        <v>-</v>
      </c>
      <c r="O121" s="61"/>
      <c r="P121" s="48"/>
    </row>
    <row r="122" spans="1:20" ht="7.5" customHeight="1" outlineLevel="2" x14ac:dyDescent="0.2">
      <c r="A122" s="92"/>
      <c r="E122" s="52"/>
      <c r="L122" s="212" t="str">
        <f>_xlfn.CONCAT(B120, CHAR(10), "score")</f>
        <v>Incident Response &amp; Recovery
score</v>
      </c>
      <c r="N122" s="212" t="str">
        <f>_xlfn.CONCAT(B120, CHAR(10), "weighted score")</f>
        <v>Incident Response &amp; Recovery
weighted score</v>
      </c>
      <c r="O122" s="61"/>
    </row>
    <row r="123" spans="1:20" ht="31" outlineLevel="2" thickBot="1" x14ac:dyDescent="0.25">
      <c r="A123" s="92"/>
      <c r="B123" s="53"/>
      <c r="C123" s="54" t="s">
        <v>168</v>
      </c>
      <c r="D123" s="55">
        <f>D94+5</f>
        <v>111</v>
      </c>
      <c r="E123" s="76" t="str">
        <f>VLOOKUP(D123,QuestionList,6,FALSE)</f>
        <v>How comprehensive is your testing strategy for cryptographic transitions and quantum-resistant implementations?</v>
      </c>
      <c r="G123" s="56"/>
      <c r="I123" s="77" t="str">
        <f>IFERROR(
IF(G123="","",INT(LEFT(G123,1))),"")</f>
        <v/>
      </c>
      <c r="J123" s="53"/>
      <c r="K123" s="48"/>
      <c r="L123" s="212"/>
      <c r="M123" s="48"/>
      <c r="N123" s="212"/>
      <c r="O123" s="61"/>
      <c r="P123" s="48"/>
      <c r="Q123" s="48"/>
      <c r="R123" s="48"/>
      <c r="S123" s="48"/>
      <c r="T123" s="57"/>
    </row>
    <row r="124" spans="1:20" ht="46" outlineLevel="3" thickTop="1" x14ac:dyDescent="0.2">
      <c r="A124" s="92"/>
      <c r="C124" s="58"/>
      <c r="D124" s="59"/>
      <c r="E124" s="60" t="str">
        <f>VLOOKUP(D123,QuestionList,7,FALSE)</f>
        <v>This examines your organization’s approach to preparing for the testing of quantum-resistant and cryptographically agile systems—including test planning, methodologies, and coverage of new algorithms, hybrid mechanisms, and security validation requirements.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1" customHeight="1" outlineLevel="3" x14ac:dyDescent="0.2">
      <c r="A126" s="92"/>
      <c r="C126" s="58"/>
      <c r="D126" s="59"/>
      <c r="E126" s="187" t="str">
        <f>VLOOKUP(D123,QuestionList,12,FALSE)</f>
        <v>•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112</v>
      </c>
      <c r="E128" s="76" t="str">
        <f>VLOOKUP(D128,QuestionList,6,FALSE)</f>
        <v>How does your organization validate cryptographic fallback mechanisms and recovery readiness during transition testing?</v>
      </c>
      <c r="G128" s="56"/>
      <c r="I128" s="77" t="str">
        <f>IFERROR(
IF(G128="","",INT(LEFT(G128,1))),"")</f>
        <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v>
      </c>
      <c r="L129" s="61"/>
    </row>
    <row r="130" spans="1:20" ht="18" customHeight="1" outlineLevel="3" x14ac:dyDescent="0.2">
      <c r="A130" s="92"/>
      <c r="C130" s="58"/>
      <c r="D130" s="59"/>
      <c r="E130" s="45" t="s">
        <v>169</v>
      </c>
      <c r="G130" s="62"/>
      <c r="L130" s="61"/>
    </row>
    <row r="131" spans="1:20" ht="90" outlineLevel="3" x14ac:dyDescent="0.2">
      <c r="A131" s="92"/>
      <c r="C131" s="58"/>
      <c r="D131" s="59"/>
      <c r="E131" s="187" t="str">
        <f>VLOOKUP(D128,QuestionList,12,FALSE)</f>
        <v>•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v>
      </c>
      <c r="G131" s="63"/>
      <c r="L131" s="61"/>
    </row>
    <row r="132" spans="1:20" ht="7.5" customHeight="1" outlineLevel="2" x14ac:dyDescent="0.2">
      <c r="A132" s="92"/>
      <c r="C132" s="64"/>
      <c r="D132" s="59"/>
      <c r="E132" s="52"/>
    </row>
    <row r="133" spans="1:20" ht="31" outlineLevel="2" thickBot="1" x14ac:dyDescent="0.25">
      <c r="A133" s="92"/>
      <c r="B133" s="53"/>
      <c r="C133" s="54" t="s">
        <v>171</v>
      </c>
      <c r="D133" s="55">
        <f>D104+5</f>
        <v>113</v>
      </c>
      <c r="E133" s="76" t="str">
        <f>VLOOKUP(D133,QuestionList,6,FALSE)</f>
        <v>How does your organization test the performance and scalability of cryptographic implementations under realistic and constrained conditions?</v>
      </c>
      <c r="G133" s="56"/>
      <c r="I133" s="77" t="str">
        <f>IFERROR(
IF(G133="","",INT(LEFT(G133,1))),"")</f>
        <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testing strategy includes performance and load testing of cryptographic operations under realistic operational conditions, including constrained devices, high-throughput services, or latency-sensitive systems.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114</v>
      </c>
      <c r="E138" s="76" t="str">
        <f>VLOOKUP(D138,QuestionList,6,FALSE)</f>
        <v>How does your organization generate and manage assurance evidence from cryptographic testing activities?</v>
      </c>
      <c r="G138" s="56"/>
      <c r="I138" s="77" t="str">
        <f>IFERROR(
IF(G138="","",INT(LEFT(G138,1))),"")</f>
        <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testing practices produce reliable, traceable, and meaningful outputs—such as logs, artifacts, and validation records—that demonstrate the correctness, security, and performance of cryptographic transitions to internal and external stakeholders.</v>
      </c>
      <c r="L139" s="61"/>
    </row>
    <row r="140" spans="1:20" ht="18" customHeight="1" outlineLevel="3" x14ac:dyDescent="0.2">
      <c r="A140" s="92"/>
      <c r="C140" s="58"/>
      <c r="D140" s="59"/>
      <c r="E140" s="45" t="s">
        <v>169</v>
      </c>
      <c r="G140" s="62"/>
      <c r="L140" s="61"/>
    </row>
    <row r="141" spans="1:20" ht="90" outlineLevel="3" x14ac:dyDescent="0.2">
      <c r="A141" s="92"/>
      <c r="C141" s="58"/>
      <c r="D141" s="59"/>
      <c r="E141" s="187" t="str">
        <f>VLOOKUP(D138,QuestionList,12,FALSE)</f>
        <v>•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v>
      </c>
      <c r="G141" s="63"/>
      <c r="L141" s="61"/>
    </row>
    <row r="142" spans="1:20" ht="7.5" customHeight="1" outlineLevel="2" x14ac:dyDescent="0.2">
      <c r="A142" s="92"/>
      <c r="C142" s="64"/>
      <c r="D142" s="59"/>
      <c r="E142" s="52"/>
    </row>
    <row r="143" spans="1:20" ht="31" outlineLevel="2" thickBot="1" x14ac:dyDescent="0.25">
      <c r="A143" s="92"/>
      <c r="B143" s="53"/>
      <c r="C143" s="54" t="s">
        <v>173</v>
      </c>
      <c r="D143" s="55">
        <f>D114+5</f>
        <v>115</v>
      </c>
      <c r="E143" s="76" t="str">
        <f>VLOOKUP(D143,QuestionList,6,FALSE)</f>
        <v>How does your organization adapt cryptographic testing practices in response to evolving threats, implementation risks, and post-quantum developments?</v>
      </c>
      <c r="G143" s="56"/>
      <c r="I143" s="77" t="str">
        <f>IFERROR(
IF(G143="","",INT(LEFT(G143,1))),"")</f>
        <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whether your organization updates and enhances its cryptographic testing scope, tools, and methodologies based on new threat intelligence, protocol changes, PQC migration updates, or observed failures.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116</v>
      </c>
      <c r="E151" s="76" t="str">
        <f>VLOOKUP(D151,QuestionList,6,FALSE)</f>
        <v>How structured is your validation process for cryptographic transitions?</v>
      </c>
      <c r="G151" s="56"/>
      <c r="I151" s="77" t="str">
        <f>IFERROR(
IF(G151="","",INT(LEFT(G151,1))),"")</f>
        <v/>
      </c>
      <c r="J151" s="53"/>
      <c r="K151" s="48"/>
      <c r="L151" s="48"/>
      <c r="M151" s="48"/>
      <c r="N151" s="48"/>
      <c r="O151" s="48"/>
      <c r="P151" s="48"/>
      <c r="Q151" s="48"/>
      <c r="R151" s="48"/>
      <c r="S151" s="48"/>
      <c r="T151" s="57"/>
    </row>
    <row r="152" spans="1:20" ht="31" outlineLevel="3" thickTop="1" x14ac:dyDescent="0.2">
      <c r="A152" s="92"/>
      <c r="C152" s="58"/>
      <c r="D152" s="59"/>
      <c r="E152" s="60" t="str">
        <f>VLOOKUP(D151,QuestionList,7,FALSE)</f>
        <v>This examines whether your organization has a defined process to validate that cryptographic transitions meet functional, security, and performance requirements before deployment.</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117</v>
      </c>
      <c r="E156" s="76" t="str">
        <f>VLOOKUP(D156,QuestionList,6,FALSE)</f>
        <v>How does your organization ensure consistent validation practices across cryptographic transitions and systems?</v>
      </c>
      <c r="G156" s="56"/>
      <c r="I156" s="77" t="str">
        <f>IFERROR(
IF(G156="","",INT(LEFT(G156,1))),"")</f>
        <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whether your organization applies standardized validation procedures—such as test criteria, success thresholds, and evaluation methods—consistently across teams, systems, and environments during cryptographic migrations.</v>
      </c>
      <c r="L157" s="61"/>
    </row>
    <row r="158" spans="1:20" ht="18" customHeight="1" outlineLevel="3" x14ac:dyDescent="0.2">
      <c r="A158" s="92"/>
      <c r="C158" s="58"/>
      <c r="D158" s="59"/>
      <c r="E158" s="45" t="s">
        <v>169</v>
      </c>
      <c r="G158" s="62"/>
      <c r="L158" s="61"/>
    </row>
    <row r="159" spans="1:20" ht="90" outlineLevel="3" x14ac:dyDescent="0.2">
      <c r="A159" s="92"/>
      <c r="C159" s="58"/>
      <c r="D159" s="59"/>
      <c r="E159" s="187" t="str">
        <f>VLOOKUP(D156,QuestionList,12,FALSE)</f>
        <v>•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118</v>
      </c>
      <c r="E161" s="76" t="str">
        <f>VLOOKUP(D161,QuestionList,6,FALSE)</f>
        <v>How does your organization ensure validation of cryptographic implementations aligns with regulatory, industry, and internal compliance requirements?</v>
      </c>
      <c r="G161" s="56"/>
      <c r="I161" s="77" t="str">
        <f>IFERROR(
IF(G161="","",INT(LEFT(G161,1))),"")</f>
        <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whether your validation practices for cryptographic transitions are aligned with applicable compliance requirements, such as cryptographic standards, certification frameworks, and sector-specific regulations.</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v>
      </c>
      <c r="G164" s="63"/>
      <c r="L164" s="61"/>
    </row>
    <row r="165" spans="1:20" ht="45" customHeight="1" outlineLevel="2" thickBot="1" x14ac:dyDescent="0.25">
      <c r="A165" s="92"/>
      <c r="B165" s="53"/>
      <c r="C165" s="54" t="s">
        <v>172</v>
      </c>
      <c r="D165" s="55">
        <f>D138+5</f>
        <v>119</v>
      </c>
      <c r="E165" s="76" t="str">
        <f>VLOOKUP(D165,QuestionList,6,FALSE)</f>
        <v>How does your organization assess cryptographic weaknesses or downgrade risks in third-party and externally managed systems during implementation testing?</v>
      </c>
      <c r="G165" s="56"/>
      <c r="I165" s="77" t="str">
        <f>IFERROR(
IF(G165="","",INT(LEFT(G165,1))),"")</f>
        <v/>
      </c>
      <c r="J165" s="53"/>
      <c r="K165" s="48"/>
      <c r="M165" s="48"/>
      <c r="N165" s="48"/>
      <c r="O165" s="48"/>
      <c r="P165" s="48"/>
      <c r="Q165" s="48"/>
      <c r="R165" s="48"/>
      <c r="S165" s="48"/>
      <c r="T165" s="57"/>
    </row>
    <row r="166" spans="1:20" ht="14.25" customHeight="1" thickTop="1" thickBot="1" x14ac:dyDescent="0.25"/>
    <row r="167" spans="1:20" ht="46" outlineLevel="3" thickTop="1" x14ac:dyDescent="0.2">
      <c r="A167" s="48"/>
      <c r="C167" s="58"/>
      <c r="D167" s="59"/>
      <c r="E167" s="60" t="str">
        <f>VLOOKUP(D165,QuestionList,7,FALSE)</f>
        <v>This examines whether your testing and validation efforts include evaluation of cryptographic risks introduced by external systems—such as APIs, SaaS platforms, or vendor-integrated components—including legacy protocol fallback, insecure defaults, or inconsistent cryptographic controls.</v>
      </c>
      <c r="L167" s="61"/>
    </row>
    <row r="168" spans="1:20" ht="18" customHeight="1" outlineLevel="3" x14ac:dyDescent="0.2">
      <c r="A168" s="48"/>
      <c r="C168" s="58"/>
      <c r="D168" s="59"/>
      <c r="E168" s="45" t="s">
        <v>169</v>
      </c>
      <c r="G168" s="62"/>
      <c r="L168" s="61"/>
    </row>
    <row r="169" spans="1:20" ht="60" outlineLevel="3" x14ac:dyDescent="0.2">
      <c r="A169" s="48"/>
      <c r="C169" s="58"/>
      <c r="D169" s="59"/>
      <c r="E169" s="187" t="str">
        <f>VLOOKUP(D165,QuestionList,12,FALSE)</f>
        <v>•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120</v>
      </c>
      <c r="E171" s="76" t="str">
        <f>VLOOKUP(D171,QuestionList,6,FALSE)</f>
        <v>How does your organization contribute to industry standards or best practices for validating cryptographic implementations?</v>
      </c>
      <c r="G171" s="56"/>
      <c r="I171" s="77" t="str">
        <f>IFERROR(
IF(G171="","",INT(LEFT(G171,1))),"")</f>
        <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whether your organization plays a role in shaping how cryptographic implementations are validated across the industry, including contributions to standards bodies, community initiatives, test frameworks, or validation methodologies.</v>
      </c>
      <c r="L172" s="61"/>
    </row>
    <row r="173" spans="1:20" ht="18" customHeight="1" outlineLevel="3" x14ac:dyDescent="0.2">
      <c r="A173" s="48"/>
      <c r="C173" s="65"/>
      <c r="D173" s="59"/>
      <c r="E173" s="45" t="s">
        <v>169</v>
      </c>
      <c r="G173" s="62"/>
      <c r="L173" s="61"/>
    </row>
    <row r="174" spans="1:20" ht="90" outlineLevel="3" x14ac:dyDescent="0.2">
      <c r="A174" s="48"/>
      <c r="C174" s="65"/>
      <c r="D174" s="59"/>
      <c r="E174" s="187" t="str">
        <f>VLOOKUP(D171,QuestionList,12,FALSE)</f>
        <v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533F8F3-0F52-4278-86EF-079925170E79}">
      <formula1>Q91_answers</formula1>
    </dataValidation>
    <dataValidation type="list" allowBlank="1" showInputMessage="1" showErrorMessage="1" sqref="G14" xr:uid="{BD60F726-AEE7-4F3C-8F21-C856CBACC0FA}">
      <formula1>Q92_answers</formula1>
    </dataValidation>
    <dataValidation type="list" allowBlank="1" showInputMessage="1" showErrorMessage="1" sqref="G19" xr:uid="{5D58ED47-8EB1-4D38-A55B-B12BF4632A9B}">
      <formula1>Q93_answers</formula1>
    </dataValidation>
    <dataValidation type="list" allowBlank="1" showInputMessage="1" showErrorMessage="1" sqref="G24" xr:uid="{DB96DBAD-22F4-4EB6-91A4-30433A6839F0}">
      <formula1>Q94_answers</formula1>
    </dataValidation>
    <dataValidation type="list" allowBlank="1" showInputMessage="1" showErrorMessage="1" sqref="G29" xr:uid="{46E14AD2-2AAF-43C5-AC63-806484E18408}">
      <formula1>Q95_answers</formula1>
    </dataValidation>
    <dataValidation type="list" allowBlank="1" showInputMessage="1" showErrorMessage="1" sqref="G37" xr:uid="{82370207-7A6B-4DE9-AF84-31073396BC5F}">
      <formula1>Q96_answers</formula1>
    </dataValidation>
    <dataValidation type="list" allowBlank="1" showInputMessage="1" showErrorMessage="1" sqref="G42" xr:uid="{2E0E6E70-9C1B-413C-BBDB-DC17CDD19C12}">
      <formula1>Q97_answers</formula1>
    </dataValidation>
    <dataValidation type="list" allowBlank="1" showInputMessage="1" showErrorMessage="1" sqref="G47" xr:uid="{58EA40BD-2E4B-4676-B0F6-16D8B359A351}">
      <formula1>Q98_answers</formula1>
    </dataValidation>
    <dataValidation type="list" allowBlank="1" showInputMessage="1" showErrorMessage="1" sqref="G52" xr:uid="{E74D9B52-44F0-4019-B121-E72079E8D7B9}">
      <formula1>Q99_answers</formula1>
    </dataValidation>
    <dataValidation type="list" allowBlank="1" showInputMessage="1" showErrorMessage="1" sqref="G57" xr:uid="{E958C19E-3F2A-4CE5-8060-C9AE633A86E7}">
      <formula1>Q100_answers</formula1>
    </dataValidation>
    <dataValidation type="list" allowBlank="1" showInputMessage="1" showErrorMessage="1" sqref="G66" xr:uid="{11DFB609-DB30-4244-86F2-483E29947B04}">
      <formula1>Q101_answers</formula1>
    </dataValidation>
    <dataValidation type="list" allowBlank="1" showInputMessage="1" showErrorMessage="1" sqref="G71" xr:uid="{6DA9B21D-517A-4F88-A180-893031775D1E}">
      <formula1>Q102_answers</formula1>
    </dataValidation>
    <dataValidation type="list" allowBlank="1" showInputMessage="1" showErrorMessage="1" sqref="G76" xr:uid="{CA17FF6B-F665-410A-9C85-ACF39199AEE6}">
      <formula1>Q103_answers</formula1>
    </dataValidation>
    <dataValidation type="list" allowBlank="1" showInputMessage="1" showErrorMessage="1" sqref="G81" xr:uid="{2CDADDD0-FE77-4C79-95CA-F0E12C586509}">
      <formula1>Q104_answers</formula1>
    </dataValidation>
    <dataValidation type="list" allowBlank="1" showInputMessage="1" showErrorMessage="1" sqref="G86" xr:uid="{DB465007-5D5A-4250-8865-D86B622C161C}">
      <formula1>Q105_answers</formula1>
    </dataValidation>
    <dataValidation type="list" allowBlank="1" showInputMessage="1" showErrorMessage="1" sqref="G94" xr:uid="{3E055320-1155-4560-9011-5492E9F7AE11}">
      <formula1>Q106_answers</formula1>
    </dataValidation>
    <dataValidation type="list" allowBlank="1" showInputMessage="1" showErrorMessage="1" sqref="G99" xr:uid="{F43BD3E4-291B-4DE3-9E0F-DAAD31D8B5C9}">
      <formula1>Q107_answers</formula1>
    </dataValidation>
    <dataValidation type="list" allowBlank="1" showInputMessage="1" showErrorMessage="1" sqref="G104" xr:uid="{A13515C3-888E-44FB-8CD2-45F06E160251}">
      <formula1>Q108_answers</formula1>
    </dataValidation>
    <dataValidation type="list" allowBlank="1" showInputMessage="1" showErrorMessage="1" sqref="G109" xr:uid="{56C7A030-1CA9-4029-A5A0-F5D9FE9D8F57}">
      <formula1>Q109_answers</formula1>
    </dataValidation>
    <dataValidation type="list" allowBlank="1" showInputMessage="1" showErrorMessage="1" sqref="G114" xr:uid="{BD82F2BB-9AFD-4F9A-BA79-8F9F90402B9C}">
      <formula1>Q110_answers</formula1>
    </dataValidation>
    <dataValidation type="list" allowBlank="1" showInputMessage="1" showErrorMessage="1" sqref="G123" xr:uid="{1E35BC4F-348C-4ABA-9268-F0527E4048BD}">
      <formula1>Q111_answers</formula1>
    </dataValidation>
    <dataValidation type="list" allowBlank="1" showInputMessage="1" showErrorMessage="1" sqref="G128" xr:uid="{B0466EC6-6585-4317-B0FB-9559D1C19705}">
      <formula1>Q112_answers</formula1>
    </dataValidation>
    <dataValidation type="list" allowBlank="1" showInputMessage="1" showErrorMessage="1" sqref="G133" xr:uid="{922A992B-EA7B-4765-88A0-04823633DD1C}">
      <formula1>Q113_answers</formula1>
    </dataValidation>
    <dataValidation type="list" allowBlank="1" showInputMessage="1" showErrorMessage="1" sqref="G138" xr:uid="{D25E6977-AE91-44DE-8260-244FE146CB2A}">
      <formula1>Q114_answers</formula1>
    </dataValidation>
    <dataValidation type="list" allowBlank="1" showInputMessage="1" showErrorMessage="1" sqref="G143" xr:uid="{FF0C613B-5D46-4E7E-A4E2-135623B28C2B}">
      <formula1>Q115_answers</formula1>
    </dataValidation>
    <dataValidation type="list" allowBlank="1" showInputMessage="1" showErrorMessage="1" sqref="G151" xr:uid="{E0417C5F-4C49-46D6-8D73-A61D577B9DC3}">
      <formula1>Q116_answers</formula1>
    </dataValidation>
    <dataValidation type="list" allowBlank="1" showInputMessage="1" showErrorMessage="1" sqref="G156" xr:uid="{A3D1E59B-C4AC-4558-A715-537F18309F01}">
      <formula1>Q117_answers</formula1>
    </dataValidation>
    <dataValidation type="list" allowBlank="1" showInputMessage="1" showErrorMessage="1" sqref="G161" xr:uid="{32656838-9ECE-413F-814B-E18ABC4CF9FB}">
      <formula1>Q118_answers</formula1>
    </dataValidation>
    <dataValidation type="list" allowBlank="1" showInputMessage="1" showErrorMessage="1" sqref="G165" xr:uid="{B8A9C61E-8CEB-475A-9E6B-9B57EA558790}">
      <formula1>Q119_answers</formula1>
    </dataValidation>
    <dataValidation type="list" allowBlank="1" showInputMessage="1" showErrorMessage="1" sqref="G171" xr:uid="{13759D23-C3E5-4F6C-B8BE-56C24BFD529B}">
      <formula1>Q120_answers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0D7F4-FE36-4D9A-A59A-06E3E161F779}">
  <sheetPr codeName="Sheet11">
    <tabColor rgb="FFD6A1E7"/>
  </sheetPr>
  <dimension ref="A1:AN1292"/>
  <sheetViews>
    <sheetView showGridLines="0" zoomScale="135" zoomScaleNormal="100" workbookViewId="0">
      <selection activeCell="H16" sqref="H16"/>
    </sheetView>
  </sheetViews>
  <sheetFormatPr baseColWidth="10" defaultColWidth="0" defaultRowHeight="0" customHeight="1" zeroHeight="1" x14ac:dyDescent="0.2"/>
  <cols>
    <col min="1" max="1" width="5.83203125" style="14" customWidth="1"/>
    <col min="2" max="2" width="5.5" style="14" customWidth="1"/>
    <col min="3" max="3" width="6" style="14" customWidth="1"/>
    <col min="4" max="4" width="40" style="14" customWidth="1"/>
    <col min="5" max="5" width="17" style="14" customWidth="1"/>
    <col min="6" max="6" width="15.83203125" style="45" customWidth="1"/>
    <col min="7" max="7" width="17.33203125" style="14" customWidth="1"/>
    <col min="8" max="8" width="24.5" style="14" customWidth="1"/>
    <col min="9" max="13" width="18" style="14" customWidth="1"/>
    <col min="14" max="14" width="7.1640625" style="14" customWidth="1"/>
    <col min="15" max="15" width="8.83203125" style="14" customWidth="1"/>
    <col min="16" max="19" width="13" style="14" hidden="1" customWidth="1"/>
    <col min="20" max="24" width="11.5" style="14" hidden="1" customWidth="1"/>
    <col min="25" max="29" width="5.83203125" style="14" hidden="1" customWidth="1"/>
    <col min="30" max="16384" width="1.33203125" style="14" hidden="1"/>
  </cols>
  <sheetData>
    <row r="1" spans="1:40" s="74" customFormat="1" ht="28.5" customHeight="1" x14ac:dyDescent="0.3">
      <c r="A1" s="28"/>
      <c r="B1" s="85" t="s">
        <v>847</v>
      </c>
      <c r="C1" s="29"/>
      <c r="D1" s="28"/>
      <c r="E1" s="31"/>
      <c r="F1" s="46"/>
      <c r="G1" s="31"/>
      <c r="H1" s="31"/>
      <c r="I1" s="31"/>
      <c r="J1" s="31"/>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row>
    <row r="2" spans="1:40" s="19" customFormat="1" ht="16.5" customHeight="1" x14ac:dyDescent="0.2">
      <c r="A2" s="15"/>
      <c r="B2" s="16"/>
      <c r="C2" s="42"/>
      <c r="D2" s="15"/>
      <c r="E2" s="18"/>
      <c r="F2" s="43"/>
      <c r="G2" s="18"/>
      <c r="H2" s="18"/>
      <c r="I2" s="18"/>
      <c r="J2" s="18"/>
      <c r="K2" s="15"/>
      <c r="L2" s="15"/>
      <c r="M2" s="15"/>
      <c r="N2" s="75"/>
      <c r="O2" s="15"/>
      <c r="P2" s="15"/>
      <c r="Q2" s="15"/>
      <c r="R2" s="15"/>
      <c r="S2" s="15"/>
      <c r="T2" s="15"/>
      <c r="U2" s="15"/>
      <c r="V2" s="15"/>
      <c r="W2" s="15"/>
      <c r="X2" s="15"/>
      <c r="Y2" s="15"/>
      <c r="Z2" s="15"/>
      <c r="AA2" s="15"/>
      <c r="AB2" s="15"/>
      <c r="AC2" s="15"/>
      <c r="AD2" s="15"/>
      <c r="AE2" s="15"/>
      <c r="AF2" s="15"/>
      <c r="AG2" s="15"/>
      <c r="AH2" s="15"/>
      <c r="AI2" s="15"/>
      <c r="AJ2" s="15"/>
      <c r="AK2" s="15"/>
      <c r="AL2" s="18"/>
      <c r="AM2" s="18"/>
      <c r="AN2" s="18"/>
    </row>
    <row r="3" spans="1:40" ht="31.5" customHeight="1" x14ac:dyDescent="0.3">
      <c r="A3" s="209" t="s">
        <v>845</v>
      </c>
      <c r="B3" s="209"/>
      <c r="C3" s="209"/>
      <c r="D3" s="211" t="s">
        <v>876</v>
      </c>
      <c r="I3" s="40"/>
      <c r="J3" s="202" t="str">
        <f>IF(('Dimension 1 - CVI'!N2+'Dimension 2 - SGRM'!N2+'Dimension 3 - DPE'!N2+'Dimension 4 - ITR'!N2)/120 &lt; 0.8,"Assessment Completion Status: INCOMPLETE", "Assessment Completion Status: COMPLETE")</f>
        <v>Assessment Completion Status: INCOMPLETE</v>
      </c>
      <c r="K3" s="202"/>
      <c r="L3" s="202"/>
      <c r="M3" s="202"/>
      <c r="N3" s="49"/>
      <c r="O3" s="72"/>
      <c r="Y3" s="41"/>
    </row>
    <row r="4" spans="1:40" ht="30.75" customHeight="1" x14ac:dyDescent="0.2">
      <c r="A4" s="209"/>
      <c r="B4" s="209"/>
      <c r="C4" s="209"/>
      <c r="D4" s="211"/>
      <c r="J4" s="107"/>
      <c r="K4" s="203" t="str">
        <f>_xlfn.CONCAT(ROUND(('Dimension 1 - CVI'!N2+'Dimension 2 - SGRM'!N2+'Dimension 3 - DPE'!N2+'Dimension 4 - ITR'!N2)/120,2)*100,"% - ",
('Dimension 1 - CVI'!N2+'Dimension 2 - SGRM'!N2+'Dimension 3 - DPE'!N2+'Dimension 4 - ITR'!N2), " of 120 questions answered")</f>
        <v>0% - 0 of 120 questions answered</v>
      </c>
      <c r="L4" s="203"/>
      <c r="M4" s="203"/>
      <c r="N4" s="73"/>
    </row>
    <row r="5" spans="1:40" ht="23.25" customHeight="1" x14ac:dyDescent="0.2">
      <c r="A5" s="59"/>
      <c r="B5" s="78"/>
      <c r="C5" s="79" t="s">
        <v>883</v>
      </c>
      <c r="D5" s="79"/>
      <c r="E5" s="78"/>
      <c r="F5" s="81"/>
      <c r="G5" s="78"/>
      <c r="H5" s="82"/>
      <c r="I5" s="79"/>
      <c r="J5" s="79"/>
      <c r="K5" s="79"/>
      <c r="L5" s="79"/>
      <c r="M5" s="79"/>
      <c r="N5" s="48"/>
      <c r="O5" s="48"/>
    </row>
    <row r="6" spans="1:40" ht="27.75" customHeight="1" collapsed="1" x14ac:dyDescent="0.2">
      <c r="A6" s="48"/>
      <c r="D6" s="59"/>
    </row>
    <row r="7" spans="1:40" ht="27.75" customHeight="1" x14ac:dyDescent="0.2">
      <c r="A7" s="48"/>
      <c r="D7" s="59"/>
    </row>
    <row r="8" spans="1:40" ht="33.75" customHeight="1" x14ac:dyDescent="0.2">
      <c r="A8" s="48"/>
      <c r="C8" s="112" t="s">
        <v>174</v>
      </c>
      <c r="D8" s="112"/>
      <c r="E8" s="104" t="s">
        <v>884</v>
      </c>
      <c r="F8" s="105" t="s">
        <v>885</v>
      </c>
      <c r="G8" s="105" t="s">
        <v>1815</v>
      </c>
      <c r="H8" s="105" t="s">
        <v>877</v>
      </c>
      <c r="I8" s="105" t="s">
        <v>1813</v>
      </c>
    </row>
    <row r="9" spans="1:40" s="20" customFormat="1" ht="33" customHeight="1" x14ac:dyDescent="0.25">
      <c r="A9" s="97"/>
      <c r="C9" s="98" t="s">
        <v>878</v>
      </c>
      <c r="D9" s="98"/>
      <c r="E9" s="100" t="str">
        <f>CVI_Score</f>
        <v>-</v>
      </c>
      <c r="F9" s="101" t="str">
        <f>CVI_Score_Adj</f>
        <v>-</v>
      </c>
      <c r="G9" s="101">
        <f>VLOOKUP($C$16,Benchmarks,3,FALSE)*1</f>
        <v>2.2000000000000002</v>
      </c>
      <c r="H9" s="99" t="str" cm="1">
        <f t="array" ref="H9">_xlfn.IFS(E9="-", "Incomplete Assessment", E9&gt;=3.5,"Advanced",E9&gt;=2.5,"Established",E9&gt;=1.5,"Developing",1=1,"Basic")</f>
        <v>Incomplete Assessment</v>
      </c>
      <c r="I9" s="191" cm="1">
        <f t="array" ref="I9:J9">('Dimension 1 - CVI'!N2:O2)/30</f>
        <v>0</v>
      </c>
      <c r="J9" s="20">
        <v>0</v>
      </c>
    </row>
    <row r="10" spans="1:40" s="20" customFormat="1" ht="33" customHeight="1" x14ac:dyDescent="0.25">
      <c r="A10" s="97"/>
      <c r="C10" s="98" t="s">
        <v>846</v>
      </c>
      <c r="D10" s="98"/>
      <c r="E10" s="100" t="str">
        <f>SGRM_Score</f>
        <v>-</v>
      </c>
      <c r="F10" s="101" t="str">
        <f>SGRM_Score_Adj</f>
        <v>-</v>
      </c>
      <c r="G10" s="101">
        <f>VLOOKUP($C$16,Benchmarks,4,FALSE)*1</f>
        <v>2.5</v>
      </c>
      <c r="H10" s="99" t="str" cm="1">
        <f t="array" ref="H10">_xlfn.IFS(E10="-", "Incomplete Assessment", E10&gt;=3.5,"Advanced",E10&gt;=2.5,"Established",E10&gt;=1.5,"Developing",1=1,"Basic")</f>
        <v>Incomplete Assessment</v>
      </c>
      <c r="I10" s="191" cm="1">
        <f t="array" ref="I10:J10">('Dimension 2 - SGRM'!N2:O2)/30</f>
        <v>0</v>
      </c>
      <c r="J10" s="20">
        <v>0</v>
      </c>
    </row>
    <row r="11" spans="1:40" s="20" customFormat="1" ht="33" customHeight="1" x14ac:dyDescent="0.25">
      <c r="A11" s="97"/>
      <c r="C11" s="98" t="s">
        <v>874</v>
      </c>
      <c r="D11" s="98"/>
      <c r="E11" s="100" t="str">
        <f>DPE_Score</f>
        <v>-</v>
      </c>
      <c r="F11" s="101" t="str">
        <f>DPE_Score_Adj</f>
        <v>-</v>
      </c>
      <c r="G11" s="101">
        <f>VLOOKUP($C$16,Benchmarks,5,FALSE)*1</f>
        <v>2.2999999999999998</v>
      </c>
      <c r="H11" s="99" t="str" cm="1">
        <f t="array" ref="H11">_xlfn.IFS(E11="-", "Incomplete Assessment", E11&gt;=3.5,"Advanced",E11&gt;=2.5,"Established",E11&gt;=1.5,"Developing",1=1,"Basic")</f>
        <v>Incomplete Assessment</v>
      </c>
      <c r="I11" s="191" cm="1">
        <f t="array" ref="I11:J11">('Dimension 3 - DPE'!N2:O2)/30</f>
        <v>0</v>
      </c>
      <c r="J11" s="20">
        <v>0</v>
      </c>
    </row>
    <row r="12" spans="1:40" s="20" customFormat="1" ht="33" customHeight="1" x14ac:dyDescent="0.25">
      <c r="A12" s="97"/>
      <c r="C12" s="98" t="s">
        <v>875</v>
      </c>
      <c r="D12" s="98"/>
      <c r="E12" s="100" t="str">
        <f>ITR_Score</f>
        <v>-</v>
      </c>
      <c r="F12" s="101" t="str">
        <f>ITR_Score_Adj</f>
        <v>-</v>
      </c>
      <c r="G12" s="101">
        <f>VLOOKUP($C$16,Benchmarks,6,FALSE)*1</f>
        <v>2.1</v>
      </c>
      <c r="H12" s="99" t="str" cm="1">
        <f t="array" ref="H12">_xlfn.IFS(E12="-", "Incomplete Assessment", E12&gt;=3.5,"Advanced",E12&gt;=2.5,"Established",E12&gt;=1.5,"Developing",1=1,"Basic")</f>
        <v>Incomplete Assessment</v>
      </c>
      <c r="I12" s="191" cm="1">
        <f t="array" ref="I12:J12">('Dimension 4 - ITR'!N2:O2)/30</f>
        <v>0</v>
      </c>
      <c r="J12" s="20">
        <v>0</v>
      </c>
    </row>
    <row r="13" spans="1:40" ht="10.5" customHeight="1" x14ac:dyDescent="0.2">
      <c r="A13" s="48"/>
      <c r="C13" s="95"/>
      <c r="D13" s="95"/>
      <c r="E13" s="95"/>
      <c r="F13" s="96"/>
      <c r="G13" s="96"/>
      <c r="H13" s="95"/>
      <c r="I13" s="106"/>
    </row>
    <row r="14" spans="1:40" ht="48" customHeight="1" x14ac:dyDescent="0.2">
      <c r="A14" s="48"/>
      <c r="C14" s="113" t="s">
        <v>880</v>
      </c>
      <c r="D14" s="113"/>
      <c r="E14" s="102" t="str">
        <f>IF(COUNTIF(E9:E12,"=-")&gt;0,"-",AVERAGE(E9:E12))</f>
        <v>-</v>
      </c>
      <c r="F14" s="102" t="str">
        <f>IF(COUNTIF(F9:F12,"=-")&gt;0,"-",AVERAGE(F9:F12))</f>
        <v>-</v>
      </c>
      <c r="G14" s="102">
        <f>VLOOKUP($C$16,Benchmarks,2,FALSE)*1</f>
        <v>2.2999999999999998</v>
      </c>
      <c r="H14" s="103" t="str" cm="1">
        <f t="array" ref="H14">_xlfn.IFS(E14="-", "Incomplete Assessment", E14&gt;=3.5,"Advanced",E14&gt;=2.5,"Established",E14&gt;=1.5,"Developing",1=1,"Basic")</f>
        <v>Incomplete Assessment</v>
      </c>
      <c r="I14" s="192">
        <f>SUM(I9:I12)/4</f>
        <v>0</v>
      </c>
    </row>
    <row r="15" spans="1:40" ht="27.75" customHeight="1" x14ac:dyDescent="0.2">
      <c r="A15" s="48"/>
      <c r="C15" s="95"/>
      <c r="D15" s="95"/>
      <c r="E15" s="95"/>
      <c r="F15" s="96"/>
      <c r="G15" s="95"/>
      <c r="H15" s="93"/>
    </row>
    <row r="16" spans="1:40" ht="27.75" customHeight="1" x14ac:dyDescent="0.2">
      <c r="A16" s="48"/>
      <c r="C16" s="92" t="str">
        <f>IF(AND(OR(ProfileOrgIndustry="Financial Services",ProfileOrgIndustry="Healthcare",ProfileOrgIndustry="Technology"),ProfileOrgSize&lt;&gt;""),
_xlfn.CONCAT(TRIM(ProfileOrgIndustry),"_",TRIM(ProfileOrgSize)),"Other_All")</f>
        <v>Other_All</v>
      </c>
      <c r="D16" s="95"/>
      <c r="E16" s="95"/>
      <c r="G16" s="95"/>
      <c r="H16" s="95"/>
    </row>
    <row r="17" spans="1:15" ht="27.75" customHeight="1" x14ac:dyDescent="0.2">
      <c r="A17" s="48"/>
      <c r="C17" s="95"/>
      <c r="D17" s="95"/>
      <c r="E17" s="95"/>
      <c r="F17" s="96"/>
      <c r="G17" s="95"/>
      <c r="H17" s="93"/>
    </row>
    <row r="18" spans="1:15" ht="23.25" customHeight="1" x14ac:dyDescent="0.2">
      <c r="A18" s="59"/>
      <c r="B18" s="78"/>
      <c r="C18" s="79" t="s">
        <v>1020</v>
      </c>
      <c r="D18" s="79"/>
      <c r="E18" s="78"/>
      <c r="F18" s="81"/>
      <c r="G18" s="78"/>
      <c r="H18" s="82"/>
      <c r="I18" s="79"/>
      <c r="J18" s="79"/>
      <c r="K18" s="79"/>
      <c r="L18" s="79"/>
      <c r="M18" s="79"/>
      <c r="N18" s="48"/>
      <c r="O18" s="48"/>
    </row>
    <row r="19" spans="1:15" ht="27.75" customHeight="1" x14ac:dyDescent="0.2">
      <c r="A19" s="48"/>
      <c r="C19" s="93"/>
      <c r="D19" s="93"/>
      <c r="E19" s="93"/>
      <c r="F19" s="94"/>
      <c r="G19" s="93"/>
      <c r="H19" s="93"/>
    </row>
    <row r="20" spans="1:15" ht="27.75" customHeight="1" x14ac:dyDescent="0.2">
      <c r="A20" s="48"/>
      <c r="C20" s="112"/>
      <c r="D20" s="98"/>
      <c r="J20" s="123"/>
      <c r="K20" s="123"/>
      <c r="L20" s="123"/>
      <c r="M20" s="123"/>
      <c r="N20" s="123"/>
    </row>
    <row r="21" spans="1:15" ht="27.75" customHeight="1" x14ac:dyDescent="0.2">
      <c r="A21" s="48"/>
      <c r="C21" s="110"/>
      <c r="D21" s="110"/>
      <c r="J21" s="123"/>
      <c r="K21" s="123"/>
      <c r="L21" s="59" t="s">
        <v>879</v>
      </c>
      <c r="M21" s="121">
        <f ca="1">COUNTIF(PracticeScoreOutcomes,"&lt;1.6")/12</f>
        <v>0</v>
      </c>
      <c r="N21" s="59"/>
    </row>
    <row r="22" spans="1:15" ht="18" customHeight="1" x14ac:dyDescent="0.2">
      <c r="A22" s="48"/>
      <c r="C22" s="110"/>
      <c r="D22" s="110"/>
      <c r="J22" s="123"/>
      <c r="K22" s="123"/>
      <c r="L22" s="59" t="s">
        <v>1016</v>
      </c>
      <c r="M22" s="121">
        <f ca="1">COUNTIFS(PracticeScoreOutcomes,"&gt;=1.6",PracticeScoreOutcomes,"&lt;2.6")/12</f>
        <v>0</v>
      </c>
      <c r="N22" s="59"/>
    </row>
    <row r="23" spans="1:15" ht="27.75" customHeight="1" x14ac:dyDescent="0.2">
      <c r="A23" s="48"/>
      <c r="C23" s="112"/>
      <c r="D23" s="110"/>
      <c r="J23" s="123"/>
      <c r="K23" s="123"/>
      <c r="L23" s="59" t="s">
        <v>1017</v>
      </c>
      <c r="M23" s="121">
        <f ca="1">COUNTIFS(PracticeScoreOutcomes,"&gt;=2.6",PracticeScoreOutcomes,"&lt;3.6")/12</f>
        <v>0</v>
      </c>
      <c r="N23" s="59"/>
    </row>
    <row r="24" spans="1:15" ht="27.75" customHeight="1" x14ac:dyDescent="0.3">
      <c r="A24" s="48"/>
      <c r="C24" s="119"/>
      <c r="D24" s="109"/>
      <c r="J24" s="123"/>
      <c r="K24" s="123"/>
      <c r="L24" s="59" t="s">
        <v>836</v>
      </c>
      <c r="M24" s="121">
        <f ca="1">COUNTIFS(PracticeScoreOutcomes,"&gt;=3.6",PracticeScoreOutcomes,"&lt;4")/12</f>
        <v>0</v>
      </c>
      <c r="N24" s="59"/>
    </row>
    <row r="25" spans="1:15" ht="18" customHeight="1" x14ac:dyDescent="0.2">
      <c r="A25" s="48"/>
      <c r="C25" s="110"/>
      <c r="D25" s="110"/>
      <c r="J25" s="123"/>
      <c r="K25" s="123"/>
      <c r="L25" s="59" t="s">
        <v>1018</v>
      </c>
      <c r="M25" s="121">
        <f ca="1">COUNTIF(PracticeScoreOutcomes,"&gt;=4")/12</f>
        <v>0</v>
      </c>
      <c r="N25" s="59"/>
    </row>
    <row r="26" spans="1:15" ht="27.75" customHeight="1" x14ac:dyDescent="0.2">
      <c r="A26" s="48"/>
      <c r="C26" s="112"/>
      <c r="D26" s="111"/>
      <c r="J26" s="123"/>
      <c r="K26" s="123"/>
      <c r="L26" s="59" t="s">
        <v>1019</v>
      </c>
      <c r="M26" s="121">
        <f ca="1">COUNTIF(PracticeScoreOutcomes,"-")/12</f>
        <v>1</v>
      </c>
      <c r="N26" s="59"/>
    </row>
    <row r="27" spans="1:15" ht="27.75" customHeight="1" x14ac:dyDescent="0.2">
      <c r="A27" s="48"/>
      <c r="C27" s="111"/>
      <c r="D27" s="111"/>
      <c r="J27" s="123"/>
      <c r="K27" s="123"/>
      <c r="L27" s="59"/>
      <c r="M27" s="59"/>
      <c r="N27" s="59"/>
    </row>
    <row r="28" spans="1:15" ht="27.75" customHeight="1" x14ac:dyDescent="0.2">
      <c r="A28" s="48"/>
      <c r="C28" s="111"/>
      <c r="D28" s="111"/>
      <c r="J28" s="123"/>
      <c r="K28" s="123"/>
      <c r="L28" s="59"/>
      <c r="M28" s="59"/>
      <c r="N28" s="59"/>
    </row>
    <row r="29" spans="1:15" ht="27.75" customHeight="1" x14ac:dyDescent="0.2">
      <c r="A29" s="48"/>
      <c r="C29" s="111"/>
      <c r="D29" s="111"/>
      <c r="J29" s="123"/>
      <c r="K29" s="123"/>
      <c r="L29" s="59"/>
      <c r="M29" s="59"/>
      <c r="N29" s="59"/>
    </row>
    <row r="30" spans="1:15" ht="27.75" customHeight="1" x14ac:dyDescent="0.2">
      <c r="A30" s="48"/>
      <c r="C30" s="111"/>
      <c r="D30" s="111"/>
      <c r="J30" s="123"/>
      <c r="K30" s="123"/>
      <c r="L30" s="59"/>
      <c r="M30" s="59"/>
      <c r="N30" s="59"/>
    </row>
    <row r="31" spans="1:15" ht="27.75" customHeight="1" x14ac:dyDescent="0.2">
      <c r="A31" s="48"/>
      <c r="C31" s="111"/>
      <c r="D31" s="111"/>
      <c r="J31" s="123"/>
      <c r="K31" s="123"/>
      <c r="L31" s="123"/>
      <c r="M31" s="123"/>
      <c r="N31" s="123"/>
    </row>
    <row r="32" spans="1:15" ht="23.25" customHeight="1" x14ac:dyDescent="0.2">
      <c r="A32" s="59"/>
      <c r="B32" s="78"/>
      <c r="C32" s="79" t="s">
        <v>1022</v>
      </c>
      <c r="D32" s="79"/>
      <c r="E32" s="78"/>
      <c r="F32" s="81"/>
      <c r="G32" s="78"/>
      <c r="H32" s="82"/>
      <c r="I32" s="79"/>
      <c r="J32" s="79"/>
      <c r="K32" s="79"/>
      <c r="L32" s="79"/>
      <c r="M32" s="79"/>
      <c r="N32" s="48"/>
      <c r="O32" s="48"/>
    </row>
    <row r="33" spans="1:15" ht="27.75" customHeight="1" x14ac:dyDescent="0.2">
      <c r="A33" s="48"/>
      <c r="C33" s="93"/>
      <c r="D33" s="93"/>
      <c r="E33" s="93"/>
      <c r="F33" s="94"/>
      <c r="G33" s="93"/>
      <c r="H33" s="93"/>
    </row>
    <row r="34" spans="1:15" ht="27.75" customHeight="1" x14ac:dyDescent="0.2">
      <c r="A34" s="91" t="s">
        <v>1032</v>
      </c>
      <c r="C34" s="112" t="s">
        <v>1015</v>
      </c>
      <c r="D34" s="98"/>
      <c r="G34" s="55" t="s">
        <v>1032</v>
      </c>
      <c r="I34" s="112" t="s">
        <v>1023</v>
      </c>
      <c r="J34" s="110"/>
      <c r="L34" s="45"/>
    </row>
    <row r="35" spans="1:15" ht="27.75" customHeight="1" x14ac:dyDescent="0.2">
      <c r="A35" s="108" t="str">
        <f ca="1">IFERROR(INDEX(P58:P69,MATCH(1,PracticeOutcomesDeDupRank,0)),"-")</f>
        <v>-</v>
      </c>
      <c r="B35" s="110" t="str">
        <f ca="1">IF(AND(ISNUMBER(A36),A36&gt;=3.6),"✓","")</f>
        <v/>
      </c>
      <c r="C35" s="124" t="str">
        <f ca="1">IF(A35="-","-",IF(B35="","No practice areas with score 3.6 or greater",
INDEX(Data!$U$3:$U$14,MATCH(A35,Data!$V$3:$V$14,0))&amp;" (Score = "&amp;INDEX(PracticeScoreOutcomes,MATCH(1,PracticeOutcomesDeDupRank,0))&amp;")"
))</f>
        <v>-</v>
      </c>
      <c r="D35" s="110"/>
      <c r="G35" s="126" t="str">
        <f ca="1">IFERROR(INDEX($P$58:$P$69,MATCH(MAX(PracticeOutcomesDeDupRank),PracticeOutcomesDeDupRank,0)),"-")</f>
        <v>-</v>
      </c>
      <c r="H35" s="125" t="str">
        <f ca="1">IF(AND(ISNUMBER(G36),G36&lt;2.6),"⮽","")</f>
        <v/>
      </c>
      <c r="I35" s="124" t="str">
        <f ca="1">IF(G35="-","-",IF(H35="","No practice areas with score below 2.6",
INDEX(Data!$U$3:$U$14,MATCH(G35,Data!$V$3:$V$14,0))  &amp; " (Score = "&amp;INDEX(PracticeScoreOutcomes,MATCH(MAX(PracticeOutcomesDeDupRank),PracticeOutcomesDeDupRank,0))&amp;")"
))</f>
        <v>-</v>
      </c>
      <c r="J35" s="110"/>
      <c r="L35" s="45"/>
    </row>
    <row r="36" spans="1:15" ht="18" customHeight="1" x14ac:dyDescent="0.2">
      <c r="A36" s="91" t="str">
        <f ca="1">IFERROR(INDEX(PracticeScoreOutcomes,MATCH(1,PracticeOutcomesDeDupRank,0)),"-")</f>
        <v>-</v>
      </c>
      <c r="C36" s="215" t="str">
        <f ca="1">IF(B35="","",VLOOKUP(A35,Data!$BP$3:$BR$14,3,FALSE))</f>
        <v/>
      </c>
      <c r="D36" s="215"/>
      <c r="E36" s="215"/>
      <c r="F36" s="215"/>
      <c r="G36" s="127" t="str">
        <f ca="1">IFERROR(INDEX(PracticeScoreOutcomes,MATCH(MAX(PracticeOutcomesDeDupRank),PracticeOutcomesDeDupRank,0)),"-")</f>
        <v>-</v>
      </c>
      <c r="I36" s="215" t="str">
        <f ca="1">IF(H35="","",
VLOOKUP(G35,Data!$BT$2:$BW$14,3,FALSE) &amp; CHAR(10) &amp; "Risk level: " &amp; UPPER(VLOOKUP(G35,Data!$BT$2:$BW$14,4,FALSE))
)</f>
        <v/>
      </c>
      <c r="J36" s="215"/>
      <c r="K36" s="215"/>
      <c r="L36" s="215"/>
      <c r="M36" s="215"/>
    </row>
    <row r="37" spans="1:15" ht="34.5" customHeight="1" x14ac:dyDescent="0.2">
      <c r="A37" s="91"/>
      <c r="C37" s="215"/>
      <c r="D37" s="215"/>
      <c r="E37" s="215"/>
      <c r="F37" s="215"/>
      <c r="G37" s="127"/>
      <c r="I37" s="215"/>
      <c r="J37" s="215"/>
      <c r="K37" s="215"/>
      <c r="L37" s="215"/>
      <c r="M37" s="215"/>
    </row>
    <row r="38" spans="1:15" ht="18.75" customHeight="1" x14ac:dyDescent="0.2">
      <c r="A38" s="91"/>
      <c r="C38" s="215"/>
      <c r="D38" s="215"/>
      <c r="E38" s="215"/>
      <c r="F38" s="215"/>
      <c r="G38" s="126"/>
      <c r="I38" s="215"/>
      <c r="J38" s="215"/>
      <c r="K38" s="215"/>
      <c r="L38" s="215"/>
      <c r="M38" s="215"/>
    </row>
    <row r="39" spans="1:15" ht="27.75" customHeight="1" x14ac:dyDescent="0.2">
      <c r="A39" s="108" t="str">
        <f ca="1">IFERROR(INDEX(P58:P69,MATCH(2,PracticeOutcomesDeDupRank,0)),"-")</f>
        <v>-</v>
      </c>
      <c r="B39" s="110" t="str">
        <f ca="1">IF(AND(ISNUMBER(A40),A40&gt;=3.6),"✓","")</f>
        <v/>
      </c>
      <c r="C39" s="124" t="str">
        <f ca="1">IF(A39="-","-",IF(B39="","",
INDEX(Data!$U$3:$U$14,MATCH(A39,Data!$V$3:$V$14,0))  &amp; " (Score = "&amp;INDEX(PracticeScoreOutcomes,MATCH(2,PracticeOutcomesDeDupRank,0))&amp;")"
))</f>
        <v>-</v>
      </c>
      <c r="D39" s="110"/>
      <c r="G39" s="126" t="str">
        <f ca="1">IFERROR(INDEX($P$58:$P$69,MATCH(MAX(PracticeOutcomesDeDupRank)-1,PracticeOutcomesDeDupRank,0)),"-")</f>
        <v>-</v>
      </c>
      <c r="H39" s="125" t="str">
        <f ca="1">IF(AND(ISNUMBER(G40),G40&lt;2.6),"⮽","")</f>
        <v/>
      </c>
      <c r="I39" s="124" t="str">
        <f ca="1">IF(G39="-","-",INDEX(Data!$U$3:$U$14,MATCH(G39,Data!$V$3:$V$14,0))   &amp; " (Score = "&amp;INDEX(PracticeScoreOutcomes,MATCH(MAX(PracticeOutcomesDeDupRank) - 1,PracticeOutcomesDeDupRank,0))&amp;")")</f>
        <v>-</v>
      </c>
      <c r="J39" s="110"/>
      <c r="L39" s="45"/>
    </row>
    <row r="40" spans="1:15" ht="18" customHeight="1" x14ac:dyDescent="0.2">
      <c r="A40" s="91" t="str">
        <f ca="1">IFERROR(INDEX(PracticeScoreOutcomes,MATCH(2,PracticeOutcomesDeDupRank,0)),"-")</f>
        <v>-</v>
      </c>
      <c r="C40" s="215" t="str">
        <f ca="1">IF(B39="","",VLOOKUP(A39,Data!$BP$3:$BR$14,3,FALSE))</f>
        <v/>
      </c>
      <c r="D40" s="215"/>
      <c r="E40" s="215"/>
      <c r="F40" s="215"/>
      <c r="G40" s="127" t="str">
        <f ca="1">IFERROR(INDEX(PracticeScoreOutcomes,MATCH(MAX(PracticeOutcomesDeDupRank)-1,PracticeOutcomesDeDupRank,0)),"-")</f>
        <v>-</v>
      </c>
      <c r="I40" s="215" t="str">
        <f ca="1">IF(H39="","",
VLOOKUP(G39,Data!$BT$2:$BW$14,3,FALSE) &amp; CHAR(10) &amp; "Risk level: " &amp; UPPER(VLOOKUP(G39,Data!$BT$2:$BW$14,4,FALSE))
)</f>
        <v/>
      </c>
      <c r="J40" s="215"/>
      <c r="K40" s="215"/>
      <c r="L40" s="215"/>
      <c r="M40" s="215"/>
    </row>
    <row r="41" spans="1:15" ht="34.5" customHeight="1" x14ac:dyDescent="0.2">
      <c r="A41" s="128"/>
      <c r="C41" s="215"/>
      <c r="D41" s="215"/>
      <c r="E41" s="215"/>
      <c r="F41" s="215"/>
      <c r="G41" s="127"/>
      <c r="I41" s="215"/>
      <c r="J41" s="215"/>
      <c r="K41" s="215"/>
      <c r="L41" s="215"/>
      <c r="M41" s="215"/>
    </row>
    <row r="42" spans="1:15" ht="18.75" customHeight="1" x14ac:dyDescent="0.2">
      <c r="A42" s="91"/>
      <c r="C42" s="215"/>
      <c r="D42" s="215"/>
      <c r="E42" s="215"/>
      <c r="F42" s="215"/>
      <c r="G42" s="126"/>
      <c r="I42" s="215"/>
      <c r="J42" s="215"/>
      <c r="K42" s="215"/>
      <c r="L42" s="215"/>
      <c r="M42" s="215"/>
    </row>
    <row r="43" spans="1:15" ht="27.75" customHeight="1" x14ac:dyDescent="0.2">
      <c r="A43" s="108" t="str">
        <f ca="1">IFERROR(INDEX(P58:P69,MATCH(3,PracticeOutcomesDeDupRank,0)),"-")</f>
        <v>-</v>
      </c>
      <c r="B43" s="110" t="str">
        <f ca="1">IF(AND(ISNUMBER(A44),A44&gt;=3.6),"✓","")</f>
        <v/>
      </c>
      <c r="C43" s="124" t="str">
        <f ca="1">IF(A43="-","-",IF(B43="","",
INDEX(Data!$U$3:$U$14,MATCH(A43,Data!$V$3:$V$14,0))  &amp; " (Score = "&amp;INDEX(PracticeScoreOutcomes,MATCH(3,PracticeOutcomesDeDupRank,0))&amp;")"
))</f>
        <v>-</v>
      </c>
      <c r="D43" s="110"/>
      <c r="G43" s="126" t="str">
        <f ca="1">IFERROR(INDEX($P$58:$P$69,MATCH(MAX(PracticeOutcomesDeDupRank)-2,PracticeOutcomesDeDupRank,0)),"-")</f>
        <v>-</v>
      </c>
      <c r="H43" s="125" t="str">
        <f ca="1">IF(AND(ISNUMBER(G44),G44&lt;2.6),"⮽","")</f>
        <v/>
      </c>
      <c r="I43" s="124" t="str">
        <f ca="1">IF(G43="-","-",INDEX(Data!$U$3:$U$14,MATCH(G43,Data!$V$3:$V$14,0))   &amp; " (Score = "&amp;INDEX(PracticeScoreOutcomes,MATCH(MAX(PracticeOutcomesDeDupRank) - 2,PracticeOutcomesDeDupRank,0))&amp;")")</f>
        <v>-</v>
      </c>
      <c r="J43" s="110"/>
      <c r="L43" s="45"/>
    </row>
    <row r="44" spans="1:15" ht="18" customHeight="1" x14ac:dyDescent="0.2">
      <c r="A44" s="91" t="str">
        <f ca="1">IFERROR(INDEX(PracticeScoreOutcomes,MATCH(3,PracticeOutcomesDeDupRank,0)),"-")</f>
        <v>-</v>
      </c>
      <c r="C44" s="215" t="str">
        <f ca="1">IF(B43="","",VLOOKUP(A43,Data!$BP$3:$BR$14,3,FALSE))</f>
        <v/>
      </c>
      <c r="D44" s="215"/>
      <c r="E44" s="215"/>
      <c r="F44" s="215"/>
      <c r="G44" s="127" t="str">
        <f ca="1">IFERROR(INDEX(PracticeScoreOutcomes,MATCH(MAX(PracticeOutcomesDeDupRank)-2,PracticeOutcomesDeDupRank,0)),"-")</f>
        <v>-</v>
      </c>
      <c r="I44" s="215" t="str">
        <f ca="1">IF(H43="","",
VLOOKUP(G43,Data!$BT$2:$BW$14,3,FALSE) &amp; CHAR(10) &amp; "Risk level: " &amp; UPPER(VLOOKUP(G43,Data!$BT$2:$BW$14,4,FALSE))
)</f>
        <v/>
      </c>
      <c r="J44" s="215"/>
      <c r="K44" s="215"/>
      <c r="L44" s="215"/>
      <c r="M44" s="215"/>
    </row>
    <row r="45" spans="1:15" ht="34.5" customHeight="1" x14ac:dyDescent="0.2">
      <c r="A45" s="91"/>
      <c r="C45" s="215"/>
      <c r="D45" s="215"/>
      <c r="E45" s="215"/>
      <c r="F45" s="215"/>
      <c r="G45" s="127"/>
      <c r="I45" s="215"/>
      <c r="J45" s="215"/>
      <c r="K45" s="215"/>
      <c r="L45" s="215"/>
      <c r="M45" s="215"/>
    </row>
    <row r="46" spans="1:15" ht="27.75" customHeight="1" x14ac:dyDescent="0.2">
      <c r="A46" s="48"/>
      <c r="C46" s="215"/>
      <c r="D46" s="215"/>
      <c r="E46" s="215"/>
      <c r="F46" s="215"/>
      <c r="G46" s="59"/>
      <c r="I46" s="215"/>
      <c r="J46" s="215"/>
      <c r="K46" s="215"/>
      <c r="L46" s="215"/>
      <c r="M46" s="215"/>
    </row>
    <row r="47" spans="1:15" ht="27.75" customHeight="1" x14ac:dyDescent="0.2">
      <c r="A47" s="48"/>
      <c r="D47" s="59"/>
    </row>
    <row r="48" spans="1:15" ht="23.25" customHeight="1" x14ac:dyDescent="0.2">
      <c r="A48" s="59"/>
      <c r="B48" s="78"/>
      <c r="C48" s="79" t="s">
        <v>881</v>
      </c>
      <c r="D48" s="79"/>
      <c r="E48" s="78"/>
      <c r="F48" s="81"/>
      <c r="G48" s="78"/>
      <c r="H48" s="82"/>
      <c r="I48" s="79"/>
      <c r="J48" s="79"/>
      <c r="K48" s="79"/>
      <c r="L48" s="79"/>
      <c r="M48" s="79"/>
      <c r="N48" s="48"/>
      <c r="O48" s="48"/>
    </row>
    <row r="49" spans="1:24" ht="27.75" customHeight="1" x14ac:dyDescent="0.2">
      <c r="A49" s="48"/>
      <c r="D49" s="59"/>
    </row>
    <row r="50" spans="1:24" ht="27.75" customHeight="1" x14ac:dyDescent="0.2">
      <c r="A50" s="48"/>
      <c r="C50" s="112"/>
      <c r="D50" s="136" t="s">
        <v>1033</v>
      </c>
      <c r="E50" s="98">
        <f>ProfileOrgIndustry</f>
        <v>0</v>
      </c>
    </row>
    <row r="51" spans="1:24" ht="27.75" customHeight="1" x14ac:dyDescent="0.2">
      <c r="A51" s="48"/>
      <c r="C51" s="112"/>
      <c r="D51" s="136" t="s">
        <v>1034</v>
      </c>
      <c r="E51" s="98">
        <f>ProfileOrgSize</f>
        <v>0</v>
      </c>
    </row>
    <row r="52" spans="1:24" ht="27.75" customHeight="1" x14ac:dyDescent="0.2">
      <c r="A52" s="48"/>
      <c r="D52" s="137"/>
    </row>
    <row r="53" spans="1:24" ht="27.75" customHeight="1" x14ac:dyDescent="0.2">
      <c r="A53" s="48"/>
      <c r="D53" s="138" t="s">
        <v>1035</v>
      </c>
      <c r="E53" s="135" t="str">
        <f>IFERROR(VLOOKUP(E50&amp;"_"&amp;E51,Data!CJ2:CL34,2,FALSE),"No specific insights based on your industry and organization size.")</f>
        <v>No specific insights based on your industry and organization size.</v>
      </c>
    </row>
    <row r="54" spans="1:24" ht="27.75" customHeight="1" x14ac:dyDescent="0.2">
      <c r="A54" s="48"/>
      <c r="D54" s="138" t="s">
        <v>1037</v>
      </c>
      <c r="E54" s="135" t="str">
        <f>IFERROR(VLOOKUP(E50&amp;"_"&amp;E51,Data!CJ2:CL34,3,FALSE),"-")</f>
        <v>-</v>
      </c>
    </row>
    <row r="55" spans="1:24" ht="27.75" customHeight="1" x14ac:dyDescent="0.2">
      <c r="A55" s="48"/>
      <c r="D55" s="59"/>
    </row>
    <row r="56" spans="1:24" ht="23.25" customHeight="1" x14ac:dyDescent="0.2">
      <c r="A56" s="59"/>
      <c r="B56" s="78"/>
      <c r="C56" s="79" t="s">
        <v>882</v>
      </c>
      <c r="D56" s="79"/>
      <c r="E56" s="78"/>
      <c r="F56" s="81"/>
      <c r="G56" s="78"/>
      <c r="H56" s="82"/>
      <c r="I56" s="79"/>
      <c r="J56" s="79"/>
      <c r="K56" s="79"/>
      <c r="L56" s="79"/>
      <c r="M56" s="79"/>
      <c r="N56" s="48"/>
      <c r="O56" s="48"/>
    </row>
    <row r="57" spans="1:24" ht="27.75" customHeight="1" x14ac:dyDescent="0.2">
      <c r="A57" s="48"/>
      <c r="D57" s="59"/>
      <c r="M57" s="123"/>
      <c r="N57" s="123"/>
      <c r="O57" s="123"/>
      <c r="P57" s="59"/>
      <c r="Q57" s="55" t="s">
        <v>1024</v>
      </c>
      <c r="R57" s="55" t="s">
        <v>1026</v>
      </c>
      <c r="S57" s="55" t="s">
        <v>1025</v>
      </c>
      <c r="T57" s="129" t="s">
        <v>1028</v>
      </c>
      <c r="U57" s="129" t="s">
        <v>1027</v>
      </c>
      <c r="V57" s="129" t="s">
        <v>1029</v>
      </c>
      <c r="W57" s="129" t="s">
        <v>1030</v>
      </c>
      <c r="X57" s="129" t="s">
        <v>1031</v>
      </c>
    </row>
    <row r="58" spans="1:24" ht="27.75" customHeight="1" x14ac:dyDescent="0.2">
      <c r="A58" s="92"/>
      <c r="C58" s="115" t="s">
        <v>1816</v>
      </c>
      <c r="D58" s="115"/>
      <c r="E58" s="114"/>
      <c r="F58" s="139" t="s">
        <v>1817</v>
      </c>
      <c r="G58" s="115"/>
      <c r="J58" s="186"/>
      <c r="K58" s="123"/>
      <c r="M58" s="123"/>
      <c r="N58" s="123"/>
      <c r="O58" s="123"/>
      <c r="P58" s="59" t="s">
        <v>862</v>
      </c>
      <c r="Q58" s="130" t="str" cm="1">
        <f t="array" aca="1" ref="Q58" ca="1">IFERROR(ROUND(INDIRECT(P58 &amp; "_Score"),2),"-")</f>
        <v>-</v>
      </c>
      <c r="R58" s="131">
        <f>VLOOKUP(P58,Data!$V$3:$W$14,2,FALSE)*1</f>
        <v>0.35</v>
      </c>
      <c r="S58" s="55" t="str">
        <f t="shared" ref="S58:S69" ca="1" si="0">IFERROR(_xlfn.RANK.EQ(Q58,PracticeScoreOutcomes),"-")</f>
        <v>-</v>
      </c>
      <c r="T58" s="132" t="str">
        <f t="shared" ref="T58:T69" ca="1" si="1">IFERROR(S58+COUNTIFS(PracticeOutcomesRank,S58,PracticeOutcomesRank,"&lt;&gt;-",$R$58:$R$69,"&lt;"&amp;R58),"-")</f>
        <v>-</v>
      </c>
      <c r="U58" s="133" t="str" cm="1">
        <f t="array" aca="1" ref="U58" ca="1">INDIRECT(LEFT(P58, FIND("_", P58) - 1) &amp; "_Score")</f>
        <v>-</v>
      </c>
      <c r="V58" s="132" t="str">
        <f ca="1">IFERROR(T58+COUNTIFS($T$58:$T$69,T58,$T$58:$T$69,"&lt;&gt;-",$U$58:$U$69,"&lt;"&amp;U58),"-")</f>
        <v>-</v>
      </c>
      <c r="W58" s="132">
        <f>COUNTIF($P$58:$P$69, "&lt;" &amp; P58)</f>
        <v>0</v>
      </c>
      <c r="X58" s="132" t="str">
        <f ca="1">IFERROR(V58+COUNTIFS($V$58:$V$69,V58,$V$58:$V$69,"&lt;&gt;-",$W$58:$W$69,"&lt;"&amp;W58),"-")</f>
        <v>-</v>
      </c>
    </row>
    <row r="59" spans="1:24" ht="21.75" customHeight="1" x14ac:dyDescent="0.2">
      <c r="A59" s="92">
        <f>IF(CVI_1_Score="-",0,CVI_1_Score)</f>
        <v>0</v>
      </c>
      <c r="C59" s="116" t="s">
        <v>886</v>
      </c>
      <c r="D59" s="118" t="str">
        <f>'Dimension 1 - CVI'!B6 &amp; " (score = " &amp; IF(CVI_1_Score="-","N/A",CVI_1_Score) &amp; ")"</f>
        <v>Asset Discovery &amp; Classification (score = N/A)</v>
      </c>
      <c r="E59" s="114"/>
      <c r="F59" s="116" t="s">
        <v>886</v>
      </c>
      <c r="G59" s="118" t="str">
        <f>'Dimension 2 - SGRM'!B6 &amp; " (score = " &amp; IF(SGRM_1_Score="-","N/A",SGRM_1_Score) &amp; ")"</f>
        <v>Governance Structure &amp; Leadership (score = N/A)</v>
      </c>
      <c r="J59" s="59">
        <f>IF(SGRM_1_Score="-",0,SGRM_1_Score)</f>
        <v>0</v>
      </c>
      <c r="K59" s="123"/>
      <c r="M59" s="123"/>
      <c r="N59" s="123"/>
      <c r="O59" s="123"/>
      <c r="P59" s="59" t="s">
        <v>863</v>
      </c>
      <c r="Q59" s="130" t="str" cm="1">
        <f t="array" aca="1" ref="Q59" ca="1">IFERROR(ROUND(INDIRECT(P59 &amp; "_Score"),2),"-")</f>
        <v>-</v>
      </c>
      <c r="R59" s="131">
        <f>VLOOKUP(P59,Data!$V$3:$W$14,2,FALSE)*1</f>
        <v>0.35</v>
      </c>
      <c r="S59" s="55" t="str">
        <f t="shared" ca="1" si="0"/>
        <v>-</v>
      </c>
      <c r="T59" s="132" t="str">
        <f t="shared" ca="1" si="1"/>
        <v>-</v>
      </c>
      <c r="U59" s="133" t="str" cm="1">
        <f t="array" aca="1" ref="U59" ca="1">INDIRECT(LEFT(P59, FIND("_", P59) - 1) &amp; "_Score")</f>
        <v>-</v>
      </c>
      <c r="V59" s="132" t="str">
        <f t="shared" ref="V59:V69" ca="1" si="2">IFERROR(T59+COUNTIFS($T$58:$T$69,T59,$T$58:$T$69,"&lt;&gt;-",$U$58:$U$69,"&lt;"&amp;U59),"-")</f>
        <v>-</v>
      </c>
      <c r="W59" s="132">
        <f t="shared" ref="W59:W69" si="3">COUNTIF($P$58:$P$69, "&lt;" &amp; P59)</f>
        <v>1</v>
      </c>
      <c r="X59" s="132" t="str">
        <f t="shared" ref="X59:X69" ca="1" si="4">IFERROR(V59+COUNTIFS($V$58:$V$69,V59,$V$58:$V$69,"&lt;&gt;-",$W$58:$W$69,"&lt;"&amp;W59),"-")</f>
        <v>-</v>
      </c>
    </row>
    <row r="60" spans="1:24" ht="21.75" customHeight="1" x14ac:dyDescent="0.2">
      <c r="A60" s="92"/>
      <c r="C60" s="116"/>
      <c r="D60" s="140" t="str" cm="1">
        <f t="array" ref="D60">_xlfn.IFS(A59=0,"Quick Win Actions: N/A", A59&gt;3.5,"Quick Win Actions: None",1=1,_xlfn.CONCAT("Quick Win Actions: ", _xlfn.IFS(A59=0,"",A59&lt;=1.5,Data!BZ3,A59&lt;=2.5,Data!CA3,A59&lt;=3.5,Data!CB3)))</f>
        <v>Quick Win Actions: N/A</v>
      </c>
      <c r="E60" s="114"/>
      <c r="F60" s="116"/>
      <c r="G60" s="140" t="str" cm="1">
        <f t="array" ref="G60">_xlfn.IFS(J59=0,"Quick Win Actions: N/A", J59&gt;3.5,"Quick Win Actions: None",1=1,_xlfn.CONCAT("Quick Win Actions: ", _xlfn.IFS(J59=0,"",J59&lt;=1.5,Data!BZ6,J59&lt;=2.5,Data!CA6,J59&lt;=3.5,Data!CB6)))</f>
        <v>Quick Win Actions: N/A</v>
      </c>
      <c r="J60" s="59"/>
      <c r="K60" s="123"/>
      <c r="M60" s="123"/>
      <c r="N60" s="123"/>
      <c r="O60" s="123"/>
      <c r="P60" s="59" t="s">
        <v>864</v>
      </c>
      <c r="Q60" s="130" t="str" cm="1">
        <f t="array" aca="1" ref="Q60" ca="1">IFERROR(ROUND(INDIRECT(P60 &amp; "_Score"),2),"-")</f>
        <v>-</v>
      </c>
      <c r="R60" s="131">
        <f>VLOOKUP(P60,Data!$V$3:$W$14,2,FALSE)*1</f>
        <v>0.3</v>
      </c>
      <c r="S60" s="55" t="str">
        <f t="shared" ca="1" si="0"/>
        <v>-</v>
      </c>
      <c r="T60" s="132" t="str">
        <f t="shared" ca="1" si="1"/>
        <v>-</v>
      </c>
      <c r="U60" s="133" t="str" cm="1">
        <f t="array" aca="1" ref="U60" ca="1">INDIRECT(LEFT(P60, FIND("_", P60) - 1) &amp; "_Score")</f>
        <v>-</v>
      </c>
      <c r="V60" s="132" t="str">
        <f t="shared" ca="1" si="2"/>
        <v>-</v>
      </c>
      <c r="W60" s="132">
        <f t="shared" si="3"/>
        <v>2</v>
      </c>
      <c r="X60" s="132" t="str">
        <f t="shared" ca="1" si="4"/>
        <v>-</v>
      </c>
    </row>
    <row r="61" spans="1:24" ht="21.75" customHeight="1" x14ac:dyDescent="0.2">
      <c r="A61" s="92">
        <f>IF(CVI_2_Score="-",0,CVI_2_Score)</f>
        <v>0</v>
      </c>
      <c r="C61" s="116" t="s">
        <v>886</v>
      </c>
      <c r="D61" s="118" t="str">
        <f>'Dimension 1 - CVI'!B63 &amp; " (score = " &amp; IF(CVI_2_Score="-","N/A",CVI_2_Score) &amp; ")"</f>
        <v>Vulnerability Scanning &amp; Analysis (score = N/A)</v>
      </c>
      <c r="E61" s="114"/>
      <c r="F61" s="116" t="s">
        <v>886</v>
      </c>
      <c r="G61" s="118" t="str">
        <f>'Dimension 2 - SGRM'!B63 &amp; " (score = " &amp; IF(SGRM_2_Score="-","N/A",SGRM_2_Score) &amp; ")"</f>
        <v>Risk Management Framework (score = N/A)</v>
      </c>
      <c r="J61" s="59">
        <f>IF(SGRM_2_Score="-",0,SGRM_2_Score)</f>
        <v>0</v>
      </c>
      <c r="K61" s="123"/>
      <c r="M61" s="123"/>
      <c r="N61" s="123"/>
      <c r="O61" s="123"/>
      <c r="P61" s="59" t="s">
        <v>865</v>
      </c>
      <c r="Q61" s="130" t="str" cm="1">
        <f t="array" aca="1" ref="Q61" ca="1">IFERROR(ROUND(INDIRECT(P61 &amp; "_Score"),2),"-")</f>
        <v>-</v>
      </c>
      <c r="R61" s="131">
        <f>VLOOKUP(P61,Data!$V$3:$W$14,2,FALSE)*1</f>
        <v>0.4</v>
      </c>
      <c r="S61" s="55" t="str">
        <f t="shared" ca="1" si="0"/>
        <v>-</v>
      </c>
      <c r="T61" s="132" t="str">
        <f t="shared" ca="1" si="1"/>
        <v>-</v>
      </c>
      <c r="U61" s="133" t="str" cm="1">
        <f t="array" aca="1" ref="U61" ca="1">INDIRECT(LEFT(P61, FIND("_", P61) - 1) &amp; "_Score")</f>
        <v>-</v>
      </c>
      <c r="V61" s="132" t="str">
        <f t="shared" ca="1" si="2"/>
        <v>-</v>
      </c>
      <c r="W61" s="132">
        <f t="shared" si="3"/>
        <v>9</v>
      </c>
      <c r="X61" s="132" t="str">
        <f t="shared" ca="1" si="4"/>
        <v>-</v>
      </c>
    </row>
    <row r="62" spans="1:24" ht="21.75" customHeight="1" x14ac:dyDescent="0.2">
      <c r="A62" s="92"/>
      <c r="C62" s="116"/>
      <c r="D62" s="140" t="str" cm="1">
        <f t="array" ref="D62">_xlfn.IFS(A61=0,"Quick Win Actions: N/A", A61&gt;3.5,"Quick Win Actions: None",1=1,_xlfn.CONCAT("Quick Win Actions: ", _xlfn.IFS(A61=0,"",A61&lt;=1.5,Data!BZ4,A61&lt;=2.5,Data!CA4,A61&lt;=3.5,Data!CB4)))</f>
        <v>Quick Win Actions: N/A</v>
      </c>
      <c r="E62" s="114"/>
      <c r="F62" s="116"/>
      <c r="G62" s="140" t="str" cm="1">
        <f t="array" ref="G62">_xlfn.IFS(J61=0,"Quick Win Actions: N/A", J61&gt;3.5,"Quick Win Actions: None",1=1,_xlfn.CONCAT("Quick Win Actions: ", _xlfn.IFS(J61=0,"",J61&lt;=1.5,Data!BZ7,J61&lt;=2.5,Data!CA7,J61&lt;=3.5,Data!CB7)))</f>
        <v>Quick Win Actions: N/A</v>
      </c>
      <c r="J62" s="59"/>
      <c r="K62" s="123"/>
      <c r="M62" s="123"/>
      <c r="N62" s="123"/>
      <c r="O62" s="123"/>
      <c r="P62" s="59" t="s">
        <v>866</v>
      </c>
      <c r="Q62" s="130" t="str" cm="1">
        <f t="array" aca="1" ref="Q62" ca="1">IFERROR(ROUND(INDIRECT(P62 &amp; "_Score"),2),"-")</f>
        <v>-</v>
      </c>
      <c r="R62" s="131">
        <f>VLOOKUP(P62,Data!$V$3:$W$14,2,FALSE)*1</f>
        <v>0.35</v>
      </c>
      <c r="S62" s="55" t="str">
        <f t="shared" ca="1" si="0"/>
        <v>-</v>
      </c>
      <c r="T62" s="132" t="str">
        <f t="shared" ca="1" si="1"/>
        <v>-</v>
      </c>
      <c r="U62" s="133" t="str" cm="1">
        <f t="array" aca="1" ref="U62" ca="1">INDIRECT(LEFT(P62, FIND("_", P62) - 1) &amp; "_Score")</f>
        <v>-</v>
      </c>
      <c r="V62" s="132" t="str">
        <f t="shared" ca="1" si="2"/>
        <v>-</v>
      </c>
      <c r="W62" s="132">
        <f t="shared" si="3"/>
        <v>10</v>
      </c>
      <c r="X62" s="132" t="str">
        <f t="shared" ca="1" si="4"/>
        <v>-</v>
      </c>
    </row>
    <row r="63" spans="1:24" ht="27.75" customHeight="1" x14ac:dyDescent="0.2">
      <c r="A63" s="92">
        <f>IF(CVI_3_Score="-",0,CVI_3_Score)</f>
        <v>0</v>
      </c>
      <c r="C63" s="116" t="s">
        <v>886</v>
      </c>
      <c r="D63" s="118" t="str">
        <f>'Dimension 1 - CVI'!B120 &amp; " (score = " &amp; IF(CVI_3_Score="-","N/A",CVI_3_Score) &amp; ")"</f>
        <v>Risk Prioritization &amp; Tracking (score = N/A)</v>
      </c>
      <c r="E63" s="114"/>
      <c r="F63" s="116" t="s">
        <v>886</v>
      </c>
      <c r="G63" s="118" t="str">
        <f>'Dimension 2 - SGRM'!B120 &amp; " (score = " &amp; IF(SGRM_3_Score="-","N/A",SGRM_3_Score) &amp; ")"</f>
        <v>Compliance &amp; Audit (score = N/A)</v>
      </c>
      <c r="J63" s="59">
        <f>IF(SGRM_3_Score="-",0,SGRM_3_Score)</f>
        <v>0</v>
      </c>
      <c r="K63" s="123"/>
      <c r="M63" s="123"/>
      <c r="N63" s="123"/>
      <c r="O63" s="123"/>
      <c r="P63" s="59" t="s">
        <v>867</v>
      </c>
      <c r="Q63" s="130" t="str" cm="1">
        <f t="array" aca="1" ref="Q63" ca="1">IFERROR(ROUND(INDIRECT(P63 &amp; "_Score"),2),"-")</f>
        <v>-</v>
      </c>
      <c r="R63" s="131">
        <f>VLOOKUP(P63,Data!$V$3:$W$14,2,FALSE)*1</f>
        <v>0.25</v>
      </c>
      <c r="S63" s="55" t="str">
        <f t="shared" ca="1" si="0"/>
        <v>-</v>
      </c>
      <c r="T63" s="132" t="str">
        <f t="shared" ca="1" si="1"/>
        <v>-</v>
      </c>
      <c r="U63" s="133" t="str" cm="1">
        <f t="array" aca="1" ref="U63" ca="1">INDIRECT(LEFT(P63, FIND("_", P63) - 1) &amp; "_Score")</f>
        <v>-</v>
      </c>
      <c r="V63" s="132" t="str">
        <f t="shared" ca="1" si="2"/>
        <v>-</v>
      </c>
      <c r="W63" s="132">
        <f t="shared" si="3"/>
        <v>11</v>
      </c>
      <c r="X63" s="132" t="str">
        <f t="shared" ca="1" si="4"/>
        <v>-</v>
      </c>
    </row>
    <row r="64" spans="1:24" ht="21.75" customHeight="1" x14ac:dyDescent="0.2">
      <c r="A64" s="92"/>
      <c r="C64" s="116"/>
      <c r="D64" s="140" t="str" cm="1">
        <f t="array" ref="D64">_xlfn.IFS(A63=0,"Quick Win Actions: N/A", A63&gt;3.5,"Quick Win Actions: None",1=1,_xlfn.CONCAT("Quick Win Actions: ", _xlfn.IFS(A63=0,"",A63&lt;=1.5,Data!BZ5,A63&lt;=2.5,Data!CA5,A63&lt;=3.5,Data!CB5)))</f>
        <v>Quick Win Actions: N/A</v>
      </c>
      <c r="E64" s="114"/>
      <c r="F64" s="116"/>
      <c r="G64" s="140" t="str" cm="1">
        <f t="array" ref="G64">_xlfn.IFS(J63=0,"Quick Win Actions: N/A", J63&gt;3.5,"Quick Win Actions: None",1=1,_xlfn.CONCAT("Quick Win Actions: ", _xlfn.IFS(J63=0,"",J63&lt;=1.5,Data!BZ8,J63&lt;=2.5,Data!CA8,J63&lt;=3.5,Data!CB8)))</f>
        <v>Quick Win Actions: N/A</v>
      </c>
      <c r="J64" s="59"/>
      <c r="K64" s="123"/>
      <c r="M64" s="123"/>
      <c r="N64" s="123"/>
      <c r="O64" s="123"/>
      <c r="P64" s="59" t="s">
        <v>868</v>
      </c>
      <c r="Q64" s="130" t="str" cm="1">
        <f t="array" aca="1" ref="Q64" ca="1">IFERROR(ROUND(INDIRECT(P64 &amp; "_Score"),2),"-")</f>
        <v>-</v>
      </c>
      <c r="R64" s="131">
        <f>VLOOKUP(P64,Data!$V$3:$W$14,2,FALSE)*1</f>
        <v>0.4</v>
      </c>
      <c r="S64" s="55" t="str">
        <f t="shared" ca="1" si="0"/>
        <v>-</v>
      </c>
      <c r="T64" s="132" t="str">
        <f t="shared" ca="1" si="1"/>
        <v>-</v>
      </c>
      <c r="U64" s="133" t="str" cm="1">
        <f t="array" aca="1" ref="U64" ca="1">INDIRECT(LEFT(P64, FIND("_", P64) - 1) &amp; "_Score")</f>
        <v>-</v>
      </c>
      <c r="V64" s="132" t="str">
        <f t="shared" ca="1" si="2"/>
        <v>-</v>
      </c>
      <c r="W64" s="132">
        <f t="shared" si="3"/>
        <v>3</v>
      </c>
      <c r="X64" s="132" t="str">
        <f t="shared" ca="1" si="4"/>
        <v>-</v>
      </c>
    </row>
    <row r="65" spans="1:24" ht="21.75" customHeight="1" x14ac:dyDescent="0.2">
      <c r="A65" s="92"/>
      <c r="C65" s="116"/>
      <c r="D65" s="117"/>
      <c r="E65" s="114"/>
      <c r="F65" s="116"/>
      <c r="G65" s="117"/>
      <c r="J65" s="59"/>
      <c r="K65" s="123"/>
      <c r="M65" s="123"/>
      <c r="N65" s="123"/>
      <c r="O65" s="123"/>
      <c r="P65" s="59" t="s">
        <v>869</v>
      </c>
      <c r="Q65" s="130" t="str" cm="1">
        <f t="array" aca="1" ref="Q65" ca="1">IFERROR(ROUND(INDIRECT(P65 &amp; "_Score"),2),"-")</f>
        <v>-</v>
      </c>
      <c r="R65" s="131">
        <f>VLOOKUP(P65,Data!$V$3:$W$14,2,FALSE)*1</f>
        <v>0.35</v>
      </c>
      <c r="S65" s="55" t="str">
        <f t="shared" ca="1" si="0"/>
        <v>-</v>
      </c>
      <c r="T65" s="132" t="str">
        <f t="shared" ca="1" si="1"/>
        <v>-</v>
      </c>
      <c r="U65" s="133" t="str" cm="1">
        <f t="array" aca="1" ref="U65" ca="1">INDIRECT(LEFT(P65, FIND("_", P65) - 1) &amp; "_Score")</f>
        <v>-</v>
      </c>
      <c r="V65" s="132" t="str">
        <f t="shared" ca="1" si="2"/>
        <v>-</v>
      </c>
      <c r="W65" s="132">
        <f t="shared" si="3"/>
        <v>4</v>
      </c>
      <c r="X65" s="132" t="str">
        <f t="shared" ca="1" si="4"/>
        <v>-</v>
      </c>
    </row>
    <row r="66" spans="1:24" ht="21.75" customHeight="1" x14ac:dyDescent="0.2">
      <c r="A66" s="92"/>
      <c r="C66" s="115" t="s">
        <v>1818</v>
      </c>
      <c r="D66" s="115"/>
      <c r="E66" s="114"/>
      <c r="F66" s="139" t="s">
        <v>1819</v>
      </c>
      <c r="G66" s="115"/>
      <c r="J66" s="59"/>
      <c r="K66" s="123"/>
      <c r="M66" s="123"/>
      <c r="N66" s="123"/>
      <c r="O66" s="123"/>
      <c r="P66" s="59" t="s">
        <v>870</v>
      </c>
      <c r="Q66" s="130" t="str" cm="1">
        <f t="array" aca="1" ref="Q66" ca="1">IFERROR(ROUND(INDIRECT(P66 &amp; "_Score"),2),"-")</f>
        <v>-</v>
      </c>
      <c r="R66" s="131">
        <f>VLOOKUP(P66,Data!$V$3:$W$14,2,FALSE)*1</f>
        <v>0.25</v>
      </c>
      <c r="S66" s="55" t="str">
        <f t="shared" ca="1" si="0"/>
        <v>-</v>
      </c>
      <c r="T66" s="132" t="str">
        <f t="shared" ca="1" si="1"/>
        <v>-</v>
      </c>
      <c r="U66" s="133" t="str" cm="1">
        <f t="array" aca="1" ref="U66" ca="1">INDIRECT(LEFT(P66, FIND("_", P66) - 1) &amp; "_Score")</f>
        <v>-</v>
      </c>
      <c r="V66" s="132" t="str">
        <f t="shared" ca="1" si="2"/>
        <v>-</v>
      </c>
      <c r="W66" s="132">
        <f t="shared" si="3"/>
        <v>5</v>
      </c>
      <c r="X66" s="132" t="str">
        <f t="shared" ca="1" si="4"/>
        <v>-</v>
      </c>
    </row>
    <row r="67" spans="1:24" ht="27.75" customHeight="1" x14ac:dyDescent="0.2">
      <c r="A67" s="92">
        <f>IF(DPE_1_Score="-",0,DPE_1_Score)</f>
        <v>0</v>
      </c>
      <c r="C67" s="116" t="s">
        <v>886</v>
      </c>
      <c r="D67" s="118" t="str">
        <f>'Dimension 3 - DPE'!B6 &amp; " (score = " &amp; IF(DPE_1_Score="-","N/A",DPE_1_Score) &amp; ")"</f>
        <v>Encryption Implementation (score = N/A)</v>
      </c>
      <c r="E67" s="114"/>
      <c r="F67" s="116" t="s">
        <v>886</v>
      </c>
      <c r="G67" s="118" t="str">
        <f>'Dimension 4 - ITR'!B6 &amp; " (score = " &amp; IF(ITR_1_Score="-","N/A",ITR_1_Score) &amp; ")"</f>
        <v>Network Security Architecture (score = N/A)</v>
      </c>
      <c r="J67" s="59">
        <f>IF(ITR_1_Score="-",0,ITR_1_Score)</f>
        <v>0</v>
      </c>
      <c r="K67" s="123"/>
      <c r="M67" s="123"/>
      <c r="N67" s="123"/>
      <c r="O67" s="123"/>
      <c r="P67" s="59" t="s">
        <v>871</v>
      </c>
      <c r="Q67" s="130" t="str" cm="1">
        <f t="array" aca="1" ref="Q67" ca="1">IFERROR(ROUND(INDIRECT(P67 &amp; "_Score"),2),"-")</f>
        <v>-</v>
      </c>
      <c r="R67" s="131">
        <f>VLOOKUP(P67,Data!$V$3:$W$14,2,FALSE)*1</f>
        <v>0.35</v>
      </c>
      <c r="S67" s="55" t="str">
        <f t="shared" ca="1" si="0"/>
        <v>-</v>
      </c>
      <c r="T67" s="132" t="str">
        <f t="shared" ca="1" si="1"/>
        <v>-</v>
      </c>
      <c r="U67" s="133" t="str" cm="1">
        <f t="array" aca="1" ref="U67" ca="1">INDIRECT(LEFT(P67, FIND("_", P67) - 1) &amp; "_Score")</f>
        <v>-</v>
      </c>
      <c r="V67" s="132" t="str">
        <f t="shared" ca="1" si="2"/>
        <v>-</v>
      </c>
      <c r="W67" s="132">
        <f t="shared" si="3"/>
        <v>6</v>
      </c>
      <c r="X67" s="132" t="str">
        <f t="shared" ca="1" si="4"/>
        <v>-</v>
      </c>
    </row>
    <row r="68" spans="1:24" ht="21.75" customHeight="1" x14ac:dyDescent="0.2">
      <c r="A68" s="92"/>
      <c r="C68" s="116"/>
      <c r="D68" s="140" t="str" cm="1">
        <f t="array" ref="D68">_xlfn.IFS(A67=0,"Quick Win Actions: N/A", A67&gt;3.5,"Quick Win Actions: None",1=1,_xlfn.CONCAT("Quick Win Actions: ", _xlfn.IFS(A67=0,"",A67&lt;=1.5,Data!BZ9,A67&lt;=2.5,Data!CA9,A67&lt;=3.5,Data!CB9)))</f>
        <v>Quick Win Actions: N/A</v>
      </c>
      <c r="E68" s="114"/>
      <c r="F68" s="116"/>
      <c r="G68" s="140" t="str" cm="1">
        <f t="array" ref="G68">_xlfn.IFS(J67=0,"Quick Win Actions: N/A", J67&gt;3.5,"Quick Win Actions: None",1=1,_xlfn.CONCAT("Quick Win Actions: ", _xlfn.IFS(J67=0,"",J67&lt;=1.5,Data!BZ12,J67&lt;=2.5,Data!CA12,J67&lt;=3.5,Data!CB12)))</f>
        <v>Quick Win Actions: N/A</v>
      </c>
      <c r="J68" s="59"/>
      <c r="K68" s="123"/>
      <c r="M68" s="123"/>
      <c r="N68" s="123"/>
      <c r="O68" s="123"/>
      <c r="P68" s="59" t="s">
        <v>872</v>
      </c>
      <c r="Q68" s="130" t="str" cm="1">
        <f t="array" aca="1" ref="Q68" ca="1">IFERROR(ROUND(INDIRECT(P68 &amp; "_Score"),2),"-")</f>
        <v>-</v>
      </c>
      <c r="R68" s="131">
        <f>VLOOKUP(P68,Data!$V$3:$W$14,2,FALSE)*1</f>
        <v>0.35</v>
      </c>
      <c r="S68" s="55" t="str">
        <f t="shared" ca="1" si="0"/>
        <v>-</v>
      </c>
      <c r="T68" s="132" t="str">
        <f t="shared" ca="1" si="1"/>
        <v>-</v>
      </c>
      <c r="U68" s="133" t="str" cm="1">
        <f t="array" aca="1" ref="U68" ca="1">INDIRECT(LEFT(P68, FIND("_", P68) - 1) &amp; "_Score")</f>
        <v>-</v>
      </c>
      <c r="V68" s="132" t="str">
        <f t="shared" ca="1" si="2"/>
        <v>-</v>
      </c>
      <c r="W68" s="132">
        <f t="shared" si="3"/>
        <v>7</v>
      </c>
      <c r="X68" s="132" t="str">
        <f t="shared" ca="1" si="4"/>
        <v>-</v>
      </c>
    </row>
    <row r="69" spans="1:24" ht="27.75" customHeight="1" x14ac:dyDescent="0.2">
      <c r="A69" s="92">
        <f>IF(DPE_2_Score="-",0,DPE_2_Score)</f>
        <v>0</v>
      </c>
      <c r="C69" s="116" t="s">
        <v>886</v>
      </c>
      <c r="D69" s="118" t="str">
        <f>'Dimension 3 - DPE'!B63 &amp; " (score = " &amp; IF(DPE_2_Score="-","N/A",DPE_2_Score) &amp; ")"</f>
        <v>Key Management Systems (score = N/A)</v>
      </c>
      <c r="E69" s="114"/>
      <c r="F69" s="116" t="s">
        <v>886</v>
      </c>
      <c r="G69" s="118" t="str">
        <f>'Dimension 4 - ITR'!B63 &amp; " (score = " &amp; IF(ITR_2_Score="-","N/A",ITR_2_Score) &amp; ")"</f>
        <v>System Hardening &amp; Updates (score = N/A)</v>
      </c>
      <c r="J69" s="59">
        <f>IF(ITR_2_Score="-",0,ITR_2_Score)</f>
        <v>0</v>
      </c>
      <c r="K69" s="123"/>
      <c r="M69" s="123"/>
      <c r="N69" s="123"/>
      <c r="O69" s="123"/>
      <c r="P69" s="59" t="s">
        <v>873</v>
      </c>
      <c r="Q69" s="130" t="str" cm="1">
        <f t="array" aca="1" ref="Q69" ca="1">IFERROR(ROUND(INDIRECT(P69 &amp; "_Score"),2),"-")</f>
        <v>-</v>
      </c>
      <c r="R69" s="131">
        <f>VLOOKUP(P69,Data!$V$3:$W$14,2,FALSE)*1</f>
        <v>0.3</v>
      </c>
      <c r="S69" s="55" t="str">
        <f t="shared" ca="1" si="0"/>
        <v>-</v>
      </c>
      <c r="T69" s="132" t="str">
        <f t="shared" ca="1" si="1"/>
        <v>-</v>
      </c>
      <c r="U69" s="133" t="str" cm="1">
        <f t="array" aca="1" ref="U69" ca="1">INDIRECT(LEFT(P69, FIND("_", P69) - 1) &amp; "_Score")</f>
        <v>-</v>
      </c>
      <c r="V69" s="132" t="str">
        <f t="shared" ca="1" si="2"/>
        <v>-</v>
      </c>
      <c r="W69" s="132">
        <f t="shared" si="3"/>
        <v>8</v>
      </c>
      <c r="X69" s="132" t="str">
        <f t="shared" ca="1" si="4"/>
        <v>-</v>
      </c>
    </row>
    <row r="70" spans="1:24" ht="21.75" customHeight="1" x14ac:dyDescent="0.2">
      <c r="A70" s="92"/>
      <c r="C70" s="116"/>
      <c r="D70" s="140" t="str" cm="1">
        <f t="array" ref="D70">_xlfn.IFS(A69=0,"Quick Win Actions: N/A", A69&gt;3.5,"Quick Win Actions: None",1=1,_xlfn.CONCAT("Quick Win Actions: ", _xlfn.IFS(A69=0,"",A69&lt;=1.5,Data!BZ10,A69&lt;=2.5,Data!CA10,A69&lt;=3.5,Data!CB10)))</f>
        <v>Quick Win Actions: N/A</v>
      </c>
      <c r="E70" s="114"/>
      <c r="F70" s="116"/>
      <c r="G70" s="140" t="str" cm="1">
        <f t="array" ref="G70">_xlfn.IFS(J69=0,"Quick Win Actions: N/A", J69&gt;3.5,"Quick Win Actions: None",1=1,_xlfn.CONCAT("Quick Win Actions: ", _xlfn.IFS(J69=0,"",J69&lt;=1.5,Data!BZ13,J69&lt;=2.5,Data!CA13,J69&lt;=3.5,Data!CB13)))</f>
        <v>Quick Win Actions: N/A</v>
      </c>
      <c r="J70" s="59"/>
      <c r="K70" s="123"/>
      <c r="M70" s="123"/>
      <c r="N70" s="123"/>
      <c r="O70" s="123"/>
      <c r="P70" s="59"/>
      <c r="Q70" s="130"/>
      <c r="R70" s="131"/>
      <c r="S70" s="55"/>
      <c r="T70" s="132"/>
      <c r="U70" s="133"/>
      <c r="V70" s="132"/>
      <c r="W70" s="132"/>
      <c r="X70" s="132"/>
    </row>
    <row r="71" spans="1:24" ht="27.75" customHeight="1" x14ac:dyDescent="0.2">
      <c r="A71" s="92">
        <f>IF(DPE_3_Score="-",0,DPE_3_Score)</f>
        <v>0</v>
      </c>
      <c r="C71" s="116" t="s">
        <v>886</v>
      </c>
      <c r="D71" s="118" t="str">
        <f>'Dimension 3 - DPE'!B120 &amp; " (score = " &amp; IF(DPE_3_Score="-","N/A",DPE_3_Score) &amp; ")"</f>
        <v>Data Classification &amp; Handling (score = N/A)</v>
      </c>
      <c r="E71" s="114"/>
      <c r="F71" s="116" t="s">
        <v>886</v>
      </c>
      <c r="G71" s="118" t="str">
        <f>'Dimension 4 - ITR'!B120 &amp; " (score = " &amp; IF(ITR_3_Score="-","N/A",ITR_3_Score) &amp; ")"</f>
        <v>Incident Response &amp; Recovery (score = N/A)</v>
      </c>
      <c r="J71" s="59">
        <f>IF(ITR_3_Score="-",0,ITR_3_Score)</f>
        <v>0</v>
      </c>
      <c r="K71" s="123"/>
      <c r="M71" s="123"/>
      <c r="P71" s="59"/>
      <c r="Q71" s="59"/>
      <c r="R71" s="59"/>
      <c r="S71" s="59"/>
      <c r="T71" s="59"/>
      <c r="U71" s="59"/>
      <c r="V71" s="59"/>
      <c r="W71" s="59"/>
      <c r="X71" s="59"/>
    </row>
    <row r="72" spans="1:24" ht="21.75" customHeight="1" x14ac:dyDescent="0.2">
      <c r="A72" s="92"/>
      <c r="C72" s="116"/>
      <c r="D72" s="140" t="str" cm="1">
        <f t="array" ref="D72">_xlfn.IFS(A71=0,"Quick Win Actions: N/A", A71&gt;3.5,"Quick Win Actions: None",1=1,_xlfn.CONCAT("Quick Win Actions: ", _xlfn.IFS(A71=0,"",A71&lt;=1.5,Data!BZ11,A71&lt;=2.5,Data!CA11,A71&lt;=3.5,Data!CB11)))</f>
        <v>Quick Win Actions: N/A</v>
      </c>
      <c r="E72" s="114"/>
      <c r="F72" s="116"/>
      <c r="G72" s="140" t="str" cm="1">
        <f t="array" ref="G72">_xlfn.IFS(J71=0,"Quick Win Actions: N/A", J71&gt;3.5,"Quick Win Actions: None",1=1,_xlfn.CONCAT("Quick Win Actions: ", _xlfn.IFS(J71=0,"",J71&lt;=1.5,Data!BZ14,J71&lt;=2.5,Data!CA14,J71&lt;=3.5,Data!CB14)))</f>
        <v>Quick Win Actions: N/A</v>
      </c>
      <c r="J72" s="186"/>
      <c r="K72" s="123"/>
      <c r="M72" s="123"/>
      <c r="N72" s="123"/>
      <c r="O72" s="123"/>
      <c r="P72" s="59"/>
      <c r="Q72" s="130"/>
      <c r="R72" s="131"/>
      <c r="S72" s="55"/>
      <c r="T72" s="132"/>
      <c r="U72" s="133"/>
      <c r="V72" s="132"/>
      <c r="W72" s="132"/>
      <c r="X72" s="132"/>
    </row>
    <row r="73" spans="1:24" s="74" customFormat="1" ht="29.25" customHeight="1" x14ac:dyDescent="0.2">
      <c r="A73" s="48"/>
      <c r="B73" s="14"/>
      <c r="C73" s="114"/>
      <c r="D73" s="114"/>
      <c r="E73" s="114"/>
      <c r="F73" s="114"/>
      <c r="G73" s="114"/>
      <c r="H73" s="14"/>
      <c r="I73" s="14"/>
      <c r="J73" s="59"/>
      <c r="K73" s="123"/>
      <c r="L73" s="14"/>
      <c r="M73" s="123"/>
      <c r="N73" s="14"/>
      <c r="O73" s="14"/>
    </row>
    <row r="74" spans="1:24" ht="27.75" customHeight="1" x14ac:dyDescent="0.2">
      <c r="A74" s="48"/>
      <c r="D74" s="59"/>
      <c r="J74" s="123"/>
      <c r="K74" s="123"/>
      <c r="M74" s="123"/>
    </row>
    <row r="75" spans="1:24" ht="27.75" customHeight="1" x14ac:dyDescent="0.2">
      <c r="A75" s="48"/>
      <c r="C75" s="122" t="s">
        <v>1021</v>
      </c>
      <c r="D75" s="115"/>
      <c r="K75" s="123"/>
      <c r="L75" s="123"/>
      <c r="M75" s="123"/>
    </row>
    <row r="76" spans="1:24" ht="27.75" customHeight="1" x14ac:dyDescent="0.2">
      <c r="A76" s="48"/>
      <c r="D76" s="59"/>
      <c r="K76" s="123"/>
      <c r="M76" s="123"/>
    </row>
    <row r="77" spans="1:24" ht="27.75" customHeight="1" x14ac:dyDescent="0.2">
      <c r="A77" s="48"/>
      <c r="D77" s="59"/>
      <c r="M77" s="123"/>
    </row>
    <row r="78" spans="1:24" ht="27.75" customHeight="1" x14ac:dyDescent="0.2">
      <c r="A78" s="48"/>
      <c r="D78" s="59"/>
      <c r="M78" s="123"/>
    </row>
    <row r="79" spans="1:24" s="74" customFormat="1" ht="27.75" customHeight="1" x14ac:dyDescent="0.2">
      <c r="E79" s="89"/>
      <c r="G79" s="90"/>
    </row>
    <row r="80" spans="1:24" ht="27.75" hidden="1" customHeight="1" x14ac:dyDescent="0.2">
      <c r="A80" s="48"/>
      <c r="D80" s="59"/>
    </row>
    <row r="81" spans="1:4" ht="27.75" hidden="1" customHeight="1" x14ac:dyDescent="0.2">
      <c r="A81" s="48"/>
      <c r="D81" s="59"/>
    </row>
    <row r="82" spans="1:4" ht="27.75" hidden="1" customHeight="1" x14ac:dyDescent="0.2">
      <c r="A82" s="48"/>
      <c r="D82" s="59"/>
    </row>
    <row r="83" spans="1:4" ht="27.75" hidden="1" customHeight="1" x14ac:dyDescent="0.2">
      <c r="A83" s="48"/>
      <c r="D83" s="59"/>
    </row>
    <row r="84" spans="1:4" ht="27.75" hidden="1" customHeight="1" x14ac:dyDescent="0.2">
      <c r="A84" s="48"/>
      <c r="D84" s="59"/>
    </row>
    <row r="85" spans="1:4" ht="27.75" hidden="1" customHeight="1" x14ac:dyDescent="0.2">
      <c r="A85" s="48"/>
      <c r="D85" s="59"/>
    </row>
    <row r="86" spans="1:4" ht="27.75" hidden="1" customHeight="1" x14ac:dyDescent="0.2">
      <c r="A86" s="48"/>
      <c r="D86" s="59"/>
    </row>
    <row r="87" spans="1:4" ht="27.75" hidden="1" customHeight="1" x14ac:dyDescent="0.2">
      <c r="A87" s="48"/>
      <c r="D87" s="59"/>
    </row>
    <row r="88" spans="1:4" ht="27.75" hidden="1" customHeight="1" x14ac:dyDescent="0.2">
      <c r="A88" s="48"/>
      <c r="D88" s="59"/>
    </row>
    <row r="89" spans="1:4" ht="27.75" hidden="1" customHeight="1" x14ac:dyDescent="0.2">
      <c r="A89" s="48"/>
      <c r="D89" s="59"/>
    </row>
    <row r="90" spans="1:4" ht="27.75" hidden="1" customHeight="1" x14ac:dyDescent="0.2">
      <c r="A90" s="48"/>
      <c r="D90" s="59"/>
    </row>
    <row r="91" spans="1:4" ht="27.75" hidden="1" customHeight="1" x14ac:dyDescent="0.2">
      <c r="A91" s="48"/>
      <c r="D91" s="59"/>
    </row>
    <row r="92" spans="1:4" ht="27.75" hidden="1" customHeight="1" x14ac:dyDescent="0.2">
      <c r="A92" s="48"/>
      <c r="D92" s="59"/>
    </row>
    <row r="93" spans="1:4" ht="27.75" hidden="1" customHeight="1" x14ac:dyDescent="0.2">
      <c r="A93" s="48"/>
      <c r="D93" s="59"/>
    </row>
    <row r="94" spans="1:4" ht="27.75" hidden="1" customHeight="1" x14ac:dyDescent="0.2">
      <c r="A94" s="48"/>
      <c r="D94" s="59"/>
    </row>
    <row r="95" spans="1:4" ht="27.75" hidden="1" customHeight="1" x14ac:dyDescent="0.2">
      <c r="A95" s="48"/>
      <c r="D95" s="59"/>
    </row>
    <row r="96" spans="1:4" ht="27.75" hidden="1" customHeight="1" x14ac:dyDescent="0.2">
      <c r="A96" s="48"/>
      <c r="D96" s="59"/>
    </row>
    <row r="97" spans="1:4" ht="27.75" hidden="1" customHeight="1" x14ac:dyDescent="0.2">
      <c r="A97" s="48"/>
      <c r="D97" s="59"/>
    </row>
    <row r="98" spans="1:4" ht="27.75" hidden="1" customHeight="1" x14ac:dyDescent="0.2">
      <c r="A98" s="48"/>
      <c r="D98" s="59"/>
    </row>
    <row r="99" spans="1:4" ht="27.75" hidden="1" customHeight="1" x14ac:dyDescent="0.2">
      <c r="A99" s="48"/>
      <c r="D99" s="59"/>
    </row>
    <row r="100" spans="1:4" ht="27.75" hidden="1" customHeight="1" x14ac:dyDescent="0.2">
      <c r="A100" s="48"/>
      <c r="D100" s="59"/>
    </row>
    <row r="101" spans="1:4" ht="27.75" hidden="1" customHeight="1" x14ac:dyDescent="0.2">
      <c r="A101" s="48"/>
      <c r="D101" s="59"/>
    </row>
    <row r="102" spans="1:4" ht="27.75" hidden="1" customHeight="1" x14ac:dyDescent="0.2">
      <c r="A102" s="48"/>
      <c r="D102" s="59"/>
    </row>
    <row r="103" spans="1:4" ht="27.75" hidden="1" customHeight="1" x14ac:dyDescent="0.2">
      <c r="A103" s="48"/>
      <c r="D103" s="59"/>
    </row>
    <row r="104" spans="1:4" ht="27.75" hidden="1" customHeight="1" x14ac:dyDescent="0.2">
      <c r="A104" s="48"/>
      <c r="D104" s="59"/>
    </row>
    <row r="105" spans="1:4" ht="27.75" hidden="1" customHeight="1" x14ac:dyDescent="0.2">
      <c r="A105" s="48"/>
      <c r="D105" s="59"/>
    </row>
    <row r="106" spans="1:4" ht="27.75" hidden="1" customHeight="1" x14ac:dyDescent="0.2">
      <c r="A106" s="48"/>
      <c r="D106" s="59"/>
    </row>
    <row r="107" spans="1:4" ht="27.75" hidden="1" customHeight="1" x14ac:dyDescent="0.2">
      <c r="A107" s="48"/>
      <c r="D107" s="59"/>
    </row>
    <row r="108" spans="1:4" ht="27.75" hidden="1" customHeight="1" x14ac:dyDescent="0.2">
      <c r="A108" s="48"/>
      <c r="D108" s="59"/>
    </row>
    <row r="109" spans="1:4" ht="27.75" hidden="1" customHeight="1" x14ac:dyDescent="0.2">
      <c r="A109" s="48"/>
      <c r="D109" s="59"/>
    </row>
    <row r="110" spans="1:4" ht="27.75" hidden="1" customHeight="1" x14ac:dyDescent="0.2">
      <c r="A110" s="48"/>
      <c r="D110" s="59"/>
    </row>
    <row r="111" spans="1:4" ht="27.75" hidden="1" customHeight="1" x14ac:dyDescent="0.2">
      <c r="A111" s="48"/>
      <c r="D111" s="59"/>
    </row>
    <row r="112" spans="1:4" ht="27.75" hidden="1" customHeight="1" x14ac:dyDescent="0.2">
      <c r="A112" s="48"/>
      <c r="D112" s="59"/>
    </row>
    <row r="113" spans="1:4" ht="27.75" hidden="1" customHeight="1" x14ac:dyDescent="0.2">
      <c r="A113" s="48"/>
      <c r="D113" s="59"/>
    </row>
    <row r="114" spans="1:4" ht="27.75" hidden="1" customHeight="1" x14ac:dyDescent="0.2">
      <c r="A114" s="48"/>
      <c r="D114" s="59"/>
    </row>
    <row r="115" spans="1:4" ht="27.75" hidden="1" customHeight="1" x14ac:dyDescent="0.2">
      <c r="A115" s="48"/>
      <c r="D115" s="59"/>
    </row>
    <row r="116" spans="1:4" ht="27.75" hidden="1" customHeight="1" x14ac:dyDescent="0.2">
      <c r="A116" s="48"/>
      <c r="D116" s="59"/>
    </row>
    <row r="117" spans="1:4" ht="27.75" hidden="1" customHeight="1" x14ac:dyDescent="0.2">
      <c r="A117" s="48"/>
      <c r="D117" s="59"/>
    </row>
    <row r="118" spans="1:4" ht="27.75" hidden="1" customHeight="1" x14ac:dyDescent="0.2">
      <c r="A118" s="48"/>
      <c r="D118" s="59"/>
    </row>
    <row r="119" spans="1:4" ht="27.75" hidden="1" customHeight="1" x14ac:dyDescent="0.2">
      <c r="A119" s="48"/>
      <c r="D119" s="59"/>
    </row>
    <row r="120" spans="1:4" ht="27.75" hidden="1" customHeight="1" x14ac:dyDescent="0.2">
      <c r="A120" s="48"/>
      <c r="D120" s="59"/>
    </row>
    <row r="121" spans="1:4" ht="27.75" hidden="1" customHeight="1" x14ac:dyDescent="0.2">
      <c r="A121" s="48"/>
      <c r="D121" s="59"/>
    </row>
    <row r="122" spans="1:4" ht="27.75" hidden="1" customHeight="1" x14ac:dyDescent="0.2">
      <c r="A122" s="48"/>
      <c r="D122" s="59"/>
    </row>
    <row r="123" spans="1:4" ht="27.75" hidden="1" customHeight="1" x14ac:dyDescent="0.2">
      <c r="A123" s="48"/>
      <c r="D123" s="59"/>
    </row>
    <row r="124" spans="1:4" ht="27.75" hidden="1" customHeight="1" x14ac:dyDescent="0.2">
      <c r="A124" s="48"/>
      <c r="D124" s="59"/>
    </row>
    <row r="125" spans="1:4" ht="27.75" hidden="1" customHeight="1" x14ac:dyDescent="0.2">
      <c r="A125" s="48"/>
      <c r="D125" s="59"/>
    </row>
    <row r="126" spans="1:4" ht="27.75" hidden="1" customHeight="1" x14ac:dyDescent="0.2">
      <c r="A126" s="48"/>
      <c r="D126" s="59"/>
    </row>
    <row r="127" spans="1:4" ht="27.75" hidden="1" customHeight="1" x14ac:dyDescent="0.2">
      <c r="A127" s="48"/>
      <c r="D127" s="59"/>
    </row>
    <row r="128" spans="1:4" ht="27.75" hidden="1" customHeight="1" x14ac:dyDescent="0.2">
      <c r="A128" s="48"/>
      <c r="D128" s="59"/>
    </row>
    <row r="129" spans="1:4" ht="27.75" hidden="1" customHeight="1" x14ac:dyDescent="0.2">
      <c r="A129" s="48"/>
      <c r="D129" s="59"/>
    </row>
    <row r="130" spans="1:4" ht="27.75" hidden="1" customHeight="1" x14ac:dyDescent="0.2">
      <c r="A130" s="48"/>
      <c r="D130" s="59"/>
    </row>
    <row r="131" spans="1:4" ht="27.75" hidden="1" customHeight="1" x14ac:dyDescent="0.2">
      <c r="A131" s="48"/>
      <c r="D131" s="59"/>
    </row>
    <row r="132" spans="1:4" ht="27.75" hidden="1" customHeight="1" x14ac:dyDescent="0.2">
      <c r="A132" s="48"/>
      <c r="D132" s="59"/>
    </row>
    <row r="133" spans="1:4" ht="27.75" hidden="1" customHeight="1" x14ac:dyDescent="0.2">
      <c r="A133" s="48"/>
      <c r="D133" s="59"/>
    </row>
    <row r="134" spans="1:4" ht="27.75" hidden="1" customHeight="1" x14ac:dyDescent="0.2">
      <c r="A134" s="48"/>
      <c r="D134" s="59"/>
    </row>
    <row r="135" spans="1:4" ht="27.75" hidden="1" customHeight="1" x14ac:dyDescent="0.2">
      <c r="A135" s="48"/>
      <c r="D135" s="59"/>
    </row>
    <row r="136" spans="1:4" ht="27.75" hidden="1" customHeight="1" x14ac:dyDescent="0.2">
      <c r="A136" s="48"/>
      <c r="D136" s="59"/>
    </row>
    <row r="137" spans="1:4" ht="27.75" hidden="1" customHeight="1" x14ac:dyDescent="0.2">
      <c r="A137" s="48"/>
      <c r="D137" s="59"/>
    </row>
    <row r="138" spans="1:4" ht="27.75" hidden="1" customHeight="1" x14ac:dyDescent="0.2">
      <c r="A138" s="48"/>
      <c r="D138" s="59"/>
    </row>
    <row r="139" spans="1:4" ht="27.75" hidden="1" customHeight="1" x14ac:dyDescent="0.2">
      <c r="A139" s="48"/>
      <c r="D139" s="59"/>
    </row>
    <row r="140" spans="1:4" ht="27.75" hidden="1" customHeight="1" x14ac:dyDescent="0.2">
      <c r="A140" s="48"/>
      <c r="D140" s="59"/>
    </row>
    <row r="141" spans="1:4" ht="27.75" hidden="1" customHeight="1" x14ac:dyDescent="0.2">
      <c r="A141" s="48"/>
      <c r="D141" s="59"/>
    </row>
    <row r="142" spans="1:4" ht="27.75" hidden="1" customHeight="1" x14ac:dyDescent="0.2">
      <c r="A142" s="48"/>
      <c r="D142" s="59"/>
    </row>
    <row r="143" spans="1:4" ht="27.75" hidden="1" customHeight="1" x14ac:dyDescent="0.2">
      <c r="A143" s="48"/>
      <c r="D143" s="59"/>
    </row>
    <row r="144" spans="1:4" ht="27.75" hidden="1" customHeight="1" x14ac:dyDescent="0.2">
      <c r="A144" s="48"/>
      <c r="D144" s="59"/>
    </row>
    <row r="145" spans="1:4" ht="27.75" hidden="1" customHeight="1" x14ac:dyDescent="0.2">
      <c r="A145" s="48"/>
      <c r="D145" s="59"/>
    </row>
    <row r="146" spans="1:4" ht="27.75" hidden="1" customHeight="1" x14ac:dyDescent="0.2">
      <c r="A146" s="48"/>
      <c r="D146" s="59"/>
    </row>
    <row r="147" spans="1:4" ht="27.75" hidden="1" customHeight="1" x14ac:dyDescent="0.2">
      <c r="A147" s="48"/>
      <c r="D147" s="59"/>
    </row>
    <row r="148" spans="1:4" ht="27.75" hidden="1" customHeight="1" x14ac:dyDescent="0.2">
      <c r="A148" s="48"/>
      <c r="D148" s="59"/>
    </row>
    <row r="149" spans="1:4" ht="27.75" hidden="1" customHeight="1" x14ac:dyDescent="0.2">
      <c r="A149" s="48"/>
      <c r="D149" s="59"/>
    </row>
    <row r="150" spans="1:4" ht="27.75" hidden="1" customHeight="1" x14ac:dyDescent="0.2">
      <c r="A150" s="48"/>
      <c r="D150" s="59"/>
    </row>
    <row r="151" spans="1:4" ht="27.75" hidden="1" customHeight="1" x14ac:dyDescent="0.2">
      <c r="A151" s="48"/>
      <c r="D151" s="59"/>
    </row>
    <row r="152" spans="1:4" ht="27.75" hidden="1" customHeight="1" x14ac:dyDescent="0.2">
      <c r="A152" s="48"/>
      <c r="D152" s="59"/>
    </row>
    <row r="153" spans="1:4" ht="27.75" hidden="1" customHeight="1" x14ac:dyDescent="0.2">
      <c r="A153" s="48"/>
      <c r="D153" s="59"/>
    </row>
    <row r="154" spans="1:4" ht="27.75" hidden="1" customHeight="1" x14ac:dyDescent="0.2">
      <c r="A154" s="48"/>
      <c r="D154" s="59"/>
    </row>
    <row r="155" spans="1:4" ht="27.75" hidden="1" customHeight="1" x14ac:dyDescent="0.2">
      <c r="A155" s="48"/>
      <c r="D155" s="59"/>
    </row>
    <row r="156" spans="1:4" ht="27.75" hidden="1" customHeight="1" x14ac:dyDescent="0.2">
      <c r="A156" s="48"/>
      <c r="D156" s="59"/>
    </row>
    <row r="157" spans="1:4" ht="27.75" hidden="1" customHeight="1" x14ac:dyDescent="0.2">
      <c r="A157" s="48"/>
      <c r="D157" s="59"/>
    </row>
    <row r="158" spans="1:4" ht="27.75" hidden="1" customHeight="1" x14ac:dyDescent="0.2">
      <c r="A158" s="48"/>
      <c r="D158" s="59"/>
    </row>
    <row r="159" spans="1:4" ht="27.75" hidden="1" customHeight="1" x14ac:dyDescent="0.2">
      <c r="A159" s="48"/>
      <c r="D159" s="59"/>
    </row>
    <row r="160" spans="1:4" ht="27.75" hidden="1" customHeight="1" x14ac:dyDescent="0.2">
      <c r="A160" s="48"/>
      <c r="D160" s="59"/>
    </row>
    <row r="161" spans="1:4" ht="27.75" hidden="1" customHeight="1" x14ac:dyDescent="0.2">
      <c r="A161" s="48"/>
      <c r="D161" s="59"/>
    </row>
    <row r="162" spans="1:4" ht="27.75" hidden="1" customHeight="1" x14ac:dyDescent="0.2">
      <c r="A162" s="48"/>
      <c r="D162" s="59"/>
    </row>
    <row r="163" spans="1:4" ht="27.75" hidden="1" customHeight="1" x14ac:dyDescent="0.2">
      <c r="A163" s="48"/>
      <c r="D163" s="59"/>
    </row>
    <row r="164" spans="1:4" ht="27.75" hidden="1" customHeight="1" x14ac:dyDescent="0.2">
      <c r="A164" s="48"/>
      <c r="D164" s="59"/>
    </row>
    <row r="165" spans="1:4" ht="27.75" hidden="1" customHeight="1" x14ac:dyDescent="0.2">
      <c r="A165" s="48"/>
      <c r="D165" s="59"/>
    </row>
    <row r="166" spans="1:4" ht="27.75" hidden="1" customHeight="1" x14ac:dyDescent="0.2">
      <c r="A166" s="48"/>
      <c r="D166" s="59"/>
    </row>
    <row r="167" spans="1:4" ht="27.75" hidden="1" customHeight="1" x14ac:dyDescent="0.2">
      <c r="A167" s="48"/>
      <c r="D167" s="59"/>
    </row>
    <row r="168" spans="1:4" ht="27.75" hidden="1" customHeight="1" x14ac:dyDescent="0.2">
      <c r="A168" s="48"/>
      <c r="D168" s="59"/>
    </row>
    <row r="169" spans="1:4" ht="27.75" hidden="1" customHeight="1" x14ac:dyDescent="0.2">
      <c r="A169" s="48"/>
      <c r="D169" s="59"/>
    </row>
    <row r="170" spans="1:4" ht="27.75" hidden="1" customHeight="1" x14ac:dyDescent="0.2">
      <c r="A170" s="48"/>
      <c r="D170" s="59"/>
    </row>
    <row r="171" spans="1:4" ht="27.75" hidden="1" customHeight="1" x14ac:dyDescent="0.2">
      <c r="A171" s="48"/>
      <c r="D171" s="59"/>
    </row>
    <row r="172" spans="1:4" ht="27.75" hidden="1" customHeight="1" x14ac:dyDescent="0.2">
      <c r="A172" s="48"/>
      <c r="D172" s="59"/>
    </row>
    <row r="173" spans="1:4" ht="27.75" hidden="1" customHeight="1" x14ac:dyDescent="0.2">
      <c r="A173" s="48"/>
      <c r="D173" s="59"/>
    </row>
    <row r="174" spans="1:4" ht="27.75" hidden="1" customHeight="1" x14ac:dyDescent="0.2">
      <c r="A174" s="48"/>
      <c r="D174" s="59"/>
    </row>
    <row r="175" spans="1:4" ht="27.75" hidden="1" customHeight="1" x14ac:dyDescent="0.2">
      <c r="A175" s="48"/>
      <c r="D175" s="59"/>
    </row>
    <row r="176" spans="1:4" ht="27.75" hidden="1" customHeight="1" x14ac:dyDescent="0.2">
      <c r="A176" s="48"/>
      <c r="D176" s="59"/>
    </row>
    <row r="177" spans="1:4" ht="27.75" hidden="1" customHeight="1" x14ac:dyDescent="0.2">
      <c r="A177" s="48"/>
      <c r="D177" s="59"/>
    </row>
    <row r="178" spans="1:4" ht="27.75" hidden="1" customHeight="1" x14ac:dyDescent="0.2">
      <c r="A178" s="48"/>
      <c r="D178" s="59"/>
    </row>
    <row r="179" spans="1:4" ht="27.75" hidden="1" customHeight="1" x14ac:dyDescent="0.2">
      <c r="A179" s="48"/>
      <c r="D179" s="59"/>
    </row>
    <row r="180" spans="1:4" ht="27.75" hidden="1" customHeight="1" x14ac:dyDescent="0.2">
      <c r="A180" s="48"/>
      <c r="D180" s="59"/>
    </row>
    <row r="181" spans="1:4" ht="27.75" hidden="1" customHeight="1" x14ac:dyDescent="0.2">
      <c r="A181" s="48"/>
      <c r="D181" s="59"/>
    </row>
    <row r="182" spans="1:4" ht="27.75" hidden="1" customHeight="1" x14ac:dyDescent="0.2">
      <c r="A182" s="48"/>
      <c r="D182" s="59"/>
    </row>
    <row r="183" spans="1:4" ht="27.75" hidden="1" customHeight="1" x14ac:dyDescent="0.2">
      <c r="A183" s="48"/>
      <c r="D183" s="59"/>
    </row>
    <row r="184" spans="1:4" ht="27.75" hidden="1" customHeight="1" x14ac:dyDescent="0.2">
      <c r="A184" s="48"/>
      <c r="D184" s="59"/>
    </row>
    <row r="185" spans="1:4" ht="27.75" hidden="1" customHeight="1" x14ac:dyDescent="0.2">
      <c r="A185" s="48"/>
      <c r="D185" s="59"/>
    </row>
    <row r="186" spans="1:4" ht="27.75" hidden="1" customHeight="1" x14ac:dyDescent="0.2">
      <c r="A186" s="48"/>
      <c r="D186" s="59"/>
    </row>
    <row r="187" spans="1:4" ht="27.75" hidden="1" customHeight="1" x14ac:dyDescent="0.2">
      <c r="A187" s="48"/>
      <c r="D187" s="59"/>
    </row>
    <row r="188" spans="1:4" ht="27.75" hidden="1" customHeight="1" x14ac:dyDescent="0.2">
      <c r="A188" s="48"/>
      <c r="D188" s="59"/>
    </row>
    <row r="189" spans="1:4" ht="27.75" hidden="1" customHeight="1" x14ac:dyDescent="0.2">
      <c r="A189" s="48"/>
      <c r="D189" s="59"/>
    </row>
    <row r="190" spans="1:4" ht="27.75" hidden="1" customHeight="1" x14ac:dyDescent="0.2">
      <c r="A190" s="48"/>
      <c r="D190" s="59"/>
    </row>
    <row r="191" spans="1:4" ht="27.75" hidden="1" customHeight="1" x14ac:dyDescent="0.2">
      <c r="A191" s="48"/>
      <c r="D191" s="59"/>
    </row>
    <row r="192" spans="1:4" ht="27.75" hidden="1" customHeight="1" x14ac:dyDescent="0.2">
      <c r="A192" s="48"/>
      <c r="D192" s="59"/>
    </row>
    <row r="193" spans="1:4" ht="27.75" hidden="1" customHeight="1" x14ac:dyDescent="0.2">
      <c r="A193" s="48"/>
      <c r="D193" s="59"/>
    </row>
    <row r="194" spans="1:4" ht="27.75" hidden="1" customHeight="1" x14ac:dyDescent="0.2">
      <c r="A194" s="48"/>
      <c r="D194" s="59"/>
    </row>
    <row r="195" spans="1:4" ht="27.75" hidden="1" customHeight="1" x14ac:dyDescent="0.2">
      <c r="A195" s="48"/>
      <c r="D195" s="59"/>
    </row>
    <row r="196" spans="1:4" ht="27.75" hidden="1" customHeight="1" x14ac:dyDescent="0.2">
      <c r="A196" s="48"/>
      <c r="D196" s="59"/>
    </row>
    <row r="197" spans="1:4" ht="27.75" hidden="1" customHeight="1" x14ac:dyDescent="0.2">
      <c r="A197" s="48"/>
      <c r="D197" s="59"/>
    </row>
    <row r="198" spans="1:4" ht="27.75" hidden="1" customHeight="1" x14ac:dyDescent="0.2">
      <c r="A198" s="48"/>
      <c r="D198" s="59"/>
    </row>
    <row r="199" spans="1:4" ht="27.75" hidden="1" customHeight="1" x14ac:dyDescent="0.2">
      <c r="A199" s="48"/>
      <c r="D199" s="59"/>
    </row>
    <row r="200" spans="1:4" ht="27.75" hidden="1" customHeight="1" x14ac:dyDescent="0.2">
      <c r="A200" s="48"/>
      <c r="D200" s="59"/>
    </row>
    <row r="201" spans="1:4" ht="27.75" hidden="1" customHeight="1" x14ac:dyDescent="0.2">
      <c r="A201" s="48"/>
      <c r="D201" s="59"/>
    </row>
    <row r="202" spans="1:4" ht="27.75" hidden="1" customHeight="1" x14ac:dyDescent="0.2">
      <c r="A202" s="48"/>
      <c r="D202" s="59"/>
    </row>
    <row r="203" spans="1:4" ht="27.75" hidden="1" customHeight="1" x14ac:dyDescent="0.2">
      <c r="A203" s="48"/>
      <c r="D203" s="59"/>
    </row>
    <row r="204" spans="1:4" ht="27.75" hidden="1" customHeight="1" x14ac:dyDescent="0.2">
      <c r="A204" s="48"/>
      <c r="D204" s="59"/>
    </row>
    <row r="205" spans="1:4" ht="27.75" hidden="1" customHeight="1" x14ac:dyDescent="0.2">
      <c r="A205" s="48"/>
      <c r="D205" s="59"/>
    </row>
    <row r="206" spans="1:4" ht="27.75" hidden="1" customHeight="1" x14ac:dyDescent="0.2">
      <c r="A206" s="48"/>
      <c r="D206" s="59"/>
    </row>
    <row r="207" spans="1:4" ht="27.75" hidden="1" customHeight="1" x14ac:dyDescent="0.2">
      <c r="A207" s="48"/>
      <c r="D207" s="59"/>
    </row>
    <row r="208" spans="1:4" ht="27.75" hidden="1" customHeight="1" x14ac:dyDescent="0.2">
      <c r="A208" s="48"/>
      <c r="D208" s="59"/>
    </row>
    <row r="209" spans="1:4" ht="27.75" hidden="1" customHeight="1" x14ac:dyDescent="0.2">
      <c r="A209" s="48"/>
      <c r="D209" s="59"/>
    </row>
    <row r="210" spans="1:4" ht="27.75" hidden="1" customHeight="1" x14ac:dyDescent="0.2">
      <c r="A210" s="48"/>
      <c r="D210" s="59"/>
    </row>
    <row r="211" spans="1:4" ht="27.75" hidden="1" customHeight="1" x14ac:dyDescent="0.2">
      <c r="A211" s="48"/>
      <c r="D211" s="59"/>
    </row>
    <row r="212" spans="1:4" ht="27.75" hidden="1" customHeight="1" x14ac:dyDescent="0.2">
      <c r="A212" s="48"/>
      <c r="D212" s="59"/>
    </row>
    <row r="213" spans="1:4" ht="27.75" hidden="1" customHeight="1" x14ac:dyDescent="0.2">
      <c r="A213" s="48"/>
      <c r="D213" s="59"/>
    </row>
    <row r="214" spans="1:4" ht="27.75" hidden="1" customHeight="1" x14ac:dyDescent="0.2">
      <c r="A214" s="48"/>
      <c r="D214" s="59"/>
    </row>
    <row r="215" spans="1:4" ht="27.75" hidden="1" customHeight="1" x14ac:dyDescent="0.2">
      <c r="A215" s="48"/>
      <c r="D215" s="59"/>
    </row>
    <row r="216" spans="1:4" ht="27.75" hidden="1" customHeight="1" x14ac:dyDescent="0.2">
      <c r="A216" s="48"/>
      <c r="D216" s="59"/>
    </row>
    <row r="217" spans="1:4" ht="27.75" hidden="1" customHeight="1" x14ac:dyDescent="0.2">
      <c r="A217" s="48"/>
      <c r="D217" s="59"/>
    </row>
    <row r="218" spans="1:4" ht="27.75" hidden="1" customHeight="1" x14ac:dyDescent="0.2">
      <c r="A218" s="48"/>
      <c r="D218" s="59"/>
    </row>
    <row r="219" spans="1:4" ht="27.75" hidden="1" customHeight="1" x14ac:dyDescent="0.2">
      <c r="A219" s="48"/>
      <c r="D219" s="59"/>
    </row>
    <row r="220" spans="1:4" ht="27.75" hidden="1" customHeight="1" x14ac:dyDescent="0.2">
      <c r="A220" s="48"/>
      <c r="D220" s="59"/>
    </row>
    <row r="221" spans="1:4" ht="27.75" hidden="1" customHeight="1" x14ac:dyDescent="0.2">
      <c r="A221" s="48"/>
      <c r="D221" s="59"/>
    </row>
    <row r="222" spans="1:4" ht="27.75" hidden="1" customHeight="1" x14ac:dyDescent="0.2">
      <c r="A222" s="48"/>
      <c r="D222" s="59"/>
    </row>
    <row r="223" spans="1:4" ht="27.75" hidden="1" customHeight="1" x14ac:dyDescent="0.2">
      <c r="A223" s="48"/>
      <c r="D223" s="59"/>
    </row>
    <row r="224" spans="1:4" ht="27.75" hidden="1" customHeight="1" x14ac:dyDescent="0.2">
      <c r="A224" s="48"/>
      <c r="D224" s="59"/>
    </row>
    <row r="225" spans="1:4" ht="27.75" hidden="1" customHeight="1" x14ac:dyDescent="0.2">
      <c r="A225" s="48"/>
      <c r="D225" s="59"/>
    </row>
    <row r="226" spans="1:4" ht="27.75" hidden="1" customHeight="1" x14ac:dyDescent="0.2">
      <c r="A226" s="48"/>
      <c r="D226" s="59"/>
    </row>
    <row r="227" spans="1:4" ht="27.75" hidden="1" customHeight="1" x14ac:dyDescent="0.2">
      <c r="A227" s="48"/>
      <c r="D227" s="59"/>
    </row>
    <row r="228" spans="1:4" ht="27.75" hidden="1" customHeight="1" x14ac:dyDescent="0.2">
      <c r="A228" s="48"/>
      <c r="D228" s="59"/>
    </row>
    <row r="229" spans="1:4" ht="27.75" hidden="1" customHeight="1" x14ac:dyDescent="0.2">
      <c r="A229" s="48"/>
      <c r="D229" s="59"/>
    </row>
    <row r="230" spans="1:4" ht="27.75" hidden="1" customHeight="1" x14ac:dyDescent="0.2">
      <c r="A230" s="48"/>
      <c r="D230" s="59"/>
    </row>
    <row r="231" spans="1:4" ht="27.75" hidden="1" customHeight="1" x14ac:dyDescent="0.2">
      <c r="A231" s="48"/>
      <c r="D231" s="59"/>
    </row>
    <row r="232" spans="1:4" ht="27.75" hidden="1" customHeight="1" x14ac:dyDescent="0.2">
      <c r="A232" s="48"/>
      <c r="D232" s="59"/>
    </row>
    <row r="233" spans="1:4" ht="27.75" hidden="1" customHeight="1" x14ac:dyDescent="0.2">
      <c r="A233" s="48"/>
      <c r="D233" s="59"/>
    </row>
    <row r="234" spans="1:4" ht="27.75" hidden="1" customHeight="1" x14ac:dyDescent="0.2">
      <c r="A234" s="48"/>
      <c r="D234" s="59"/>
    </row>
    <row r="235" spans="1:4" ht="27.75" hidden="1" customHeight="1" x14ac:dyDescent="0.2">
      <c r="A235" s="48"/>
      <c r="D235" s="59"/>
    </row>
    <row r="236" spans="1:4" ht="27.75" hidden="1" customHeight="1" x14ac:dyDescent="0.2">
      <c r="A236" s="48"/>
      <c r="D236" s="59"/>
    </row>
    <row r="237" spans="1:4" ht="27.75" hidden="1" customHeight="1" x14ac:dyDescent="0.2">
      <c r="A237" s="48"/>
      <c r="D237" s="59"/>
    </row>
    <row r="238" spans="1:4" ht="27.75" hidden="1" customHeight="1" x14ac:dyDescent="0.2">
      <c r="A238" s="48"/>
      <c r="D238" s="59"/>
    </row>
    <row r="239" spans="1:4" ht="27.75" hidden="1" customHeight="1" x14ac:dyDescent="0.2">
      <c r="A239" s="48"/>
      <c r="D239" s="59"/>
    </row>
    <row r="240" spans="1:4" ht="27.75" hidden="1" customHeight="1" x14ac:dyDescent="0.2">
      <c r="A240" s="48"/>
      <c r="D240" s="59"/>
    </row>
    <row r="241" spans="1:4" ht="27.75" hidden="1" customHeight="1" x14ac:dyDescent="0.2">
      <c r="A241" s="48"/>
      <c r="D241" s="59"/>
    </row>
    <row r="242" spans="1:4" ht="27.75" hidden="1" customHeight="1" x14ac:dyDescent="0.2">
      <c r="A242" s="48"/>
      <c r="D242" s="59"/>
    </row>
    <row r="243" spans="1:4" ht="27.75" hidden="1" customHeight="1" x14ac:dyDescent="0.2">
      <c r="A243" s="48"/>
      <c r="D243" s="59"/>
    </row>
    <row r="244" spans="1:4" ht="27.75" hidden="1" customHeight="1" x14ac:dyDescent="0.2">
      <c r="A244" s="48"/>
      <c r="D244" s="59"/>
    </row>
    <row r="245" spans="1:4" ht="27.75" hidden="1" customHeight="1" x14ac:dyDescent="0.2">
      <c r="A245" s="48"/>
      <c r="D245" s="59"/>
    </row>
    <row r="246" spans="1:4" ht="27.75" hidden="1" customHeight="1" x14ac:dyDescent="0.2">
      <c r="A246" s="48"/>
      <c r="D246" s="59"/>
    </row>
    <row r="247" spans="1:4" ht="27.75" hidden="1" customHeight="1" x14ac:dyDescent="0.2">
      <c r="A247" s="48"/>
      <c r="D247" s="59"/>
    </row>
    <row r="248" spans="1:4" ht="27.75" hidden="1" customHeight="1" x14ac:dyDescent="0.2">
      <c r="A248" s="48"/>
      <c r="D248" s="59"/>
    </row>
    <row r="249" spans="1:4" ht="27.75" hidden="1" customHeight="1" x14ac:dyDescent="0.2">
      <c r="A249" s="48"/>
      <c r="D249" s="59"/>
    </row>
    <row r="250" spans="1:4" ht="27.75" hidden="1" customHeight="1" x14ac:dyDescent="0.2">
      <c r="A250" s="48"/>
      <c r="D250" s="59"/>
    </row>
    <row r="251" spans="1:4" ht="27.75" hidden="1" customHeight="1" x14ac:dyDescent="0.2">
      <c r="A251" s="48"/>
      <c r="D251" s="59"/>
    </row>
    <row r="252" spans="1:4" ht="27.75" hidden="1" customHeight="1" x14ac:dyDescent="0.2">
      <c r="A252" s="48"/>
      <c r="D252" s="59"/>
    </row>
    <row r="253" spans="1:4" ht="27.75" hidden="1" customHeight="1" x14ac:dyDescent="0.2">
      <c r="A253" s="48"/>
      <c r="D253" s="59"/>
    </row>
    <row r="254" spans="1:4" ht="27.75" hidden="1" customHeight="1" x14ac:dyDescent="0.2">
      <c r="A254" s="48"/>
      <c r="D254" s="59"/>
    </row>
    <row r="255" spans="1:4" ht="27.75" hidden="1" customHeight="1" x14ac:dyDescent="0.2">
      <c r="A255" s="48"/>
      <c r="D255" s="59"/>
    </row>
    <row r="256" spans="1:4" ht="27.75" hidden="1" customHeight="1" x14ac:dyDescent="0.2">
      <c r="A256" s="48"/>
      <c r="D256" s="59"/>
    </row>
    <row r="257" spans="1:4" ht="27.75" hidden="1" customHeight="1" x14ac:dyDescent="0.2">
      <c r="A257" s="48"/>
      <c r="D257" s="59"/>
    </row>
    <row r="258" spans="1:4" ht="27.75" hidden="1" customHeight="1" x14ac:dyDescent="0.2">
      <c r="A258" s="48"/>
      <c r="D258" s="59"/>
    </row>
    <row r="259" spans="1:4" ht="27.75" hidden="1" customHeight="1" x14ac:dyDescent="0.2">
      <c r="A259" s="48"/>
      <c r="D259" s="59"/>
    </row>
    <row r="260" spans="1:4" ht="27.75" hidden="1" customHeight="1" x14ac:dyDescent="0.2">
      <c r="A260" s="48"/>
      <c r="D260" s="59"/>
    </row>
    <row r="261" spans="1:4" ht="27.75" hidden="1" customHeight="1" x14ac:dyDescent="0.2">
      <c r="A261" s="48"/>
      <c r="D261" s="59"/>
    </row>
    <row r="262" spans="1:4" ht="27.75" hidden="1" customHeight="1" x14ac:dyDescent="0.2">
      <c r="A262" s="48"/>
      <c r="D262" s="59"/>
    </row>
    <row r="263" spans="1:4" ht="27.75" hidden="1" customHeight="1" x14ac:dyDescent="0.2">
      <c r="A263" s="48"/>
      <c r="D263" s="59"/>
    </row>
    <row r="264" spans="1:4" ht="27.75" hidden="1" customHeight="1" x14ac:dyDescent="0.2">
      <c r="A264" s="48"/>
      <c r="D264" s="59"/>
    </row>
    <row r="265" spans="1:4" ht="27.75" hidden="1" customHeight="1" x14ac:dyDescent="0.2">
      <c r="A265" s="48"/>
      <c r="D265" s="59"/>
    </row>
    <row r="266" spans="1:4" ht="27.75" hidden="1" customHeight="1" x14ac:dyDescent="0.2">
      <c r="A266" s="48"/>
      <c r="D266" s="59"/>
    </row>
    <row r="267" spans="1:4" ht="27.75" hidden="1" customHeight="1" x14ac:dyDescent="0.2">
      <c r="A267" s="48"/>
      <c r="D267" s="59"/>
    </row>
    <row r="268" spans="1:4" ht="27.75" hidden="1" customHeight="1" x14ac:dyDescent="0.2">
      <c r="A268" s="48"/>
      <c r="D268" s="59"/>
    </row>
    <row r="269" spans="1:4" ht="27.75" hidden="1" customHeight="1" x14ac:dyDescent="0.2">
      <c r="A269" s="48"/>
      <c r="D269" s="59"/>
    </row>
    <row r="270" spans="1:4" ht="27.75" hidden="1" customHeight="1" x14ac:dyDescent="0.2">
      <c r="A270" s="48"/>
      <c r="D270" s="59"/>
    </row>
    <row r="271" spans="1:4" ht="27.75" hidden="1" customHeight="1" x14ac:dyDescent="0.2">
      <c r="A271" s="48"/>
      <c r="D271" s="59"/>
    </row>
    <row r="272" spans="1:4" ht="27.75" hidden="1" customHeight="1" x14ac:dyDescent="0.2">
      <c r="A272" s="48"/>
      <c r="D272" s="59"/>
    </row>
    <row r="273" spans="1:4" ht="27.75" hidden="1" customHeight="1" x14ac:dyDescent="0.2">
      <c r="A273" s="48"/>
      <c r="D273" s="59"/>
    </row>
    <row r="274" spans="1:4" ht="27.75" hidden="1" customHeight="1" x14ac:dyDescent="0.2">
      <c r="A274" s="48"/>
      <c r="D274" s="59"/>
    </row>
    <row r="275" spans="1:4" ht="27.75" hidden="1" customHeight="1" x14ac:dyDescent="0.2">
      <c r="A275" s="48"/>
      <c r="D275" s="59"/>
    </row>
    <row r="276" spans="1:4" ht="27.75" hidden="1" customHeight="1" x14ac:dyDescent="0.2">
      <c r="A276" s="48"/>
      <c r="D276" s="59"/>
    </row>
    <row r="277" spans="1:4" ht="27.75" hidden="1" customHeight="1" x14ac:dyDescent="0.2">
      <c r="A277" s="48"/>
      <c r="D277" s="59"/>
    </row>
    <row r="278" spans="1:4" ht="27.75" hidden="1" customHeight="1" x14ac:dyDescent="0.2">
      <c r="A278" s="48"/>
      <c r="D278" s="59"/>
    </row>
    <row r="279" spans="1:4" ht="27.75" hidden="1" customHeight="1" x14ac:dyDescent="0.2">
      <c r="A279" s="48"/>
      <c r="D279" s="59"/>
    </row>
    <row r="280" spans="1:4" ht="27.75" hidden="1" customHeight="1" x14ac:dyDescent="0.2">
      <c r="A280" s="48"/>
      <c r="D280" s="59"/>
    </row>
    <row r="281" spans="1:4" ht="27.75" hidden="1" customHeight="1" x14ac:dyDescent="0.2">
      <c r="A281" s="48"/>
      <c r="D281" s="59"/>
    </row>
    <row r="282" spans="1:4" ht="27.75" hidden="1" customHeight="1" x14ac:dyDescent="0.2">
      <c r="A282" s="48"/>
      <c r="D282" s="59"/>
    </row>
    <row r="283" spans="1:4" ht="27.75" hidden="1" customHeight="1" x14ac:dyDescent="0.2">
      <c r="A283" s="48"/>
      <c r="D283" s="59"/>
    </row>
    <row r="284" spans="1:4" ht="27.75" hidden="1" customHeight="1" x14ac:dyDescent="0.2">
      <c r="A284" s="48"/>
      <c r="D284" s="59"/>
    </row>
    <row r="285" spans="1:4" ht="27.75" hidden="1" customHeight="1" x14ac:dyDescent="0.2">
      <c r="A285" s="48"/>
      <c r="D285" s="59"/>
    </row>
    <row r="286" spans="1:4" ht="27.75" hidden="1" customHeight="1" x14ac:dyDescent="0.2">
      <c r="A286" s="48"/>
      <c r="D286" s="59"/>
    </row>
    <row r="287" spans="1:4" ht="27.75" hidden="1" customHeight="1" x14ac:dyDescent="0.2">
      <c r="A287" s="48"/>
      <c r="D287" s="59"/>
    </row>
    <row r="288" spans="1:4" ht="27.75" hidden="1" customHeight="1" x14ac:dyDescent="0.2">
      <c r="A288" s="48"/>
      <c r="D288" s="59"/>
    </row>
    <row r="289" spans="1:4" ht="27.75" hidden="1" customHeight="1" x14ac:dyDescent="0.2">
      <c r="A289" s="48"/>
      <c r="D289" s="59"/>
    </row>
    <row r="290" spans="1:4" ht="27.75" hidden="1" customHeight="1" x14ac:dyDescent="0.2">
      <c r="A290" s="48"/>
      <c r="D290" s="59"/>
    </row>
    <row r="291" spans="1:4" ht="27.75" hidden="1" customHeight="1" x14ac:dyDescent="0.2">
      <c r="A291" s="48"/>
      <c r="D291" s="59"/>
    </row>
    <row r="292" spans="1:4" ht="27.75" hidden="1" customHeight="1" x14ac:dyDescent="0.2">
      <c r="A292" s="48"/>
      <c r="D292" s="59"/>
    </row>
    <row r="293" spans="1:4" ht="27.75" hidden="1" customHeight="1" x14ac:dyDescent="0.2">
      <c r="A293" s="48"/>
      <c r="D293" s="59"/>
    </row>
    <row r="294" spans="1:4" ht="27.75" hidden="1" customHeight="1" x14ac:dyDescent="0.2">
      <c r="A294" s="48"/>
      <c r="D294" s="59"/>
    </row>
    <row r="295" spans="1:4" ht="27.75" hidden="1" customHeight="1" x14ac:dyDescent="0.2">
      <c r="A295" s="48"/>
      <c r="D295" s="59"/>
    </row>
    <row r="296" spans="1:4" ht="27.75" hidden="1" customHeight="1" x14ac:dyDescent="0.2">
      <c r="A296" s="48"/>
      <c r="D296" s="59"/>
    </row>
    <row r="297" spans="1:4" ht="27.75" hidden="1" customHeight="1" x14ac:dyDescent="0.2">
      <c r="A297" s="48"/>
      <c r="D297" s="59"/>
    </row>
    <row r="298" spans="1:4" ht="27.75" hidden="1" customHeight="1" x14ac:dyDescent="0.2">
      <c r="A298" s="48"/>
      <c r="D298" s="59"/>
    </row>
    <row r="299" spans="1:4" ht="27.75" hidden="1" customHeight="1" x14ac:dyDescent="0.2">
      <c r="A299" s="48"/>
      <c r="D299" s="59"/>
    </row>
    <row r="300" spans="1:4" ht="27.75" hidden="1" customHeight="1" x14ac:dyDescent="0.2">
      <c r="A300" s="48"/>
      <c r="D300" s="59"/>
    </row>
    <row r="301" spans="1:4" ht="27.75" hidden="1" customHeight="1" x14ac:dyDescent="0.2">
      <c r="A301" s="48"/>
      <c r="D301" s="59"/>
    </row>
    <row r="302" spans="1:4" ht="27.75" hidden="1" customHeight="1" x14ac:dyDescent="0.2">
      <c r="A302" s="48"/>
      <c r="D302" s="59"/>
    </row>
    <row r="303" spans="1:4" ht="27.75" hidden="1" customHeight="1" x14ac:dyDescent="0.2">
      <c r="A303" s="48"/>
      <c r="D303" s="59"/>
    </row>
    <row r="304" spans="1:4" ht="27.75" hidden="1" customHeight="1" x14ac:dyDescent="0.2">
      <c r="A304" s="48"/>
      <c r="D304" s="59"/>
    </row>
    <row r="305" spans="1:4" ht="27.75" hidden="1" customHeight="1" x14ac:dyDescent="0.2">
      <c r="A305" s="48"/>
      <c r="D305" s="59"/>
    </row>
    <row r="306" spans="1:4" ht="27.75" hidden="1" customHeight="1" x14ac:dyDescent="0.2">
      <c r="A306" s="48"/>
      <c r="D306" s="59"/>
    </row>
    <row r="307" spans="1:4" ht="27.75" hidden="1" customHeight="1" x14ac:dyDescent="0.2">
      <c r="A307" s="48"/>
      <c r="D307" s="59"/>
    </row>
    <row r="308" spans="1:4" ht="27.75" hidden="1" customHeight="1" x14ac:dyDescent="0.2">
      <c r="A308" s="48"/>
      <c r="D308" s="59"/>
    </row>
    <row r="309" spans="1:4" ht="27.75" hidden="1" customHeight="1" x14ac:dyDescent="0.2">
      <c r="A309" s="48"/>
      <c r="D309" s="59"/>
    </row>
    <row r="310" spans="1:4" ht="27.75" hidden="1" customHeight="1" x14ac:dyDescent="0.2">
      <c r="A310" s="48"/>
      <c r="D310" s="59"/>
    </row>
    <row r="311" spans="1:4" ht="27.75" hidden="1" customHeight="1" x14ac:dyDescent="0.2">
      <c r="A311" s="48"/>
      <c r="D311" s="59"/>
    </row>
    <row r="312" spans="1:4" ht="27.75" hidden="1" customHeight="1" x14ac:dyDescent="0.2">
      <c r="A312" s="48"/>
      <c r="D312" s="59"/>
    </row>
    <row r="313" spans="1:4" ht="27.75" hidden="1" customHeight="1" x14ac:dyDescent="0.2">
      <c r="A313" s="48"/>
      <c r="D313" s="59"/>
    </row>
    <row r="314" spans="1:4" ht="27.75" hidden="1" customHeight="1" x14ac:dyDescent="0.2">
      <c r="A314" s="48"/>
      <c r="D314" s="59"/>
    </row>
    <row r="315" spans="1:4" ht="27.75" hidden="1" customHeight="1" x14ac:dyDescent="0.2">
      <c r="A315" s="48"/>
      <c r="D315" s="59"/>
    </row>
    <row r="316" spans="1:4" ht="27.75" hidden="1" customHeight="1" x14ac:dyDescent="0.2">
      <c r="A316" s="48"/>
      <c r="D316" s="59"/>
    </row>
    <row r="317" spans="1:4" ht="27.75" hidden="1" customHeight="1" x14ac:dyDescent="0.2">
      <c r="A317" s="48"/>
      <c r="D317" s="59"/>
    </row>
    <row r="318" spans="1:4" ht="27.75" hidden="1" customHeight="1" x14ac:dyDescent="0.2">
      <c r="A318" s="48"/>
      <c r="D318" s="59"/>
    </row>
    <row r="319" spans="1:4" ht="27.75" hidden="1" customHeight="1" x14ac:dyDescent="0.2">
      <c r="A319" s="48"/>
      <c r="D319" s="59"/>
    </row>
    <row r="320" spans="1:4" ht="27.75" hidden="1" customHeight="1" x14ac:dyDescent="0.2">
      <c r="A320" s="48"/>
      <c r="D320" s="59"/>
    </row>
    <row r="321" spans="1:4" ht="27.75" hidden="1" customHeight="1" x14ac:dyDescent="0.2">
      <c r="A321" s="48"/>
      <c r="D321" s="59"/>
    </row>
    <row r="322" spans="1:4" ht="27.75" hidden="1" customHeight="1" x14ac:dyDescent="0.2">
      <c r="A322" s="48"/>
      <c r="D322" s="59"/>
    </row>
    <row r="323" spans="1:4" ht="27.75" hidden="1" customHeight="1" x14ac:dyDescent="0.2">
      <c r="A323" s="48"/>
      <c r="D323" s="59"/>
    </row>
    <row r="324" spans="1:4" ht="27.75" hidden="1" customHeight="1" x14ac:dyDescent="0.2">
      <c r="A324" s="48"/>
      <c r="D324" s="59"/>
    </row>
    <row r="325" spans="1:4" ht="27.75" hidden="1" customHeight="1" x14ac:dyDescent="0.2">
      <c r="A325" s="48"/>
      <c r="D325" s="59"/>
    </row>
    <row r="326" spans="1:4" ht="27.75" hidden="1" customHeight="1" x14ac:dyDescent="0.2">
      <c r="A326" s="48"/>
      <c r="D326" s="59"/>
    </row>
    <row r="327" spans="1:4" ht="27.75" hidden="1" customHeight="1" x14ac:dyDescent="0.2">
      <c r="A327" s="48"/>
      <c r="D327" s="59"/>
    </row>
    <row r="328" spans="1:4" ht="27.75" hidden="1" customHeight="1" x14ac:dyDescent="0.2">
      <c r="A328" s="48"/>
      <c r="D328" s="59"/>
    </row>
    <row r="329" spans="1:4" ht="27.75" hidden="1" customHeight="1" x14ac:dyDescent="0.2">
      <c r="A329" s="48"/>
      <c r="D329" s="59"/>
    </row>
    <row r="330" spans="1:4" ht="27.75" hidden="1" customHeight="1" x14ac:dyDescent="0.2">
      <c r="A330" s="48"/>
      <c r="D330" s="59"/>
    </row>
    <row r="331" spans="1:4" ht="27.75" hidden="1" customHeight="1" x14ac:dyDescent="0.2">
      <c r="A331" s="48"/>
      <c r="D331" s="59"/>
    </row>
    <row r="332" spans="1:4" ht="27.75" hidden="1" customHeight="1" x14ac:dyDescent="0.2">
      <c r="A332" s="48"/>
      <c r="D332" s="59"/>
    </row>
    <row r="333" spans="1:4" ht="27.75" hidden="1" customHeight="1" x14ac:dyDescent="0.2">
      <c r="A333" s="48"/>
      <c r="D333" s="59"/>
    </row>
    <row r="334" spans="1:4" ht="27.75" hidden="1" customHeight="1" x14ac:dyDescent="0.2">
      <c r="A334" s="48"/>
      <c r="D334" s="59"/>
    </row>
    <row r="335" spans="1:4" ht="27.75" hidden="1" customHeight="1" x14ac:dyDescent="0.2">
      <c r="A335" s="48"/>
      <c r="D335" s="59"/>
    </row>
    <row r="336" spans="1:4" ht="27.75" hidden="1" customHeight="1" x14ac:dyDescent="0.2">
      <c r="A336" s="48"/>
      <c r="D336" s="59"/>
    </row>
    <row r="337" spans="1:4" ht="27.75" hidden="1" customHeight="1" x14ac:dyDescent="0.2">
      <c r="A337" s="48"/>
      <c r="D337" s="59"/>
    </row>
    <row r="338" spans="1:4" ht="27.75" hidden="1" customHeight="1" x14ac:dyDescent="0.2">
      <c r="A338" s="48"/>
      <c r="D338" s="59"/>
    </row>
    <row r="339" spans="1:4" ht="27.75" hidden="1" customHeight="1" x14ac:dyDescent="0.2">
      <c r="A339" s="48"/>
      <c r="D339" s="59"/>
    </row>
    <row r="340" spans="1:4" ht="27.75" hidden="1" customHeight="1" x14ac:dyDescent="0.2">
      <c r="A340" s="48"/>
      <c r="D340" s="59"/>
    </row>
    <row r="341" spans="1:4" ht="27.75" hidden="1" customHeight="1" x14ac:dyDescent="0.2">
      <c r="A341" s="48"/>
      <c r="D341" s="59"/>
    </row>
    <row r="342" spans="1:4" ht="27.75" hidden="1" customHeight="1" x14ac:dyDescent="0.2">
      <c r="A342" s="48"/>
      <c r="D342" s="59"/>
    </row>
    <row r="343" spans="1:4" ht="27.75" hidden="1" customHeight="1" x14ac:dyDescent="0.2">
      <c r="A343" s="48"/>
      <c r="D343" s="59"/>
    </row>
    <row r="344" spans="1:4" ht="27.75" hidden="1" customHeight="1" x14ac:dyDescent="0.2">
      <c r="A344" s="48"/>
      <c r="D344" s="59"/>
    </row>
    <row r="345" spans="1:4" ht="27.75" hidden="1" customHeight="1" x14ac:dyDescent="0.2">
      <c r="A345" s="48"/>
      <c r="D345" s="59"/>
    </row>
    <row r="346" spans="1:4" ht="27.75" hidden="1" customHeight="1" x14ac:dyDescent="0.2">
      <c r="A346" s="48"/>
      <c r="D346" s="59"/>
    </row>
    <row r="347" spans="1:4" ht="27.75" hidden="1" customHeight="1" x14ac:dyDescent="0.2">
      <c r="A347" s="48"/>
      <c r="D347" s="59"/>
    </row>
    <row r="348" spans="1:4" ht="27.75" hidden="1" customHeight="1" x14ac:dyDescent="0.2">
      <c r="A348" s="48"/>
      <c r="D348" s="59"/>
    </row>
    <row r="349" spans="1:4" ht="27.75" hidden="1" customHeight="1" x14ac:dyDescent="0.2">
      <c r="A349" s="48"/>
      <c r="D349" s="59"/>
    </row>
    <row r="350" spans="1:4" ht="27.75" hidden="1" customHeight="1" x14ac:dyDescent="0.2">
      <c r="A350" s="48"/>
      <c r="D350" s="59"/>
    </row>
    <row r="351" spans="1:4" ht="27.75" hidden="1" customHeight="1" x14ac:dyDescent="0.2">
      <c r="A351" s="48"/>
      <c r="D351" s="59"/>
    </row>
    <row r="352" spans="1:4" ht="27.75" hidden="1" customHeight="1" x14ac:dyDescent="0.2">
      <c r="A352" s="48"/>
      <c r="D352" s="59"/>
    </row>
    <row r="353" spans="1:4" ht="27.75" hidden="1" customHeight="1" x14ac:dyDescent="0.2">
      <c r="A353" s="48"/>
      <c r="D353" s="59"/>
    </row>
    <row r="354" spans="1:4" ht="27.75" hidden="1" customHeight="1" x14ac:dyDescent="0.2">
      <c r="A354" s="48"/>
      <c r="D354" s="59"/>
    </row>
    <row r="355" spans="1:4" ht="27.75" hidden="1" customHeight="1" x14ac:dyDescent="0.2">
      <c r="A355" s="48"/>
      <c r="D355" s="59"/>
    </row>
    <row r="356" spans="1:4" ht="27.75" hidden="1" customHeight="1" x14ac:dyDescent="0.2">
      <c r="A356" s="48"/>
      <c r="D356" s="59"/>
    </row>
    <row r="357" spans="1:4" ht="27.75" hidden="1" customHeight="1" x14ac:dyDescent="0.2">
      <c r="A357" s="48"/>
      <c r="D357" s="59"/>
    </row>
    <row r="358" spans="1:4" ht="27.75" hidden="1" customHeight="1" x14ac:dyDescent="0.2">
      <c r="A358" s="48"/>
      <c r="D358" s="59"/>
    </row>
    <row r="359" spans="1:4" ht="27.75" hidden="1" customHeight="1" x14ac:dyDescent="0.2">
      <c r="A359" s="48"/>
      <c r="D359" s="59"/>
    </row>
    <row r="360" spans="1:4" ht="27.75" hidden="1" customHeight="1" x14ac:dyDescent="0.2">
      <c r="A360" s="48"/>
      <c r="D360" s="59"/>
    </row>
    <row r="361" spans="1:4" ht="27.75" hidden="1" customHeight="1" x14ac:dyDescent="0.2">
      <c r="A361" s="48"/>
      <c r="D361" s="59"/>
    </row>
    <row r="362" spans="1:4" ht="27.75" hidden="1" customHeight="1" x14ac:dyDescent="0.2">
      <c r="A362" s="48"/>
      <c r="D362" s="59"/>
    </row>
    <row r="363" spans="1:4" ht="27.75" hidden="1" customHeight="1" x14ac:dyDescent="0.2">
      <c r="A363" s="48"/>
      <c r="D363" s="59"/>
    </row>
    <row r="364" spans="1:4" ht="27.75" hidden="1" customHeight="1" x14ac:dyDescent="0.2">
      <c r="A364" s="48"/>
      <c r="D364" s="59"/>
    </row>
    <row r="365" spans="1:4" ht="27.75" hidden="1" customHeight="1" x14ac:dyDescent="0.2">
      <c r="A365" s="48"/>
      <c r="D365" s="59"/>
    </row>
    <row r="366" spans="1:4" ht="27.75" hidden="1" customHeight="1" x14ac:dyDescent="0.2">
      <c r="A366" s="48"/>
      <c r="D366" s="59"/>
    </row>
    <row r="367" spans="1:4" ht="27.75" hidden="1" customHeight="1" x14ac:dyDescent="0.2">
      <c r="A367" s="48"/>
      <c r="D367" s="59"/>
    </row>
    <row r="368" spans="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13" ht="27.75" hidden="1" customHeight="1" x14ac:dyDescent="0.2">
      <c r="A561" s="48"/>
      <c r="D561" s="59"/>
    </row>
    <row r="562" spans="1:13" ht="27.75" hidden="1" customHeight="1" x14ac:dyDescent="0.2">
      <c r="A562" s="48"/>
      <c r="D562" s="59"/>
    </row>
    <row r="563" spans="1:13" ht="27.75" hidden="1" customHeight="1" x14ac:dyDescent="0.2">
      <c r="A563" s="48"/>
      <c r="D563" s="59"/>
    </row>
    <row r="564" spans="1:13" ht="27.75" hidden="1" customHeight="1" x14ac:dyDescent="0.2">
      <c r="A564" s="48"/>
      <c r="D564" s="59"/>
    </row>
    <row r="565" spans="1:13" ht="27.75" hidden="1" customHeight="1" x14ac:dyDescent="0.2">
      <c r="A565" s="48"/>
      <c r="D565" s="59"/>
    </row>
    <row r="566" spans="1:13" ht="27.75" hidden="1" customHeight="1" x14ac:dyDescent="0.2">
      <c r="A566" s="48"/>
      <c r="D566" s="59"/>
    </row>
    <row r="567" spans="1:13" ht="27.75" hidden="1" customHeight="1" x14ac:dyDescent="0.2">
      <c r="A567" s="48"/>
      <c r="D567" s="59"/>
    </row>
    <row r="568" spans="1:13" ht="14" hidden="1" x14ac:dyDescent="0.2">
      <c r="A568" s="48"/>
      <c r="D568" s="59"/>
    </row>
    <row r="569" spans="1:13" s="74" customFormat="1" ht="29.25" hidden="1" customHeight="1" x14ac:dyDescent="0.2">
      <c r="A569" s="48"/>
      <c r="B569" s="14"/>
      <c r="C569" s="14"/>
      <c r="D569" s="59"/>
      <c r="E569" s="14"/>
      <c r="F569" s="45"/>
      <c r="G569" s="14"/>
      <c r="H569" s="14"/>
      <c r="I569" s="14"/>
      <c r="J569" s="14"/>
      <c r="K569" s="14"/>
      <c r="L569" s="14"/>
      <c r="M569" s="14"/>
    </row>
    <row r="570" spans="1:13" ht="14" hidden="1" x14ac:dyDescent="0.2">
      <c r="A570" s="48"/>
      <c r="D570" s="59"/>
      <c r="M570" s="74"/>
    </row>
    <row r="571" spans="1:13" ht="14" hidden="1" x14ac:dyDescent="0.2">
      <c r="A571" s="48"/>
      <c r="D571" s="59"/>
    </row>
    <row r="572" spans="1:13" ht="14" hidden="1" x14ac:dyDescent="0.2">
      <c r="A572" s="48"/>
      <c r="D572" s="59"/>
    </row>
    <row r="573" spans="1:13" ht="14" hidden="1" x14ac:dyDescent="0.2">
      <c r="A573" s="48"/>
      <c r="D573" s="59"/>
    </row>
    <row r="574" spans="1:13" ht="14" hidden="1" x14ac:dyDescent="0.2">
      <c r="L574" s="74"/>
    </row>
    <row r="575" spans="1:13" ht="14" hidden="1" x14ac:dyDescent="0.2">
      <c r="A575" s="74"/>
      <c r="B575" s="74"/>
      <c r="C575" s="74"/>
      <c r="D575" s="74"/>
      <c r="E575" s="74"/>
      <c r="F575" s="90"/>
      <c r="G575" s="74"/>
      <c r="H575" s="74"/>
      <c r="I575" s="74"/>
      <c r="J575" s="74"/>
      <c r="K575" s="74"/>
    </row>
    <row r="576" spans="1:13" ht="14" hidden="1" x14ac:dyDescent="0.2"/>
    <row r="577" ht="14" hidden="1" x14ac:dyDescent="0.2"/>
    <row r="578" ht="14" hidden="1" x14ac:dyDescent="0.2"/>
    <row r="579" ht="14" hidden="1" x14ac:dyDescent="0.2"/>
    <row r="580" ht="14" hidden="1" x14ac:dyDescent="0.2"/>
    <row r="581" ht="14" hidden="1" x14ac:dyDescent="0.2"/>
    <row r="582" ht="14" hidden="1" x14ac:dyDescent="0.2"/>
    <row r="583" ht="14" hidden="1" x14ac:dyDescent="0.2"/>
    <row r="584" ht="14" hidden="1" x14ac:dyDescent="0.2"/>
    <row r="585" ht="14" hidden="1" x14ac:dyDescent="0.2"/>
    <row r="586" ht="14" hidden="1" x14ac:dyDescent="0.2"/>
    <row r="587" ht="14" hidden="1" x14ac:dyDescent="0.2"/>
    <row r="588" ht="14" hidden="1" x14ac:dyDescent="0.2"/>
    <row r="589" ht="14" hidden="1" x14ac:dyDescent="0.2"/>
    <row r="590" ht="14" hidden="1" x14ac:dyDescent="0.2"/>
    <row r="591" ht="14" hidden="1" x14ac:dyDescent="0.2"/>
    <row r="592" ht="14" hidden="1" x14ac:dyDescent="0.2"/>
    <row r="593" ht="14" hidden="1" x14ac:dyDescent="0.2"/>
    <row r="594" ht="14" hidden="1" x14ac:dyDescent="0.2"/>
    <row r="595" ht="14" hidden="1" x14ac:dyDescent="0.2"/>
    <row r="596" ht="14" hidden="1" x14ac:dyDescent="0.2"/>
    <row r="597" ht="14" hidden="1" x14ac:dyDescent="0.2"/>
    <row r="598" ht="14" hidden="1" x14ac:dyDescent="0.2"/>
    <row r="599" ht="14" hidden="1" x14ac:dyDescent="0.2"/>
    <row r="600" ht="14" hidden="1" x14ac:dyDescent="0.2"/>
    <row r="601" ht="14" hidden="1" x14ac:dyDescent="0.2"/>
    <row r="602" ht="14" hidden="1" x14ac:dyDescent="0.2"/>
    <row r="603" ht="14" hidden="1" x14ac:dyDescent="0.2"/>
    <row r="604" ht="14" hidden="1" x14ac:dyDescent="0.2"/>
    <row r="605" ht="14" hidden="1" x14ac:dyDescent="0.2"/>
    <row r="606" ht="14" hidden="1" x14ac:dyDescent="0.2"/>
    <row r="607" ht="14" hidden="1" x14ac:dyDescent="0.2"/>
    <row r="608" ht="14" hidden="1" x14ac:dyDescent="0.2"/>
    <row r="609" ht="14" hidden="1" x14ac:dyDescent="0.2"/>
    <row r="610" ht="14" hidden="1" x14ac:dyDescent="0.2"/>
    <row r="611" ht="14" hidden="1" x14ac:dyDescent="0.2"/>
    <row r="612" ht="14" hidden="1" x14ac:dyDescent="0.2"/>
    <row r="613" ht="14" hidden="1" x14ac:dyDescent="0.2"/>
    <row r="614" ht="14" hidden="1" x14ac:dyDescent="0.2"/>
    <row r="615" ht="14" hidden="1" x14ac:dyDescent="0.2"/>
    <row r="616" ht="14" hidden="1" x14ac:dyDescent="0.2"/>
    <row r="617" ht="14" hidden="1" x14ac:dyDescent="0.2"/>
    <row r="618" ht="14" hidden="1" x14ac:dyDescent="0.2"/>
    <row r="619" ht="14" hidden="1" x14ac:dyDescent="0.2"/>
    <row r="620" ht="14" hidden="1" x14ac:dyDescent="0.2"/>
    <row r="621" ht="14" hidden="1" x14ac:dyDescent="0.2"/>
    <row r="622" ht="14" hidden="1" x14ac:dyDescent="0.2"/>
    <row r="623" ht="14" hidden="1" x14ac:dyDescent="0.2"/>
    <row r="624" ht="14" hidden="1" x14ac:dyDescent="0.2"/>
    <row r="625" ht="14" hidden="1" x14ac:dyDescent="0.2"/>
    <row r="626" ht="14" hidden="1" x14ac:dyDescent="0.2"/>
    <row r="627" ht="14" hidden="1" x14ac:dyDescent="0.2"/>
    <row r="628" ht="14" hidden="1" x14ac:dyDescent="0.2"/>
    <row r="629" ht="14" hidden="1" x14ac:dyDescent="0.2"/>
    <row r="630" ht="14" hidden="1" x14ac:dyDescent="0.2"/>
    <row r="631" ht="14" hidden="1" x14ac:dyDescent="0.2"/>
    <row r="632" ht="14" hidden="1" x14ac:dyDescent="0.2"/>
    <row r="633" ht="14" hidden="1" x14ac:dyDescent="0.2"/>
    <row r="634" ht="14" hidden="1" x14ac:dyDescent="0.2"/>
    <row r="635" ht="14" hidden="1" x14ac:dyDescent="0.2"/>
    <row r="636" ht="14" hidden="1" x14ac:dyDescent="0.2"/>
    <row r="637" ht="14" hidden="1" x14ac:dyDescent="0.2"/>
    <row r="638" ht="14" hidden="1" x14ac:dyDescent="0.2"/>
    <row r="639" ht="14" hidden="1" x14ac:dyDescent="0.2"/>
    <row r="640" ht="14" hidden="1" x14ac:dyDescent="0.2"/>
    <row r="641" ht="14" hidden="1" x14ac:dyDescent="0.2"/>
    <row r="642" ht="14" hidden="1" x14ac:dyDescent="0.2"/>
    <row r="643" ht="14" hidden="1" x14ac:dyDescent="0.2"/>
    <row r="644" ht="14" hidden="1" x14ac:dyDescent="0.2"/>
    <row r="645" ht="14" hidden="1" x14ac:dyDescent="0.2"/>
    <row r="646" ht="14" hidden="1" x14ac:dyDescent="0.2"/>
    <row r="647" ht="14" hidden="1" x14ac:dyDescent="0.2"/>
    <row r="648" ht="14" hidden="1" x14ac:dyDescent="0.2"/>
    <row r="649" ht="14" hidden="1" x14ac:dyDescent="0.2"/>
    <row r="650" ht="14" hidden="1" x14ac:dyDescent="0.2"/>
    <row r="651" ht="14" hidden="1" x14ac:dyDescent="0.2"/>
    <row r="652" ht="14" hidden="1" x14ac:dyDescent="0.2"/>
    <row r="653" ht="14" hidden="1" x14ac:dyDescent="0.2"/>
    <row r="654" ht="14" hidden="1" x14ac:dyDescent="0.2"/>
    <row r="655" ht="14" hidden="1" x14ac:dyDescent="0.2"/>
    <row r="656" ht="14" hidden="1" x14ac:dyDescent="0.2"/>
    <row r="657" ht="14" hidden="1" x14ac:dyDescent="0.2"/>
    <row r="658" ht="14" hidden="1" x14ac:dyDescent="0.2"/>
    <row r="659" ht="14" hidden="1" x14ac:dyDescent="0.2"/>
    <row r="660" ht="14" hidden="1" x14ac:dyDescent="0.2"/>
    <row r="661" ht="14" hidden="1" x14ac:dyDescent="0.2"/>
    <row r="662" ht="14" hidden="1" x14ac:dyDescent="0.2"/>
    <row r="663" ht="14" hidden="1" x14ac:dyDescent="0.2"/>
    <row r="664" ht="14" hidden="1" x14ac:dyDescent="0.2"/>
    <row r="665" ht="14" hidden="1" x14ac:dyDescent="0.2"/>
    <row r="666" ht="14" hidden="1" x14ac:dyDescent="0.2"/>
    <row r="667" ht="14" hidden="1" x14ac:dyDescent="0.2"/>
    <row r="668" ht="14" hidden="1" x14ac:dyDescent="0.2"/>
    <row r="669" ht="14" hidden="1" x14ac:dyDescent="0.2"/>
    <row r="670" ht="14" hidden="1" x14ac:dyDescent="0.2"/>
    <row r="671" ht="14" hidden="1" x14ac:dyDescent="0.2"/>
    <row r="672" ht="14" hidden="1" x14ac:dyDescent="0.2"/>
    <row r="673" ht="14" hidden="1" x14ac:dyDescent="0.2"/>
    <row r="674" ht="14" hidden="1" x14ac:dyDescent="0.2"/>
    <row r="675" ht="14" hidden="1" x14ac:dyDescent="0.2"/>
    <row r="676" ht="14" hidden="1" x14ac:dyDescent="0.2"/>
    <row r="677" ht="14" hidden="1" x14ac:dyDescent="0.2"/>
    <row r="678" ht="14" hidden="1" x14ac:dyDescent="0.2"/>
    <row r="679" ht="14" hidden="1" x14ac:dyDescent="0.2"/>
    <row r="680" ht="14" hidden="1" x14ac:dyDescent="0.2"/>
    <row r="681" ht="14" hidden="1" x14ac:dyDescent="0.2"/>
    <row r="682" ht="14" hidden="1" x14ac:dyDescent="0.2"/>
    <row r="683" ht="14" hidden="1" x14ac:dyDescent="0.2"/>
    <row r="684" ht="14" hidden="1" x14ac:dyDescent="0.2"/>
    <row r="685" ht="14" hidden="1" x14ac:dyDescent="0.2"/>
    <row r="686" ht="14" hidden="1" x14ac:dyDescent="0.2"/>
    <row r="687" ht="14" hidden="1" x14ac:dyDescent="0.2"/>
    <row r="688" ht="14" hidden="1" x14ac:dyDescent="0.2"/>
    <row r="689" ht="14" hidden="1" x14ac:dyDescent="0.2"/>
    <row r="690" ht="14" hidden="1" x14ac:dyDescent="0.2"/>
    <row r="691" ht="14" hidden="1" x14ac:dyDescent="0.2"/>
    <row r="692" ht="14" hidden="1" x14ac:dyDescent="0.2"/>
    <row r="693" ht="14" hidden="1" x14ac:dyDescent="0.2"/>
    <row r="694" ht="14" hidden="1" x14ac:dyDescent="0.2"/>
    <row r="695" ht="14" hidden="1" x14ac:dyDescent="0.2"/>
    <row r="696" ht="14" hidden="1" x14ac:dyDescent="0.2"/>
    <row r="697" ht="14" hidden="1" x14ac:dyDescent="0.2"/>
    <row r="698" ht="14" hidden="1" x14ac:dyDescent="0.2"/>
    <row r="699" ht="14" hidden="1" x14ac:dyDescent="0.2"/>
    <row r="700" ht="14" hidden="1" x14ac:dyDescent="0.2"/>
    <row r="701" ht="14" hidden="1" x14ac:dyDescent="0.2"/>
    <row r="702" ht="14" hidden="1" x14ac:dyDescent="0.2"/>
    <row r="703" ht="14" hidden="1" x14ac:dyDescent="0.2"/>
    <row r="704" ht="14" hidden="1" x14ac:dyDescent="0.2"/>
    <row r="705" ht="14" hidden="1" x14ac:dyDescent="0.2"/>
    <row r="706" ht="14" hidden="1" x14ac:dyDescent="0.2"/>
    <row r="707" ht="14" hidden="1" x14ac:dyDescent="0.2"/>
    <row r="708" ht="14" hidden="1" x14ac:dyDescent="0.2"/>
    <row r="709" ht="14" hidden="1" x14ac:dyDescent="0.2"/>
    <row r="710" ht="14" hidden="1" x14ac:dyDescent="0.2"/>
    <row r="711" ht="14" hidden="1" x14ac:dyDescent="0.2"/>
    <row r="712" ht="14" hidden="1" x14ac:dyDescent="0.2"/>
    <row r="713" ht="14" hidden="1" x14ac:dyDescent="0.2"/>
    <row r="714" ht="14" hidden="1" x14ac:dyDescent="0.2"/>
    <row r="715" ht="14" hidden="1" x14ac:dyDescent="0.2"/>
    <row r="716" ht="14" hidden="1" x14ac:dyDescent="0.2"/>
    <row r="717" ht="14" hidden="1" x14ac:dyDescent="0.2"/>
    <row r="718" ht="14" hidden="1" x14ac:dyDescent="0.2"/>
    <row r="719" ht="14" hidden="1" x14ac:dyDescent="0.2"/>
    <row r="720" ht="14" hidden="1" x14ac:dyDescent="0.2"/>
    <row r="721" ht="14" hidden="1" x14ac:dyDescent="0.2"/>
    <row r="722" ht="14" hidden="1" x14ac:dyDescent="0.2"/>
    <row r="723" ht="14" hidden="1" x14ac:dyDescent="0.2"/>
    <row r="724" ht="14" hidden="1" x14ac:dyDescent="0.2"/>
    <row r="725" ht="14" hidden="1" x14ac:dyDescent="0.2"/>
    <row r="726" ht="14" hidden="1" x14ac:dyDescent="0.2"/>
    <row r="727" ht="14" hidden="1" x14ac:dyDescent="0.2"/>
    <row r="728" ht="14" hidden="1" x14ac:dyDescent="0.2"/>
    <row r="729" ht="14" hidden="1" x14ac:dyDescent="0.2"/>
    <row r="730" ht="14" hidden="1" x14ac:dyDescent="0.2"/>
    <row r="731" ht="14" hidden="1" x14ac:dyDescent="0.2"/>
    <row r="732" ht="14" hidden="1" x14ac:dyDescent="0.2"/>
    <row r="733" ht="14" hidden="1" x14ac:dyDescent="0.2"/>
    <row r="734" ht="14" hidden="1" x14ac:dyDescent="0.2"/>
    <row r="735" ht="14" hidden="1" x14ac:dyDescent="0.2"/>
    <row r="736" ht="14" hidden="1" x14ac:dyDescent="0.2"/>
    <row r="737" ht="14" hidden="1" x14ac:dyDescent="0.2"/>
    <row r="738" ht="14" hidden="1" x14ac:dyDescent="0.2"/>
    <row r="739" ht="14" hidden="1" x14ac:dyDescent="0.2"/>
    <row r="740" ht="14" hidden="1" x14ac:dyDescent="0.2"/>
    <row r="741" ht="14" hidden="1" x14ac:dyDescent="0.2"/>
    <row r="742" ht="14" hidden="1" x14ac:dyDescent="0.2"/>
    <row r="743" ht="14" hidden="1" x14ac:dyDescent="0.2"/>
    <row r="744" ht="14" hidden="1" x14ac:dyDescent="0.2"/>
    <row r="745" ht="14" hidden="1" x14ac:dyDescent="0.2"/>
    <row r="746" ht="14" hidden="1" x14ac:dyDescent="0.2"/>
    <row r="747" ht="14" hidden="1" x14ac:dyDescent="0.2"/>
    <row r="748" ht="14" hidden="1" x14ac:dyDescent="0.2"/>
    <row r="749" ht="14" hidden="1" x14ac:dyDescent="0.2"/>
    <row r="750" ht="14" hidden="1" x14ac:dyDescent="0.2"/>
    <row r="751" ht="14" hidden="1" x14ac:dyDescent="0.2"/>
    <row r="752" ht="14" hidden="1" x14ac:dyDescent="0.2"/>
    <row r="753" ht="14" hidden="1" x14ac:dyDescent="0.2"/>
    <row r="754" ht="14" hidden="1" x14ac:dyDescent="0.2"/>
    <row r="755" ht="14" hidden="1" x14ac:dyDescent="0.2"/>
    <row r="756" ht="14" hidden="1" x14ac:dyDescent="0.2"/>
    <row r="757" ht="14" hidden="1" x14ac:dyDescent="0.2"/>
    <row r="758" ht="14" hidden="1" x14ac:dyDescent="0.2"/>
    <row r="759" ht="14" hidden="1" x14ac:dyDescent="0.2"/>
    <row r="760" ht="14" hidden="1" x14ac:dyDescent="0.2"/>
    <row r="761" ht="14" hidden="1" x14ac:dyDescent="0.2"/>
    <row r="762" ht="14" hidden="1" x14ac:dyDescent="0.2"/>
    <row r="763" ht="14" hidden="1" x14ac:dyDescent="0.2"/>
    <row r="764" ht="14" hidden="1" x14ac:dyDescent="0.2"/>
    <row r="765" ht="14" hidden="1" x14ac:dyDescent="0.2"/>
    <row r="766" ht="14" hidden="1" x14ac:dyDescent="0.2"/>
    <row r="767" ht="14" hidden="1" x14ac:dyDescent="0.2"/>
    <row r="768" ht="14" hidden="1" x14ac:dyDescent="0.2"/>
    <row r="769" ht="14" hidden="1" x14ac:dyDescent="0.2"/>
    <row r="770" ht="14" hidden="1" x14ac:dyDescent="0.2"/>
    <row r="771" ht="14" hidden="1" x14ac:dyDescent="0.2"/>
    <row r="772" ht="14" hidden="1" x14ac:dyDescent="0.2"/>
    <row r="773" ht="14" hidden="1" x14ac:dyDescent="0.2"/>
    <row r="774" ht="14" hidden="1" x14ac:dyDescent="0.2"/>
    <row r="775" ht="14" hidden="1" x14ac:dyDescent="0.2"/>
    <row r="776" ht="14" hidden="1" x14ac:dyDescent="0.2"/>
    <row r="777" ht="14" hidden="1" x14ac:dyDescent="0.2"/>
    <row r="778" ht="14" hidden="1" x14ac:dyDescent="0.2"/>
    <row r="779" ht="14" hidden="1" x14ac:dyDescent="0.2"/>
    <row r="780" ht="14" hidden="1" x14ac:dyDescent="0.2"/>
    <row r="781" ht="14" hidden="1" x14ac:dyDescent="0.2"/>
    <row r="782" ht="14" hidden="1" x14ac:dyDescent="0.2"/>
    <row r="783" ht="14" hidden="1" x14ac:dyDescent="0.2"/>
    <row r="784" ht="14" hidden="1" x14ac:dyDescent="0.2"/>
    <row r="785" ht="14" hidden="1" x14ac:dyDescent="0.2"/>
    <row r="786" ht="14" hidden="1" x14ac:dyDescent="0.2"/>
    <row r="787" ht="14" hidden="1" x14ac:dyDescent="0.2"/>
    <row r="788" ht="14" hidden="1" x14ac:dyDescent="0.2"/>
    <row r="789" ht="14" hidden="1" x14ac:dyDescent="0.2"/>
    <row r="790" ht="14" hidden="1" x14ac:dyDescent="0.2"/>
    <row r="791" ht="14" hidden="1" x14ac:dyDescent="0.2"/>
    <row r="792" ht="14" hidden="1" x14ac:dyDescent="0.2"/>
    <row r="793" ht="14" hidden="1" x14ac:dyDescent="0.2"/>
    <row r="794" ht="14" hidden="1" x14ac:dyDescent="0.2"/>
    <row r="795" ht="14" hidden="1" x14ac:dyDescent="0.2"/>
    <row r="796" ht="14" hidden="1" x14ac:dyDescent="0.2"/>
    <row r="797" ht="14" hidden="1" x14ac:dyDescent="0.2"/>
    <row r="798" ht="14" hidden="1" x14ac:dyDescent="0.2"/>
    <row r="799" ht="14" hidden="1" x14ac:dyDescent="0.2"/>
    <row r="800" ht="14" hidden="1" x14ac:dyDescent="0.2"/>
    <row r="801" ht="14" hidden="1" x14ac:dyDescent="0.2"/>
    <row r="802" ht="14" hidden="1" x14ac:dyDescent="0.2"/>
    <row r="803" ht="14" hidden="1" x14ac:dyDescent="0.2"/>
    <row r="804" ht="14" hidden="1" x14ac:dyDescent="0.2"/>
    <row r="805" ht="14" hidden="1" x14ac:dyDescent="0.2"/>
    <row r="806" ht="14" hidden="1" x14ac:dyDescent="0.2"/>
    <row r="807" ht="14" hidden="1" x14ac:dyDescent="0.2"/>
    <row r="808" ht="14" hidden="1" x14ac:dyDescent="0.2"/>
    <row r="809" ht="14" hidden="1" x14ac:dyDescent="0.2"/>
    <row r="810" ht="14" hidden="1" x14ac:dyDescent="0.2"/>
    <row r="811" ht="14" hidden="1" x14ac:dyDescent="0.2"/>
    <row r="812" ht="14" hidden="1" x14ac:dyDescent="0.2"/>
    <row r="813" ht="14" hidden="1" x14ac:dyDescent="0.2"/>
    <row r="814" ht="14" hidden="1" x14ac:dyDescent="0.2"/>
    <row r="815" ht="14" hidden="1" x14ac:dyDescent="0.2"/>
    <row r="816" ht="14" hidden="1" x14ac:dyDescent="0.2"/>
    <row r="817" ht="14" hidden="1" x14ac:dyDescent="0.2"/>
    <row r="818" ht="14" hidden="1" x14ac:dyDescent="0.2"/>
    <row r="819" ht="14" hidden="1" x14ac:dyDescent="0.2"/>
    <row r="820" ht="14" hidden="1" x14ac:dyDescent="0.2"/>
    <row r="821" ht="14" hidden="1" x14ac:dyDescent="0.2"/>
    <row r="822" ht="14" hidden="1" x14ac:dyDescent="0.2"/>
    <row r="823" ht="14" hidden="1" x14ac:dyDescent="0.2"/>
    <row r="824" ht="14" hidden="1" x14ac:dyDescent="0.2"/>
    <row r="825" ht="14" hidden="1" x14ac:dyDescent="0.2"/>
    <row r="826" ht="14" hidden="1" x14ac:dyDescent="0.2"/>
    <row r="827" ht="14" hidden="1" x14ac:dyDescent="0.2"/>
    <row r="828" ht="14" hidden="1" x14ac:dyDescent="0.2"/>
    <row r="829" ht="14" hidden="1" x14ac:dyDescent="0.2"/>
    <row r="830" ht="14" hidden="1" x14ac:dyDescent="0.2"/>
    <row r="831" ht="14" hidden="1" x14ac:dyDescent="0.2"/>
    <row r="832" ht="14" hidden="1" x14ac:dyDescent="0.2"/>
    <row r="833" ht="14" hidden="1" x14ac:dyDescent="0.2"/>
    <row r="834" ht="14" hidden="1" x14ac:dyDescent="0.2"/>
    <row r="835" ht="14" hidden="1" x14ac:dyDescent="0.2"/>
    <row r="836" ht="14" hidden="1" x14ac:dyDescent="0.2"/>
    <row r="837" ht="14" hidden="1" x14ac:dyDescent="0.2"/>
    <row r="838" ht="14" hidden="1" x14ac:dyDescent="0.2"/>
    <row r="839" ht="14" hidden="1" x14ac:dyDescent="0.2"/>
    <row r="840" ht="14" hidden="1" x14ac:dyDescent="0.2"/>
    <row r="841" ht="14" hidden="1" x14ac:dyDescent="0.2"/>
    <row r="842" ht="14" hidden="1" x14ac:dyDescent="0.2"/>
    <row r="843" ht="14" hidden="1" x14ac:dyDescent="0.2"/>
    <row r="844" ht="14" hidden="1" x14ac:dyDescent="0.2"/>
    <row r="845" ht="14" hidden="1" x14ac:dyDescent="0.2"/>
    <row r="846" ht="14" hidden="1" x14ac:dyDescent="0.2"/>
    <row r="847" ht="14" hidden="1" x14ac:dyDescent="0.2"/>
    <row r="848" ht="14" hidden="1" x14ac:dyDescent="0.2"/>
    <row r="849" ht="14" hidden="1" x14ac:dyDescent="0.2"/>
    <row r="850" ht="14" hidden="1" x14ac:dyDescent="0.2"/>
    <row r="851" ht="14" hidden="1" x14ac:dyDescent="0.2"/>
    <row r="852" ht="14" hidden="1" x14ac:dyDescent="0.2"/>
    <row r="853" ht="14" hidden="1" x14ac:dyDescent="0.2"/>
    <row r="854" ht="14" hidden="1" x14ac:dyDescent="0.2"/>
    <row r="855" ht="14" hidden="1" x14ac:dyDescent="0.2"/>
    <row r="856" ht="14" hidden="1" x14ac:dyDescent="0.2"/>
    <row r="857" ht="14" hidden="1" x14ac:dyDescent="0.2"/>
    <row r="858" ht="14" hidden="1" x14ac:dyDescent="0.2"/>
    <row r="859" ht="14" hidden="1" x14ac:dyDescent="0.2"/>
    <row r="860" ht="14" hidden="1" x14ac:dyDescent="0.2"/>
    <row r="861" ht="14" hidden="1" x14ac:dyDescent="0.2"/>
    <row r="862" ht="14" hidden="1" x14ac:dyDescent="0.2"/>
    <row r="863" ht="14" hidden="1" x14ac:dyDescent="0.2"/>
    <row r="864" ht="14" hidden="1" x14ac:dyDescent="0.2"/>
    <row r="865" ht="14" hidden="1" x14ac:dyDescent="0.2"/>
    <row r="866" ht="14" hidden="1" x14ac:dyDescent="0.2"/>
    <row r="867" ht="14" hidden="1" x14ac:dyDescent="0.2"/>
    <row r="868" ht="14" hidden="1" x14ac:dyDescent="0.2"/>
    <row r="869" ht="14" hidden="1" x14ac:dyDescent="0.2"/>
    <row r="870" ht="14" hidden="1" x14ac:dyDescent="0.2"/>
    <row r="871" ht="14" hidden="1" x14ac:dyDescent="0.2"/>
    <row r="872" ht="14" hidden="1" x14ac:dyDescent="0.2"/>
    <row r="873" ht="14" hidden="1" x14ac:dyDescent="0.2"/>
    <row r="874" ht="14" hidden="1" x14ac:dyDescent="0.2"/>
    <row r="875" ht="14" hidden="1" x14ac:dyDescent="0.2"/>
    <row r="876" ht="14" hidden="1" x14ac:dyDescent="0.2"/>
    <row r="877" ht="14" hidden="1" x14ac:dyDescent="0.2"/>
    <row r="878" ht="14" hidden="1" x14ac:dyDescent="0.2"/>
    <row r="879" ht="14" hidden="1" x14ac:dyDescent="0.2"/>
    <row r="880" ht="14" hidden="1" x14ac:dyDescent="0.2"/>
    <row r="881" ht="14" hidden="1" x14ac:dyDescent="0.2"/>
    <row r="882" ht="14" hidden="1" x14ac:dyDescent="0.2"/>
    <row r="883" ht="14" hidden="1" x14ac:dyDescent="0.2"/>
    <row r="884" ht="14" hidden="1" x14ac:dyDescent="0.2"/>
    <row r="885" ht="14" hidden="1" x14ac:dyDescent="0.2"/>
    <row r="886" ht="14" hidden="1" x14ac:dyDescent="0.2"/>
    <row r="887" ht="14" hidden="1" x14ac:dyDescent="0.2"/>
    <row r="888" ht="14" hidden="1" x14ac:dyDescent="0.2"/>
    <row r="889" ht="14" hidden="1" x14ac:dyDescent="0.2"/>
    <row r="890" ht="14" hidden="1" x14ac:dyDescent="0.2"/>
    <row r="891" ht="14" hidden="1" x14ac:dyDescent="0.2"/>
    <row r="892" ht="14" hidden="1" x14ac:dyDescent="0.2"/>
    <row r="893" ht="14" hidden="1" x14ac:dyDescent="0.2"/>
    <row r="894" ht="14" hidden="1" x14ac:dyDescent="0.2"/>
    <row r="895" ht="14" hidden="1" x14ac:dyDescent="0.2"/>
    <row r="896" ht="14" hidden="1" x14ac:dyDescent="0.2"/>
    <row r="897" ht="14" hidden="1" x14ac:dyDescent="0.2"/>
    <row r="898" ht="14" hidden="1" x14ac:dyDescent="0.2"/>
    <row r="899" ht="14" hidden="1" x14ac:dyDescent="0.2"/>
    <row r="900" ht="14" hidden="1" x14ac:dyDescent="0.2"/>
    <row r="901" ht="14" hidden="1" x14ac:dyDescent="0.2"/>
    <row r="902" ht="14" hidden="1" x14ac:dyDescent="0.2"/>
    <row r="903" ht="14" hidden="1" x14ac:dyDescent="0.2"/>
    <row r="904" ht="14" hidden="1" x14ac:dyDescent="0.2"/>
    <row r="905" ht="14" hidden="1" x14ac:dyDescent="0.2"/>
    <row r="906" ht="14" hidden="1" x14ac:dyDescent="0.2"/>
    <row r="907" ht="14" hidden="1" x14ac:dyDescent="0.2"/>
    <row r="908" ht="14" hidden="1" x14ac:dyDescent="0.2"/>
    <row r="909" ht="14" hidden="1" x14ac:dyDescent="0.2"/>
    <row r="910" ht="14" hidden="1" x14ac:dyDescent="0.2"/>
    <row r="911" ht="14" hidden="1" x14ac:dyDescent="0.2"/>
    <row r="912" ht="14" hidden="1" x14ac:dyDescent="0.2"/>
    <row r="913" ht="14" hidden="1" x14ac:dyDescent="0.2"/>
    <row r="914" ht="14" hidden="1" x14ac:dyDescent="0.2"/>
    <row r="915" ht="14" hidden="1" x14ac:dyDescent="0.2"/>
    <row r="916" ht="14" hidden="1" x14ac:dyDescent="0.2"/>
    <row r="917" ht="14" hidden="1" x14ac:dyDescent="0.2"/>
    <row r="918" ht="14" hidden="1" x14ac:dyDescent="0.2"/>
    <row r="919" ht="14" hidden="1" x14ac:dyDescent="0.2"/>
    <row r="920" ht="14" hidden="1" x14ac:dyDescent="0.2"/>
    <row r="921" ht="14" hidden="1" x14ac:dyDescent="0.2"/>
    <row r="922" ht="14" hidden="1" x14ac:dyDescent="0.2"/>
    <row r="923" ht="14" hidden="1" x14ac:dyDescent="0.2"/>
    <row r="924" ht="14" hidden="1" x14ac:dyDescent="0.2"/>
    <row r="925" ht="14" hidden="1" x14ac:dyDescent="0.2"/>
    <row r="926" ht="14" hidden="1" x14ac:dyDescent="0.2"/>
    <row r="927" ht="14" hidden="1" x14ac:dyDescent="0.2"/>
    <row r="928" ht="14" hidden="1" x14ac:dyDescent="0.2"/>
    <row r="929" ht="14" hidden="1" x14ac:dyDescent="0.2"/>
    <row r="930" ht="14" hidden="1" x14ac:dyDescent="0.2"/>
    <row r="931" ht="14" hidden="1" x14ac:dyDescent="0.2"/>
    <row r="932" ht="14" hidden="1" x14ac:dyDescent="0.2"/>
    <row r="933" ht="14" hidden="1" x14ac:dyDescent="0.2"/>
    <row r="934" ht="14" hidden="1" x14ac:dyDescent="0.2"/>
    <row r="935" ht="14" hidden="1" x14ac:dyDescent="0.2"/>
    <row r="936" ht="14" hidden="1" x14ac:dyDescent="0.2"/>
    <row r="937" ht="14" hidden="1" x14ac:dyDescent="0.2"/>
    <row r="938" ht="14" hidden="1" x14ac:dyDescent="0.2"/>
    <row r="939" ht="14" hidden="1" x14ac:dyDescent="0.2"/>
    <row r="940" ht="14" hidden="1" x14ac:dyDescent="0.2"/>
    <row r="941" ht="14" hidden="1" x14ac:dyDescent="0.2"/>
    <row r="942" ht="14" hidden="1" x14ac:dyDescent="0.2"/>
    <row r="943" ht="14" hidden="1" x14ac:dyDescent="0.2"/>
    <row r="944" ht="14" hidden="1" x14ac:dyDescent="0.2"/>
    <row r="945" ht="14" hidden="1" x14ac:dyDescent="0.2"/>
    <row r="946" ht="14" hidden="1" x14ac:dyDescent="0.2"/>
    <row r="947" ht="14" hidden="1" x14ac:dyDescent="0.2"/>
    <row r="948" ht="14" hidden="1" x14ac:dyDescent="0.2"/>
    <row r="949" ht="14" hidden="1" x14ac:dyDescent="0.2"/>
    <row r="950" ht="14" hidden="1" x14ac:dyDescent="0.2"/>
    <row r="951" ht="14" hidden="1" x14ac:dyDescent="0.2"/>
    <row r="952" ht="14" hidden="1" x14ac:dyDescent="0.2"/>
    <row r="953" ht="14" hidden="1" x14ac:dyDescent="0.2"/>
    <row r="954" ht="14" hidden="1" x14ac:dyDescent="0.2"/>
    <row r="955" ht="14" hidden="1" x14ac:dyDescent="0.2"/>
    <row r="956" ht="14" hidden="1" x14ac:dyDescent="0.2"/>
    <row r="957" ht="14" hidden="1" x14ac:dyDescent="0.2"/>
    <row r="958" ht="14" hidden="1" x14ac:dyDescent="0.2"/>
    <row r="959" ht="14" hidden="1" x14ac:dyDescent="0.2"/>
    <row r="960" ht="14" hidden="1" x14ac:dyDescent="0.2"/>
    <row r="961" ht="14" hidden="1" x14ac:dyDescent="0.2"/>
    <row r="962" ht="14" hidden="1" x14ac:dyDescent="0.2"/>
    <row r="963" ht="14" hidden="1" x14ac:dyDescent="0.2"/>
    <row r="964" ht="14" hidden="1" x14ac:dyDescent="0.2"/>
    <row r="965" ht="14" hidden="1" x14ac:dyDescent="0.2"/>
    <row r="966" ht="14" hidden="1" x14ac:dyDescent="0.2"/>
    <row r="967" ht="14" hidden="1" x14ac:dyDescent="0.2"/>
    <row r="968" ht="14" hidden="1" x14ac:dyDescent="0.2"/>
    <row r="969" ht="14" hidden="1" x14ac:dyDescent="0.2"/>
    <row r="970" ht="14" hidden="1" x14ac:dyDescent="0.2"/>
    <row r="971" ht="14" hidden="1" x14ac:dyDescent="0.2"/>
    <row r="972" ht="14" hidden="1" x14ac:dyDescent="0.2"/>
    <row r="973" ht="14" hidden="1" x14ac:dyDescent="0.2"/>
    <row r="974" ht="14" hidden="1" x14ac:dyDescent="0.2"/>
    <row r="975" ht="14" hidden="1" x14ac:dyDescent="0.2"/>
    <row r="976" ht="14" hidden="1" x14ac:dyDescent="0.2"/>
    <row r="977" ht="14" hidden="1" x14ac:dyDescent="0.2"/>
    <row r="978" ht="14" hidden="1" x14ac:dyDescent="0.2"/>
    <row r="979" ht="14" hidden="1" x14ac:dyDescent="0.2"/>
    <row r="980" ht="14" hidden="1" x14ac:dyDescent="0.2"/>
    <row r="981" ht="14" hidden="1" x14ac:dyDescent="0.2"/>
    <row r="982" ht="14" hidden="1" x14ac:dyDescent="0.2"/>
    <row r="983" ht="14" hidden="1" x14ac:dyDescent="0.2"/>
    <row r="984" ht="14" hidden="1" x14ac:dyDescent="0.2"/>
    <row r="985" ht="14" hidden="1" x14ac:dyDescent="0.2"/>
    <row r="986" ht="14" hidden="1" x14ac:dyDescent="0.2"/>
    <row r="987" ht="14" hidden="1" x14ac:dyDescent="0.2"/>
    <row r="988" ht="14" hidden="1" x14ac:dyDescent="0.2"/>
    <row r="989" ht="14" hidden="1" x14ac:dyDescent="0.2"/>
    <row r="990" ht="14" hidden="1" x14ac:dyDescent="0.2"/>
    <row r="991" ht="14" hidden="1" x14ac:dyDescent="0.2"/>
    <row r="992" ht="14" hidden="1" x14ac:dyDescent="0.2"/>
    <row r="993" ht="14" hidden="1" x14ac:dyDescent="0.2"/>
    <row r="994" ht="14" hidden="1" x14ac:dyDescent="0.2"/>
    <row r="995" ht="14" hidden="1" x14ac:dyDescent="0.2"/>
    <row r="996" ht="14" hidden="1" x14ac:dyDescent="0.2"/>
    <row r="997" ht="14" hidden="1" x14ac:dyDescent="0.2"/>
    <row r="998" ht="14" hidden="1" x14ac:dyDescent="0.2"/>
    <row r="999" ht="14" hidden="1" x14ac:dyDescent="0.2"/>
    <row r="1000" ht="14" hidden="1" x14ac:dyDescent="0.2"/>
    <row r="1001" ht="14" hidden="1" x14ac:dyDescent="0.2"/>
    <row r="1002" ht="14" hidden="1" x14ac:dyDescent="0.2"/>
    <row r="1003" ht="14" hidden="1" x14ac:dyDescent="0.2"/>
    <row r="1004" ht="14" hidden="1" x14ac:dyDescent="0.2"/>
    <row r="1005" ht="14" hidden="1" x14ac:dyDescent="0.2"/>
    <row r="1006" ht="14" hidden="1" x14ac:dyDescent="0.2"/>
    <row r="1007" ht="14" hidden="1" x14ac:dyDescent="0.2"/>
    <row r="1008" ht="14" hidden="1" x14ac:dyDescent="0.2"/>
    <row r="1009" ht="14" hidden="1" x14ac:dyDescent="0.2"/>
    <row r="1010" ht="14" hidden="1" x14ac:dyDescent="0.2"/>
    <row r="1011" ht="14" hidden="1" x14ac:dyDescent="0.2"/>
    <row r="1012" ht="14" hidden="1" x14ac:dyDescent="0.2"/>
    <row r="1013" ht="14" hidden="1" x14ac:dyDescent="0.2"/>
    <row r="1014" ht="14" hidden="1" x14ac:dyDescent="0.2"/>
    <row r="1015" ht="14" hidden="1" x14ac:dyDescent="0.2"/>
    <row r="1016" ht="14" hidden="1" x14ac:dyDescent="0.2"/>
    <row r="1017" ht="14" hidden="1" x14ac:dyDescent="0.2"/>
    <row r="1018" ht="14" hidden="1" x14ac:dyDescent="0.2"/>
    <row r="1019" ht="14" hidden="1" x14ac:dyDescent="0.2"/>
    <row r="1020" ht="14" hidden="1" x14ac:dyDescent="0.2"/>
    <row r="1021" ht="14" hidden="1" x14ac:dyDescent="0.2"/>
    <row r="1022" ht="14" hidden="1" x14ac:dyDescent="0.2"/>
    <row r="1023" ht="14" hidden="1" x14ac:dyDescent="0.2"/>
    <row r="1024" ht="14" hidden="1" x14ac:dyDescent="0.2"/>
    <row r="1025" ht="14" hidden="1" x14ac:dyDescent="0.2"/>
    <row r="1026" ht="14" hidden="1" x14ac:dyDescent="0.2"/>
    <row r="1027" ht="14" hidden="1" x14ac:dyDescent="0.2"/>
    <row r="1028" ht="14" hidden="1" x14ac:dyDescent="0.2"/>
    <row r="1029" ht="14" hidden="1" x14ac:dyDescent="0.2"/>
    <row r="1030" ht="14" hidden="1" x14ac:dyDescent="0.2"/>
    <row r="1031" ht="14" hidden="1" x14ac:dyDescent="0.2"/>
    <row r="1032" ht="14" hidden="1" x14ac:dyDescent="0.2"/>
    <row r="1033" ht="14" hidden="1" x14ac:dyDescent="0.2"/>
    <row r="1034" ht="14" hidden="1" x14ac:dyDescent="0.2"/>
    <row r="1035" ht="14" hidden="1" x14ac:dyDescent="0.2"/>
    <row r="1036" ht="14" hidden="1" x14ac:dyDescent="0.2"/>
    <row r="1037" ht="14" hidden="1" x14ac:dyDescent="0.2"/>
    <row r="1038" ht="14" hidden="1" x14ac:dyDescent="0.2"/>
    <row r="1039" ht="14" hidden="1" x14ac:dyDescent="0.2"/>
    <row r="1040" ht="14" hidden="1" x14ac:dyDescent="0.2"/>
    <row r="1041" ht="14" hidden="1" x14ac:dyDescent="0.2"/>
    <row r="1042" ht="14" hidden="1" x14ac:dyDescent="0.2"/>
    <row r="1043" ht="14" hidden="1" x14ac:dyDescent="0.2"/>
    <row r="1044" ht="14" hidden="1" x14ac:dyDescent="0.2"/>
    <row r="1045" ht="14" hidden="1" x14ac:dyDescent="0.2"/>
    <row r="1046" ht="14" hidden="1" x14ac:dyDescent="0.2"/>
    <row r="1047" ht="14" hidden="1" x14ac:dyDescent="0.2"/>
    <row r="1048" ht="14" hidden="1" x14ac:dyDescent="0.2"/>
    <row r="1049" ht="14" hidden="1" x14ac:dyDescent="0.2"/>
    <row r="1050" ht="14" hidden="1" x14ac:dyDescent="0.2"/>
    <row r="1051" ht="14" hidden="1" x14ac:dyDescent="0.2"/>
    <row r="1052" ht="14" hidden="1" x14ac:dyDescent="0.2"/>
    <row r="1053" ht="14" hidden="1" x14ac:dyDescent="0.2"/>
    <row r="1054" ht="14" hidden="1" x14ac:dyDescent="0.2"/>
    <row r="1055" ht="14" hidden="1" x14ac:dyDescent="0.2"/>
    <row r="1056" ht="14" hidden="1" x14ac:dyDescent="0.2"/>
    <row r="1057" ht="14" hidden="1" x14ac:dyDescent="0.2"/>
    <row r="1058" ht="14" hidden="1" x14ac:dyDescent="0.2"/>
    <row r="1059" ht="14" hidden="1" x14ac:dyDescent="0.2"/>
    <row r="1060" ht="14" hidden="1" x14ac:dyDescent="0.2"/>
    <row r="1061" ht="14" hidden="1" x14ac:dyDescent="0.2"/>
    <row r="1062" ht="14" hidden="1" x14ac:dyDescent="0.2"/>
    <row r="1063" ht="14" hidden="1" x14ac:dyDescent="0.2"/>
    <row r="1064" ht="14" hidden="1" x14ac:dyDescent="0.2"/>
    <row r="1065" ht="14" hidden="1" x14ac:dyDescent="0.2"/>
    <row r="1066" ht="14" hidden="1" x14ac:dyDescent="0.2"/>
    <row r="1067" ht="14" hidden="1" x14ac:dyDescent="0.2"/>
    <row r="1068" ht="14" hidden="1" x14ac:dyDescent="0.2"/>
    <row r="1069" ht="14" hidden="1" x14ac:dyDescent="0.2"/>
    <row r="1070" ht="14" hidden="1" x14ac:dyDescent="0.2"/>
    <row r="1071" ht="14" hidden="1" x14ac:dyDescent="0.2"/>
    <row r="1072" ht="14" hidden="1" x14ac:dyDescent="0.2"/>
    <row r="1073" ht="14" hidden="1" x14ac:dyDescent="0.2"/>
    <row r="1074" ht="14" hidden="1" x14ac:dyDescent="0.2"/>
    <row r="1075" ht="14" hidden="1" x14ac:dyDescent="0.2"/>
    <row r="1076" ht="14" hidden="1" x14ac:dyDescent="0.2"/>
    <row r="1077" ht="14" hidden="1" x14ac:dyDescent="0.2"/>
    <row r="1078" ht="14" hidden="1" x14ac:dyDescent="0.2"/>
    <row r="1079" ht="14" hidden="1" x14ac:dyDescent="0.2"/>
    <row r="1080" ht="14" hidden="1" x14ac:dyDescent="0.2"/>
    <row r="1081" ht="14" hidden="1" x14ac:dyDescent="0.2"/>
    <row r="1082" ht="14" hidden="1" x14ac:dyDescent="0.2"/>
    <row r="1083" ht="14" hidden="1" x14ac:dyDescent="0.2"/>
    <row r="1084" ht="14" hidden="1" x14ac:dyDescent="0.2"/>
    <row r="1085" ht="14" hidden="1" x14ac:dyDescent="0.2"/>
    <row r="1086" ht="14" hidden="1" x14ac:dyDescent="0.2"/>
    <row r="1087" ht="14" hidden="1" x14ac:dyDescent="0.2"/>
    <row r="1088" ht="14" hidden="1" x14ac:dyDescent="0.2"/>
    <row r="1089" ht="14" hidden="1" x14ac:dyDescent="0.2"/>
    <row r="1090" ht="14" hidden="1" x14ac:dyDescent="0.2"/>
    <row r="1091" ht="14" hidden="1" x14ac:dyDescent="0.2"/>
    <row r="1092" ht="14" hidden="1" x14ac:dyDescent="0.2"/>
    <row r="1093" ht="14" hidden="1" x14ac:dyDescent="0.2"/>
    <row r="1094" ht="14" hidden="1" x14ac:dyDescent="0.2"/>
    <row r="1095" ht="14" hidden="1" x14ac:dyDescent="0.2"/>
    <row r="1096" ht="14" hidden="1" x14ac:dyDescent="0.2"/>
    <row r="1097" ht="14" hidden="1" x14ac:dyDescent="0.2"/>
    <row r="1098" ht="14" hidden="1" x14ac:dyDescent="0.2"/>
    <row r="1099" ht="14" hidden="1" x14ac:dyDescent="0.2"/>
    <row r="1100" ht="14" hidden="1" x14ac:dyDescent="0.2"/>
    <row r="1101" ht="14" hidden="1" x14ac:dyDescent="0.2"/>
    <row r="1102" ht="14" hidden="1" x14ac:dyDescent="0.2"/>
    <row r="1103" ht="14" hidden="1" x14ac:dyDescent="0.2"/>
    <row r="1104" ht="14" hidden="1" x14ac:dyDescent="0.2"/>
    <row r="1105" ht="14" hidden="1" x14ac:dyDescent="0.2"/>
    <row r="1106" ht="14" hidden="1" x14ac:dyDescent="0.2"/>
    <row r="1107" ht="14" hidden="1" x14ac:dyDescent="0.2"/>
    <row r="1108" ht="14" hidden="1" x14ac:dyDescent="0.2"/>
    <row r="1109" ht="14" hidden="1" x14ac:dyDescent="0.2"/>
    <row r="1110" ht="14" hidden="1" x14ac:dyDescent="0.2"/>
    <row r="1111" ht="14" hidden="1" x14ac:dyDescent="0.2"/>
    <row r="1112" ht="14" hidden="1" x14ac:dyDescent="0.2"/>
    <row r="1113" ht="14.25" hidden="1" customHeight="1" x14ac:dyDescent="0.2"/>
    <row r="1114" ht="14.25" hidden="1" customHeight="1" x14ac:dyDescent="0.2"/>
    <row r="1115" ht="14.25" hidden="1" customHeight="1" x14ac:dyDescent="0.2"/>
    <row r="1116" ht="14.25" hidden="1" customHeight="1" x14ac:dyDescent="0.2"/>
    <row r="1117" ht="14.25" hidden="1" customHeight="1" x14ac:dyDescent="0.2"/>
    <row r="1118" ht="14.25" hidden="1" customHeight="1" x14ac:dyDescent="0.2"/>
    <row r="1119" ht="14.25" hidden="1" customHeight="1" x14ac:dyDescent="0.2"/>
    <row r="1120" ht="14.25" hidden="1" customHeight="1" x14ac:dyDescent="0.2"/>
    <row r="1121" ht="14.25" hidden="1" customHeight="1" x14ac:dyDescent="0.2"/>
    <row r="1122" ht="14.25" hidden="1" customHeight="1" x14ac:dyDescent="0.2"/>
    <row r="1123" ht="14.25" hidden="1" customHeight="1" x14ac:dyDescent="0.2"/>
    <row r="1124" ht="14.25" hidden="1" customHeight="1" x14ac:dyDescent="0.2"/>
    <row r="1125" ht="14.25" hidden="1" customHeight="1" x14ac:dyDescent="0.2"/>
    <row r="1126" ht="14.25" hidden="1" customHeight="1" x14ac:dyDescent="0.2"/>
    <row r="1127" ht="14.25" hidden="1" customHeight="1" x14ac:dyDescent="0.2"/>
    <row r="1128" ht="14.25" hidden="1" customHeight="1" x14ac:dyDescent="0.2"/>
    <row r="1129" ht="14.25" hidden="1" customHeight="1" x14ac:dyDescent="0.2"/>
    <row r="1130" ht="14.25" hidden="1" customHeight="1" x14ac:dyDescent="0.2"/>
    <row r="1131" ht="14.25" hidden="1" customHeight="1" x14ac:dyDescent="0.2"/>
    <row r="1132" ht="14.25" hidden="1" customHeight="1" x14ac:dyDescent="0.2"/>
    <row r="1133" ht="14.25" hidden="1" customHeight="1" x14ac:dyDescent="0.2"/>
    <row r="1134" ht="14.25" hidden="1" customHeight="1" x14ac:dyDescent="0.2"/>
    <row r="1135" ht="14.25" hidden="1" customHeight="1" x14ac:dyDescent="0.2"/>
    <row r="1136" ht="14.25" hidden="1" customHeight="1" x14ac:dyDescent="0.2"/>
    <row r="1137" ht="14.25" hidden="1" customHeight="1" x14ac:dyDescent="0.2"/>
    <row r="1138" ht="14.25" hidden="1" customHeight="1" x14ac:dyDescent="0.2"/>
    <row r="1139" ht="14.25" hidden="1" customHeight="1" x14ac:dyDescent="0.2"/>
    <row r="1140" ht="14.25" hidden="1" customHeight="1" x14ac:dyDescent="0.2"/>
    <row r="1141" ht="14.25" hidden="1" customHeight="1" x14ac:dyDescent="0.2"/>
    <row r="1142" ht="14.25" hidden="1" customHeight="1" x14ac:dyDescent="0.2"/>
    <row r="1143" ht="14.25" hidden="1" customHeight="1" x14ac:dyDescent="0.2"/>
    <row r="1144" ht="14.25" hidden="1" customHeight="1" x14ac:dyDescent="0.2"/>
    <row r="1145" ht="14.25" hidden="1" customHeight="1" x14ac:dyDescent="0.2"/>
    <row r="1146" ht="14.25" hidden="1" customHeight="1" x14ac:dyDescent="0.2"/>
    <row r="1147" ht="14.25" hidden="1" customHeight="1" x14ac:dyDescent="0.2"/>
    <row r="1148" ht="14.25" hidden="1" customHeight="1" x14ac:dyDescent="0.2"/>
    <row r="1149" ht="14.25" hidden="1" customHeight="1" x14ac:dyDescent="0.2"/>
    <row r="1150" ht="14.25" hidden="1" customHeight="1" x14ac:dyDescent="0.2"/>
    <row r="1151" ht="14.25" hidden="1" customHeight="1" x14ac:dyDescent="0.2"/>
    <row r="1152" ht="14.25" hidden="1" customHeight="1" x14ac:dyDescent="0.2"/>
    <row r="1153" ht="14.25" hidden="1" customHeight="1" x14ac:dyDescent="0.2"/>
    <row r="1154" ht="14.25" hidden="1" customHeight="1" x14ac:dyDescent="0.2"/>
    <row r="1155" ht="14.25" hidden="1" customHeight="1" x14ac:dyDescent="0.2"/>
    <row r="1156" ht="14.25" hidden="1" customHeight="1" x14ac:dyDescent="0.2"/>
    <row r="1157" ht="14.25" hidden="1" customHeight="1" x14ac:dyDescent="0.2"/>
    <row r="1158" ht="14.25" hidden="1" customHeight="1" x14ac:dyDescent="0.2"/>
    <row r="1159" ht="14.25" hidden="1" customHeight="1" x14ac:dyDescent="0.2"/>
    <row r="1160" ht="14.25" hidden="1" customHeight="1" x14ac:dyDescent="0.2"/>
    <row r="1161" ht="14.25" hidden="1" customHeight="1" x14ac:dyDescent="0.2"/>
    <row r="1162" ht="14.25" hidden="1" customHeight="1" x14ac:dyDescent="0.2"/>
    <row r="1163" ht="14.25" hidden="1" customHeight="1" x14ac:dyDescent="0.2"/>
    <row r="1164" ht="14.25" hidden="1" customHeight="1" x14ac:dyDescent="0.2"/>
    <row r="1165" ht="14.25" hidden="1" customHeight="1" x14ac:dyDescent="0.2"/>
    <row r="1166" ht="14.25" hidden="1" customHeight="1" x14ac:dyDescent="0.2"/>
    <row r="1167" ht="14.25" hidden="1" customHeight="1" x14ac:dyDescent="0.2"/>
    <row r="1168" ht="14.25" hidden="1" customHeight="1" x14ac:dyDescent="0.2"/>
    <row r="1169" ht="14.25" hidden="1" customHeight="1" x14ac:dyDescent="0.2"/>
    <row r="1170" ht="14.25" hidden="1" customHeight="1" x14ac:dyDescent="0.2"/>
    <row r="1171" ht="14.25" hidden="1" customHeight="1" x14ac:dyDescent="0.2"/>
    <row r="1172" ht="14.25" hidden="1" customHeight="1" x14ac:dyDescent="0.2"/>
    <row r="1173" ht="14.25" hidden="1" customHeight="1" x14ac:dyDescent="0.2"/>
    <row r="1174" ht="14.25" hidden="1" customHeight="1" x14ac:dyDescent="0.2"/>
    <row r="1175" ht="14.25" hidden="1" customHeight="1" x14ac:dyDescent="0.2"/>
    <row r="1176" ht="14.25" hidden="1" customHeight="1" x14ac:dyDescent="0.2"/>
    <row r="1177" ht="14.25" hidden="1" customHeight="1" x14ac:dyDescent="0.2"/>
    <row r="1178" ht="14.25" hidden="1" customHeight="1" x14ac:dyDescent="0.2"/>
    <row r="1179" ht="14.25" hidden="1" customHeight="1" x14ac:dyDescent="0.2"/>
    <row r="1180" ht="14.25" hidden="1" customHeight="1" x14ac:dyDescent="0.2"/>
    <row r="1181" ht="14.25" hidden="1" customHeight="1" x14ac:dyDescent="0.2"/>
    <row r="1182" ht="14.25" hidden="1" customHeight="1" x14ac:dyDescent="0.2"/>
    <row r="1183" ht="14.25" hidden="1" customHeight="1" x14ac:dyDescent="0.2"/>
    <row r="1184" ht="14.25" hidden="1" customHeight="1" x14ac:dyDescent="0.2"/>
    <row r="1185" ht="14.25" hidden="1" customHeight="1" x14ac:dyDescent="0.2"/>
    <row r="1186" ht="14.25" hidden="1" customHeight="1" x14ac:dyDescent="0.2"/>
    <row r="1187" ht="14.25" hidden="1" customHeight="1" x14ac:dyDescent="0.2"/>
    <row r="1188" ht="14.25" hidden="1" customHeight="1" x14ac:dyDescent="0.2"/>
    <row r="1189" ht="14.25" hidden="1" customHeight="1" x14ac:dyDescent="0.2"/>
    <row r="1190" ht="14.25" hidden="1" customHeight="1" x14ac:dyDescent="0.2"/>
    <row r="1191" ht="14.25" hidden="1" customHeight="1" x14ac:dyDescent="0.2"/>
    <row r="1192" ht="14.25" hidden="1" customHeight="1" x14ac:dyDescent="0.2"/>
    <row r="1193" ht="14.25" hidden="1" customHeight="1" x14ac:dyDescent="0.2"/>
    <row r="1194" ht="14.25" hidden="1" customHeight="1" x14ac:dyDescent="0.2"/>
    <row r="1195" ht="14.25" hidden="1" customHeight="1" x14ac:dyDescent="0.2"/>
    <row r="1196" ht="14.25" hidden="1" customHeight="1" x14ac:dyDescent="0.2"/>
    <row r="1197" ht="14.25" hidden="1" customHeight="1" x14ac:dyDescent="0.2"/>
    <row r="1198" ht="14.25" hidden="1" customHeight="1" x14ac:dyDescent="0.2"/>
    <row r="1199" ht="14.25" hidden="1" customHeight="1" x14ac:dyDescent="0.2"/>
    <row r="1200" ht="14.25" hidden="1" customHeight="1" x14ac:dyDescent="0.2"/>
    <row r="1201" ht="14.25" hidden="1" customHeight="1" x14ac:dyDescent="0.2"/>
    <row r="1202" ht="14.25" hidden="1" customHeight="1" x14ac:dyDescent="0.2"/>
    <row r="1203" ht="14.25" hidden="1" customHeight="1" x14ac:dyDescent="0.2"/>
    <row r="1204" ht="14.25" hidden="1" customHeight="1" x14ac:dyDescent="0.2"/>
    <row r="1205" ht="14.25" hidden="1" customHeight="1" x14ac:dyDescent="0.2"/>
    <row r="1206" ht="14.25" hidden="1" customHeight="1" x14ac:dyDescent="0.2"/>
    <row r="1207" ht="14.25" hidden="1" customHeight="1" x14ac:dyDescent="0.2"/>
    <row r="1208" ht="14.25" hidden="1" customHeight="1" x14ac:dyDescent="0.2"/>
    <row r="1209" ht="14.25" hidden="1" customHeight="1" x14ac:dyDescent="0.2"/>
    <row r="1210" ht="14.25" hidden="1" customHeight="1" x14ac:dyDescent="0.2"/>
    <row r="1211" ht="14.25" hidden="1" customHeight="1" x14ac:dyDescent="0.2"/>
    <row r="1212" ht="14.25" hidden="1" customHeight="1" x14ac:dyDescent="0.2"/>
    <row r="1213" ht="14.25" hidden="1" customHeight="1" x14ac:dyDescent="0.2"/>
    <row r="1214" ht="14.25" hidden="1" customHeight="1" x14ac:dyDescent="0.2"/>
    <row r="1215" ht="14.25" hidden="1" customHeight="1" x14ac:dyDescent="0.2"/>
    <row r="1216" ht="14.25" hidden="1" customHeight="1" x14ac:dyDescent="0.2"/>
    <row r="1217" ht="14.25" hidden="1" customHeight="1" x14ac:dyDescent="0.2"/>
    <row r="1218" ht="14.25" hidden="1" customHeight="1" x14ac:dyDescent="0.2"/>
    <row r="1219" ht="14.25" hidden="1" customHeight="1" x14ac:dyDescent="0.2"/>
    <row r="1220" ht="14.25" hidden="1" customHeight="1" x14ac:dyDescent="0.2"/>
    <row r="1221" ht="14.25" hidden="1" customHeight="1" x14ac:dyDescent="0.2"/>
    <row r="1222" ht="14.25" hidden="1" customHeight="1" x14ac:dyDescent="0.2"/>
    <row r="1223" ht="14.25" hidden="1" customHeight="1" x14ac:dyDescent="0.2"/>
    <row r="1224" ht="14.25" hidden="1" customHeight="1" x14ac:dyDescent="0.2"/>
    <row r="1225" ht="14.25" hidden="1" customHeight="1" x14ac:dyDescent="0.2"/>
    <row r="1226" ht="14.25" hidden="1" customHeight="1" x14ac:dyDescent="0.2"/>
    <row r="1227" ht="14.25" hidden="1" customHeight="1" x14ac:dyDescent="0.2"/>
    <row r="1228" ht="14.25" hidden="1" customHeight="1" x14ac:dyDescent="0.2"/>
    <row r="1229" ht="14.25" hidden="1" customHeight="1" x14ac:dyDescent="0.2"/>
    <row r="1230" ht="14.25" hidden="1" customHeight="1" x14ac:dyDescent="0.2"/>
    <row r="1231" ht="14.25" hidden="1" customHeight="1" x14ac:dyDescent="0.2"/>
    <row r="1232" ht="14.25" hidden="1" customHeight="1" x14ac:dyDescent="0.2"/>
    <row r="1233" ht="14.25" hidden="1" customHeight="1" x14ac:dyDescent="0.2"/>
    <row r="1234" ht="14.25" hidden="1" customHeight="1" x14ac:dyDescent="0.2"/>
    <row r="1235" ht="14.25" hidden="1" customHeight="1" x14ac:dyDescent="0.2"/>
    <row r="1236" ht="14.25" hidden="1" customHeight="1" x14ac:dyDescent="0.2"/>
    <row r="1237" ht="14.25" hidden="1" customHeight="1" x14ac:dyDescent="0.2"/>
    <row r="1238" ht="14.25" hidden="1" customHeight="1" x14ac:dyDescent="0.2"/>
    <row r="1239" ht="14.25" hidden="1" customHeight="1" x14ac:dyDescent="0.2"/>
    <row r="1240" ht="14.25" hidden="1" customHeight="1" x14ac:dyDescent="0.2"/>
    <row r="1241" ht="14.25" hidden="1" customHeight="1" x14ac:dyDescent="0.2"/>
    <row r="1242" ht="14.25" hidden="1" customHeight="1" x14ac:dyDescent="0.2"/>
    <row r="1243" ht="14.25" hidden="1" customHeight="1" x14ac:dyDescent="0.2"/>
    <row r="1244" ht="14.25" hidden="1" customHeight="1" x14ac:dyDescent="0.2"/>
    <row r="1245" ht="14.25" hidden="1" customHeight="1" x14ac:dyDescent="0.2"/>
    <row r="1246" ht="14.25" hidden="1" customHeight="1" x14ac:dyDescent="0.2"/>
    <row r="1247" ht="14.25" hidden="1" customHeight="1" x14ac:dyDescent="0.2"/>
    <row r="1248" ht="14.25" hidden="1" customHeight="1" x14ac:dyDescent="0.2"/>
    <row r="1249" ht="14.25" hidden="1" customHeight="1" x14ac:dyDescent="0.2"/>
    <row r="1250" ht="14.25" hidden="1" customHeight="1" x14ac:dyDescent="0.2"/>
    <row r="1251" ht="14.25" hidden="1" customHeight="1" x14ac:dyDescent="0.2"/>
    <row r="1252" ht="14.25" hidden="1" customHeight="1" x14ac:dyDescent="0.2"/>
    <row r="1253" ht="14.25" hidden="1" customHeight="1" x14ac:dyDescent="0.2"/>
    <row r="1254" ht="14.25" hidden="1" customHeight="1" x14ac:dyDescent="0.2"/>
    <row r="1255" ht="14.25" hidden="1" customHeight="1" x14ac:dyDescent="0.2"/>
    <row r="1256" ht="14.25" hidden="1" customHeight="1" x14ac:dyDescent="0.2"/>
    <row r="1257" ht="14.25" hidden="1" customHeight="1" x14ac:dyDescent="0.2"/>
    <row r="1258" ht="14.25" hidden="1" customHeight="1" x14ac:dyDescent="0.2"/>
    <row r="1259" ht="14.25" hidden="1" customHeight="1" x14ac:dyDescent="0.2"/>
    <row r="1260" ht="14.25" hidden="1" customHeight="1" x14ac:dyDescent="0.2"/>
    <row r="1261" ht="14.25" hidden="1" customHeight="1" x14ac:dyDescent="0.2"/>
    <row r="1262" ht="14.25" hidden="1" customHeight="1" x14ac:dyDescent="0.2"/>
    <row r="1263" ht="14.25" hidden="1" customHeight="1" x14ac:dyDescent="0.2"/>
    <row r="1264" ht="14.25" hidden="1" customHeight="1" x14ac:dyDescent="0.2"/>
    <row r="1265" ht="14.25" hidden="1" customHeight="1" x14ac:dyDescent="0.2"/>
    <row r="1266" ht="14.25" hidden="1" customHeight="1" x14ac:dyDescent="0.2"/>
    <row r="1267" ht="14.25" hidden="1" customHeight="1" x14ac:dyDescent="0.2"/>
    <row r="1268" ht="14.25" hidden="1" customHeight="1" x14ac:dyDescent="0.2"/>
    <row r="1269" ht="14.25" hidden="1" customHeight="1" x14ac:dyDescent="0.2"/>
    <row r="1270" ht="14.25" hidden="1" customHeight="1" x14ac:dyDescent="0.2"/>
    <row r="1271" ht="14.25" hidden="1" customHeight="1" x14ac:dyDescent="0.2"/>
    <row r="1272" ht="14.25" hidden="1" customHeight="1" x14ac:dyDescent="0.2"/>
    <row r="1273" ht="14.25" hidden="1" customHeight="1" x14ac:dyDescent="0.2"/>
    <row r="1274" ht="14.25" hidden="1" customHeight="1" x14ac:dyDescent="0.2"/>
    <row r="1275" ht="14.25" hidden="1" customHeight="1" x14ac:dyDescent="0.2"/>
    <row r="1276" ht="14.25" hidden="1" customHeight="1" x14ac:dyDescent="0.2"/>
    <row r="1277" ht="14.25" hidden="1" customHeight="1" x14ac:dyDescent="0.2"/>
    <row r="1278" ht="14.25" hidden="1" customHeight="1" x14ac:dyDescent="0.2"/>
    <row r="1279" ht="14.25" hidden="1" customHeight="1" x14ac:dyDescent="0.2"/>
    <row r="1280" ht="14.25" hidden="1" customHeight="1" x14ac:dyDescent="0.2"/>
    <row r="1281" ht="14.25" hidden="1" customHeight="1" x14ac:dyDescent="0.2"/>
    <row r="1282" ht="14.25" hidden="1" customHeight="1" x14ac:dyDescent="0.2"/>
    <row r="1283" ht="14.25" hidden="1" customHeight="1" x14ac:dyDescent="0.2"/>
    <row r="1284" ht="14.25" hidden="1" customHeight="1" x14ac:dyDescent="0.2"/>
    <row r="1285" ht="14.25" hidden="1" customHeight="1" x14ac:dyDescent="0.2"/>
    <row r="1286" ht="14.25" hidden="1" customHeight="1" x14ac:dyDescent="0.2"/>
    <row r="1287" ht="14.25" hidden="1" customHeight="1" x14ac:dyDescent="0.2"/>
    <row r="1288" ht="14.25" hidden="1" customHeight="1" x14ac:dyDescent="0.2"/>
    <row r="1289" ht="14.25" hidden="1" customHeight="1" x14ac:dyDescent="0.2"/>
    <row r="1290" ht="14.25" hidden="1" customHeight="1" x14ac:dyDescent="0.2"/>
    <row r="1291" ht="14.25" hidden="1" customHeight="1" x14ac:dyDescent="0.2"/>
    <row r="1292" ht="14.25" hidden="1" customHeight="1" x14ac:dyDescent="0.2"/>
  </sheetData>
  <mergeCells count="10">
    <mergeCell ref="K4:M4"/>
    <mergeCell ref="J3:M3"/>
    <mergeCell ref="A3:C4"/>
    <mergeCell ref="D3:D4"/>
    <mergeCell ref="C44:F46"/>
    <mergeCell ref="I44:M46"/>
    <mergeCell ref="C36:F38"/>
    <mergeCell ref="I36:M38"/>
    <mergeCell ref="C40:F42"/>
    <mergeCell ref="I40:M42"/>
  </mergeCells>
  <conditionalFormatting sqref="C59:C64 C67:C72">
    <cfRule type="expression" dxfId="39" priority="26" stopIfTrue="1">
      <formula>A59=0</formula>
    </cfRule>
    <cfRule type="expression" dxfId="38" priority="127" stopIfTrue="1">
      <formula>A59&lt;=1.5</formula>
    </cfRule>
    <cfRule type="expression" dxfId="37" priority="128" stopIfTrue="1">
      <formula>A59&lt;=2.5</formula>
    </cfRule>
    <cfRule type="expression" dxfId="36" priority="129" stopIfTrue="1">
      <formula>A59&lt;=3.5</formula>
    </cfRule>
    <cfRule type="expression" dxfId="35" priority="130" stopIfTrue="1">
      <formula>A59&lt;4</formula>
    </cfRule>
    <cfRule type="expression" dxfId="34" priority="131" stopIfTrue="1">
      <formula>A59&gt;=4</formula>
    </cfRule>
  </conditionalFormatting>
  <conditionalFormatting sqref="C65">
    <cfRule type="expression" dxfId="33" priority="210" stopIfTrue="1">
      <formula>J65&lt;=1.5</formula>
    </cfRule>
    <cfRule type="expression" dxfId="32" priority="211" stopIfTrue="1">
      <formula>J65&lt;=2.5</formula>
    </cfRule>
    <cfRule type="expression" dxfId="31" priority="212" stopIfTrue="1">
      <formula>J65&lt;=3.5</formula>
    </cfRule>
    <cfRule type="expression" dxfId="30" priority="213" stopIfTrue="1">
      <formula>J65&lt;4</formula>
    </cfRule>
    <cfRule type="expression" dxfId="29" priority="214" stopIfTrue="1">
      <formula>T62&gt;=4</formula>
    </cfRule>
  </conditionalFormatting>
  <conditionalFormatting sqref="F59:F64 F67:F72">
    <cfRule type="expression" dxfId="28" priority="19" stopIfTrue="1">
      <formula>J59=0</formula>
    </cfRule>
    <cfRule type="expression" dxfId="27" priority="142" stopIfTrue="1">
      <formula>J59&lt;=1.5</formula>
    </cfRule>
    <cfRule type="expression" dxfId="26" priority="143" stopIfTrue="1">
      <formula>J59&lt;=2.5</formula>
    </cfRule>
    <cfRule type="expression" dxfId="25" priority="144" stopIfTrue="1">
      <formula>J59&lt;=3.5</formula>
    </cfRule>
    <cfRule type="expression" dxfId="24" priority="145" stopIfTrue="1">
      <formula>J59&lt;4</formula>
    </cfRule>
    <cfRule type="expression" dxfId="23" priority="146" stopIfTrue="1">
      <formula>J59&gt;=4</formula>
    </cfRule>
  </conditionalFormatting>
  <conditionalFormatting sqref="F65">
    <cfRule type="expression" dxfId="22" priority="147" stopIfTrue="1">
      <formula>#REF!&lt;=1</formula>
    </cfRule>
    <cfRule type="expression" dxfId="21" priority="148" stopIfTrue="1">
      <formula>#REF!&lt;2</formula>
    </cfRule>
    <cfRule type="expression" dxfId="20" priority="149" stopIfTrue="1">
      <formula>#REF!&lt;3</formula>
    </cfRule>
    <cfRule type="expression" dxfId="19" priority="150" stopIfTrue="1">
      <formula>#REF!&lt;=3.5</formula>
    </cfRule>
    <cfRule type="expression" dxfId="18" priority="151" stopIfTrue="1">
      <formula>#REF!&lt;=4</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872D4-EFAD-44E8-9991-6C88FFC643D9}">
  <sheetPr codeName="Sheet12">
    <tabColor rgb="FFF39A91"/>
  </sheetPr>
  <dimension ref="A1:P1579"/>
  <sheetViews>
    <sheetView showGridLines="0" workbookViewId="0"/>
  </sheetViews>
  <sheetFormatPr baseColWidth="10" defaultColWidth="1.33203125" defaultRowHeight="14" zeroHeight="1" x14ac:dyDescent="0.2"/>
  <cols>
    <col min="1" max="1" width="5.83203125" style="14" customWidth="1"/>
    <col min="2" max="2" width="15.5" style="14" customWidth="1"/>
    <col min="3" max="3" width="35.5" style="14" customWidth="1"/>
    <col min="4" max="4" width="21" style="14" customWidth="1"/>
    <col min="5" max="5" width="7.5" style="14" customWidth="1"/>
    <col min="6" max="6" width="22.33203125" style="45" customWidth="1"/>
    <col min="7" max="7" width="7.5" style="14" customWidth="1"/>
    <col min="8" max="8" width="22.6640625" style="14" customWidth="1"/>
    <col min="9" max="9" width="7.5" style="14" customWidth="1"/>
    <col min="10" max="10" width="22.5" style="14" customWidth="1"/>
    <col min="11" max="11" width="7.5" style="14" customWidth="1"/>
    <col min="12" max="12" width="19.83203125" style="14" customWidth="1"/>
    <col min="13" max="13" width="6.83203125" style="14" customWidth="1"/>
    <col min="14" max="14" width="24.6640625" style="14" customWidth="1"/>
    <col min="15" max="15" width="7.1640625" style="14" customWidth="1"/>
    <col min="16" max="16" width="8.83203125" style="14" customWidth="1"/>
    <col min="17" max="16384" width="1.33203125" style="14"/>
  </cols>
  <sheetData>
    <row r="1" spans="1:16" s="74" customFormat="1" ht="28.5" customHeight="1" x14ac:dyDescent="0.3">
      <c r="A1" s="28"/>
      <c r="B1" s="85" t="s">
        <v>847</v>
      </c>
      <c r="C1" s="29"/>
      <c r="D1" s="28"/>
      <c r="E1" s="31"/>
      <c r="F1" s="46"/>
      <c r="G1" s="31"/>
      <c r="H1" s="31"/>
      <c r="I1" s="31"/>
      <c r="J1" s="31"/>
      <c r="K1" s="31"/>
      <c r="L1" s="28"/>
      <c r="M1" s="28"/>
      <c r="N1" s="28"/>
      <c r="O1" s="28"/>
      <c r="P1" s="28"/>
    </row>
    <row r="2" spans="1:16" s="19" customFormat="1" ht="16.5" customHeight="1" x14ac:dyDescent="0.2">
      <c r="A2" s="15"/>
      <c r="B2" s="16"/>
      <c r="C2" s="42"/>
      <c r="D2" s="15"/>
      <c r="E2" s="18"/>
      <c r="F2" s="43"/>
      <c r="G2" s="18"/>
      <c r="H2" s="18"/>
      <c r="I2" s="18"/>
      <c r="J2" s="18"/>
      <c r="K2" s="18"/>
      <c r="L2" s="15"/>
      <c r="M2" s="15"/>
      <c r="N2" s="15"/>
      <c r="O2" s="75"/>
      <c r="P2" s="15"/>
    </row>
    <row r="3" spans="1:16" ht="16.5" customHeight="1" x14ac:dyDescent="0.3">
      <c r="A3" s="142"/>
      <c r="B3" s="142"/>
      <c r="C3" s="211" t="s">
        <v>1038</v>
      </c>
      <c r="D3" s="211"/>
      <c r="E3" s="211"/>
      <c r="F3" s="211"/>
      <c r="J3" s="202"/>
      <c r="K3" s="202"/>
      <c r="L3" s="202"/>
      <c r="M3" s="202"/>
      <c r="N3" s="202"/>
      <c r="O3" s="49"/>
      <c r="P3" s="72"/>
    </row>
    <row r="4" spans="1:16" ht="25.5" customHeight="1" x14ac:dyDescent="0.2">
      <c r="A4" s="142"/>
      <c r="B4" s="142" t="s">
        <v>845</v>
      </c>
      <c r="C4" s="211"/>
      <c r="D4" s="211"/>
      <c r="E4" s="211"/>
      <c r="F4" s="211"/>
      <c r="L4" s="141" t="s">
        <v>1039</v>
      </c>
      <c r="M4" s="219" t="s">
        <v>1042</v>
      </c>
      <c r="N4" s="220"/>
      <c r="O4" s="49"/>
    </row>
    <row r="5" spans="1:16" ht="20.25" customHeight="1" x14ac:dyDescent="0.2">
      <c r="A5" s="142"/>
      <c r="B5" s="142"/>
      <c r="C5" s="211"/>
      <c r="D5" s="211"/>
      <c r="E5" s="211"/>
      <c r="F5" s="211"/>
      <c r="L5" s="203"/>
      <c r="M5" s="203"/>
      <c r="N5" s="203"/>
      <c r="O5" s="73"/>
    </row>
    <row r="6" spans="1:16" ht="23.25" customHeight="1" x14ac:dyDescent="0.2">
      <c r="A6" s="59"/>
      <c r="B6" s="143" t="str">
        <f>_xlfn.CONCAT("Compliance Overview", IF(M4&lt;&gt;""," - ",""),M4)</f>
        <v>Compliance Overview - CMMC 2.0</v>
      </c>
      <c r="C6" s="79"/>
      <c r="D6" s="79"/>
      <c r="E6" s="78"/>
      <c r="F6" s="81"/>
      <c r="G6" s="78"/>
      <c r="H6" s="82"/>
      <c r="I6" s="78"/>
      <c r="J6" s="82"/>
      <c r="K6" s="78"/>
      <c r="L6" s="79"/>
      <c r="M6" s="79"/>
      <c r="N6" s="79"/>
      <c r="O6" s="48"/>
      <c r="P6" s="48"/>
    </row>
    <row r="7" spans="1:16" ht="27.75" customHeight="1" x14ac:dyDescent="0.2">
      <c r="A7" s="48"/>
      <c r="D7" s="59"/>
      <c r="N7" s="123"/>
    </row>
    <row r="8" spans="1:16" ht="27.75" customHeight="1" x14ac:dyDescent="0.3">
      <c r="A8" s="48"/>
      <c r="C8" s="217" t="s">
        <v>1045</v>
      </c>
      <c r="D8" s="217"/>
      <c r="E8" s="106"/>
      <c r="F8" s="182" t="s">
        <v>1046</v>
      </c>
      <c r="G8" s="183"/>
      <c r="H8" s="182" t="s">
        <v>1047</v>
      </c>
      <c r="I8" s="183"/>
      <c r="J8" s="182" t="s">
        <v>1048</v>
      </c>
      <c r="K8" s="183"/>
      <c r="L8" s="182" t="s">
        <v>1049</v>
      </c>
      <c r="N8" s="123"/>
    </row>
    <row r="9" spans="1:16" ht="27.75" customHeight="1" x14ac:dyDescent="0.35">
      <c r="A9" s="48"/>
      <c r="C9" s="216" t="str">
        <f ca="1">IFERROR(ROUND(SUM($I$63:$I$182)/SUMIFS($G$63:$G$182,$I$63:$I$182,"&gt;0")*100/4,0) &amp; "%","-")</f>
        <v>-</v>
      </c>
      <c r="D9" s="216"/>
      <c r="F9" s="184">
        <f>COUNTIFS(Data!BA3:BA962,"&gt;0",Data!AW3:AW962,"="&amp;Compliance!M4)</f>
        <v>104</v>
      </c>
      <c r="G9" s="185"/>
      <c r="H9" s="184">
        <f>COUNTIFS(Data!BA3:BA962,"=1",Data!AW3:AW962,"="&amp;Compliance!M4)</f>
        <v>61</v>
      </c>
      <c r="I9" s="184"/>
      <c r="J9" s="184">
        <f>COUNTIFS(Data!BA3:BA962,"&gt;0",Data!BA3:BA962,"&lt;1",Data!AW3:AW962,"="&amp;Compliance!M4)</f>
        <v>43</v>
      </c>
      <c r="K9" s="184"/>
      <c r="L9" s="184">
        <f>COUNTIFS(Data!BA3:BA962,"="&amp;"",Data!AW3:AW962,"="&amp;Compliance!M4)</f>
        <v>16</v>
      </c>
      <c r="N9" s="123"/>
    </row>
    <row r="10" spans="1:16" ht="27.75" customHeight="1" x14ac:dyDescent="0.2">
      <c r="A10" s="48"/>
      <c r="C10" s="218" t="str">
        <f ca="1">IF(C9="-","",REPT("█",ROUND(C9*10,0))&amp;REPT("░",10-ROUND(C9*10,0)))</f>
        <v/>
      </c>
      <c r="D10" s="218"/>
      <c r="H10" s="164" t="str">
        <f>"(" &amp; TEXT(H9/($F$9+$L$9),"#0%") &amp; ")"</f>
        <v>(51%)</v>
      </c>
      <c r="I10" s="165"/>
      <c r="J10" s="164" t="str">
        <f>"(" &amp; TEXT(J9/($F$9+$L$9),"#0%") &amp; ")"</f>
        <v>(36%)</v>
      </c>
      <c r="K10" s="165"/>
      <c r="L10" s="164" t="str">
        <f>"(" &amp; TEXT(L9/($F$9+$L$9),"#0%") &amp; ")"</f>
        <v>(13%)</v>
      </c>
      <c r="N10" s="123"/>
    </row>
    <row r="11" spans="1:16" ht="18.75" customHeight="1" x14ac:dyDescent="0.2">
      <c r="A11" s="48"/>
      <c r="D11" s="59"/>
      <c r="N11" s="123"/>
    </row>
    <row r="12" spans="1:16" x14ac:dyDescent="0.2"/>
    <row r="13" spans="1:16" ht="23.25" customHeight="1" x14ac:dyDescent="0.2">
      <c r="A13" s="59"/>
      <c r="B13" s="143" t="s">
        <v>1051</v>
      </c>
      <c r="C13" s="79"/>
      <c r="D13" s="79"/>
      <c r="E13" s="78"/>
      <c r="F13" s="81"/>
      <c r="G13" s="78"/>
      <c r="H13" s="82"/>
      <c r="I13" s="78"/>
      <c r="J13" s="82"/>
      <c r="K13" s="78"/>
      <c r="L13" s="79"/>
      <c r="M13" s="79"/>
      <c r="N13" s="79"/>
      <c r="O13" s="48"/>
      <c r="P13" s="48"/>
    </row>
    <row r="14" spans="1:16" ht="18.75" customHeight="1" x14ac:dyDescent="0.2">
      <c r="A14" s="48"/>
      <c r="D14" s="59"/>
      <c r="N14" s="123"/>
    </row>
    <row r="15" spans="1:16" ht="22.5" customHeight="1" x14ac:dyDescent="0.2">
      <c r="A15" s="48"/>
      <c r="B15" s="180" t="s">
        <v>1189</v>
      </c>
      <c r="D15" s="59"/>
      <c r="N15" s="123"/>
    </row>
    <row r="16" spans="1:16" ht="9.75" customHeight="1" x14ac:dyDescent="0.2">
      <c r="A16" s="48"/>
      <c r="D16" s="59"/>
      <c r="N16" s="123"/>
    </row>
    <row r="17" spans="1:16" ht="27.75" customHeight="1" x14ac:dyDescent="0.2">
      <c r="A17" s="48"/>
      <c r="B17" s="112" t="s">
        <v>1052</v>
      </c>
      <c r="C17" s="112"/>
      <c r="D17" s="104" t="s">
        <v>1054</v>
      </c>
      <c r="F17" s="104" t="s">
        <v>1024</v>
      </c>
      <c r="H17" s="104" t="s">
        <v>1056</v>
      </c>
      <c r="J17" s="104" t="s">
        <v>1134</v>
      </c>
      <c r="L17" s="104"/>
    </row>
    <row r="18" spans="1:16" ht="22.5" customHeight="1" x14ac:dyDescent="0.25">
      <c r="A18" s="48"/>
      <c r="B18" s="174" t="str" cm="1">
        <f t="array" ref="B18:B29">_xlfn.UNIQUE(B63:B182)</f>
        <v>CVI_1 - Asset Discovery &amp; Classification</v>
      </c>
      <c r="C18" s="175"/>
      <c r="D18" s="176">
        <f t="shared" ref="D18:D22" si="0">IFERROR(SUMIFS($G$63:$G$182,$B$63:$B$182,"="&amp;B18,$G$63:$G$182,"&gt;0")/COUNTIFS($B$63:$B$182,"="&amp;B18, $G$63:$G$182,"&gt;0"),"-")</f>
        <v>0.87999999999999989</v>
      </c>
      <c r="E18" s="20"/>
      <c r="F18" s="176" t="str">
        <f t="shared" ref="F18:F29" ca="1" si="1">IFERROR(ROUND(SUMIFS($I$63:$I$182,$B$63:$B$182,"="&amp;B18)/SUMIFS($G$63:$G$182,$B$63:$B$182,"="&amp;B18,$I$63:$I$182,"&gt;0")*100/4,0)&amp;"%","-")</f>
        <v>-</v>
      </c>
      <c r="G18" s="97"/>
      <c r="H18" s="177">
        <f t="shared" ref="H18:H29" ca="1" si="2">IFERROR(D18*F18,0)</f>
        <v>0</v>
      </c>
      <c r="I18" s="97"/>
      <c r="J18" s="178" t="str" cm="1">
        <f t="array" ref="J18">_xlfn.IFS(D18="-","-",D18&gt;=0.8,"HIGH",D18&gt;=0.6,"MEDIUM",1=1,"LOW")</f>
        <v>HIGH</v>
      </c>
      <c r="K18" s="48"/>
    </row>
    <row r="19" spans="1:16" ht="22.5" customHeight="1" x14ac:dyDescent="0.25">
      <c r="A19" s="48"/>
      <c r="B19" s="174" t="str">
        <v>CVI_2 - Vulnerability Scanning &amp; Analysis</v>
      </c>
      <c r="C19" s="179"/>
      <c r="D19" s="176">
        <f t="shared" si="0"/>
        <v>0.857142857142857</v>
      </c>
      <c r="E19" s="20"/>
      <c r="F19" s="176" t="str">
        <f t="shared" ca="1" si="1"/>
        <v>-</v>
      </c>
      <c r="G19" s="97"/>
      <c r="H19" s="177">
        <f t="shared" ca="1" si="2"/>
        <v>0</v>
      </c>
      <c r="I19" s="97"/>
      <c r="J19" s="178" t="str" cm="1">
        <f t="array" ref="J19">_xlfn.IFS(D19="-","-",D19&gt;=0.8,"HIGH",D19&gt;=0.6,"MEDIUM",1=1,"LOW")</f>
        <v>HIGH</v>
      </c>
      <c r="K19" s="48"/>
    </row>
    <row r="20" spans="1:16" ht="22.5" customHeight="1" x14ac:dyDescent="0.25">
      <c r="A20" s="48"/>
      <c r="B20" s="174" t="str">
        <v>CVI_3 - Risk Prioritization &amp; Tracking</v>
      </c>
      <c r="C20" s="179"/>
      <c r="D20" s="176">
        <f t="shared" si="0"/>
        <v>0.88571428571428557</v>
      </c>
      <c r="E20" s="20"/>
      <c r="F20" s="176" t="str">
        <f t="shared" ca="1" si="1"/>
        <v>-</v>
      </c>
      <c r="G20" s="97"/>
      <c r="H20" s="177">
        <f t="shared" ca="1" si="2"/>
        <v>0</v>
      </c>
      <c r="I20" s="97"/>
      <c r="J20" s="178" t="str" cm="1">
        <f t="array" ref="J20">_xlfn.IFS(D20="-","-",D20&gt;=0.8,"HIGH",D20&gt;=0.6,"MEDIUM",1=1,"LOW")</f>
        <v>HIGH</v>
      </c>
      <c r="K20" s="48"/>
    </row>
    <row r="21" spans="1:16" ht="22.5" customHeight="1" x14ac:dyDescent="0.25">
      <c r="A21" s="48"/>
      <c r="B21" s="174" t="str">
        <v>SGRM_1 - Governance Structure &amp; Leadership</v>
      </c>
      <c r="C21" s="179"/>
      <c r="D21" s="176">
        <f t="shared" si="0"/>
        <v>0.77999999999999992</v>
      </c>
      <c r="E21" s="20"/>
      <c r="F21" s="176" t="str">
        <f t="shared" ca="1" si="1"/>
        <v>-</v>
      </c>
      <c r="G21" s="97"/>
      <c r="H21" s="177">
        <f t="shared" ca="1" si="2"/>
        <v>0</v>
      </c>
      <c r="I21" s="97"/>
      <c r="J21" s="178" t="str" cm="1">
        <f t="array" ref="J21">_xlfn.IFS(D21="-","-",D21&gt;=0.8,"HIGH",D21&gt;=0.6,"MEDIUM",1=1,"LOW")</f>
        <v>MEDIUM</v>
      </c>
      <c r="K21" s="48"/>
    </row>
    <row r="22" spans="1:16" ht="22.5" customHeight="1" x14ac:dyDescent="0.25">
      <c r="A22" s="48"/>
      <c r="B22" s="174" t="str">
        <v>SGRM_2 - Risk Management Framework</v>
      </c>
      <c r="C22" s="179"/>
      <c r="D22" s="176">
        <f t="shared" si="0"/>
        <v>0.911111111111111</v>
      </c>
      <c r="E22" s="20"/>
      <c r="F22" s="176" t="str">
        <f t="shared" ca="1" si="1"/>
        <v>-</v>
      </c>
      <c r="G22" s="97"/>
      <c r="H22" s="177">
        <f t="shared" ca="1" si="2"/>
        <v>0</v>
      </c>
      <c r="I22" s="97"/>
      <c r="J22" s="178" t="str" cm="1">
        <f t="array" ref="J22">_xlfn.IFS(D22="-","-",D22&gt;=0.8,"HIGH",D22&gt;=0.6,"MEDIUM",1=1,"LOW")</f>
        <v>HIGH</v>
      </c>
      <c r="K22" s="48"/>
    </row>
    <row r="23" spans="1:16" ht="22.5" customHeight="1" x14ac:dyDescent="0.25">
      <c r="A23" s="48"/>
      <c r="B23" s="174" t="str">
        <v>SGRM_3 - Compliance &amp; Audit</v>
      </c>
      <c r="C23" s="179"/>
      <c r="D23" s="176">
        <f>IFERROR(SUMIFS($G$63:$G$182,$B$63:$B$182,"="&amp;B23,$G$63:$G$182,"&gt;0")/COUNTIFS($B$63:$B$182,"="&amp;B23, $G$63:$G$182,"&gt;0"),"-")</f>
        <v>0.91999999999999993</v>
      </c>
      <c r="E23" s="20"/>
      <c r="F23" s="176" t="str">
        <f t="shared" ca="1" si="1"/>
        <v>-</v>
      </c>
      <c r="G23" s="97"/>
      <c r="H23" s="177">
        <f t="shared" ca="1" si="2"/>
        <v>0</v>
      </c>
      <c r="I23" s="97"/>
      <c r="J23" s="178" t="str" cm="1">
        <f t="array" ref="J23">_xlfn.IFS(D23="-","-",D23&gt;=0.8,"HIGH",D23&gt;=0.6,"MEDIUM",1=1,"LOW")</f>
        <v>HIGH</v>
      </c>
      <c r="K23" s="48"/>
    </row>
    <row r="24" spans="1:16" ht="22.5" customHeight="1" x14ac:dyDescent="0.25">
      <c r="A24" s="48"/>
      <c r="B24" s="174" t="str">
        <v>DPE_1 - Encryption Implementation</v>
      </c>
      <c r="C24" s="179"/>
      <c r="D24" s="176">
        <f t="shared" ref="D24:D29" si="3">IFERROR(SUMIFS($G$63:$G$182,$B$63:$B$182,"="&amp;B24,$G$63:$G$182,"&gt;0")/COUNTIFS($B$63:$B$182,"="&amp;B24, $G$63:$G$182,"&gt;0"),"-")</f>
        <v>0.86</v>
      </c>
      <c r="E24" s="20"/>
      <c r="F24" s="176" t="str">
        <f t="shared" ca="1" si="1"/>
        <v>-</v>
      </c>
      <c r="G24" s="97"/>
      <c r="H24" s="177">
        <f t="shared" ca="1" si="2"/>
        <v>0</v>
      </c>
      <c r="I24" s="97"/>
      <c r="J24" s="178" t="str" cm="1">
        <f t="array" ref="J24">_xlfn.IFS(D24="-","-",D24&gt;=0.8,"HIGH",D24&gt;=0.6,"MEDIUM",1=1,"LOW")</f>
        <v>HIGH</v>
      </c>
      <c r="K24" s="48"/>
    </row>
    <row r="25" spans="1:16" ht="22.5" customHeight="1" x14ac:dyDescent="0.25">
      <c r="A25" s="48"/>
      <c r="B25" s="174" t="str">
        <v>DPE_2 - Key Management Systems</v>
      </c>
      <c r="C25" s="179"/>
      <c r="D25" s="176">
        <f t="shared" si="3"/>
        <v>1</v>
      </c>
      <c r="E25" s="20"/>
      <c r="F25" s="176" t="str">
        <f t="shared" ca="1" si="1"/>
        <v>-</v>
      </c>
      <c r="G25" s="97"/>
      <c r="H25" s="177">
        <f t="shared" ca="1" si="2"/>
        <v>0</v>
      </c>
      <c r="I25" s="97"/>
      <c r="J25" s="178" t="str" cm="1">
        <f t="array" ref="J25">_xlfn.IFS(D25="-","-",D25&gt;=0.8,"HIGH",D25&gt;=0.6,"MEDIUM",1=1,"LOW")</f>
        <v>HIGH</v>
      </c>
      <c r="K25" s="48"/>
    </row>
    <row r="26" spans="1:16" ht="22.5" customHeight="1" x14ac:dyDescent="0.25">
      <c r="A26" s="48"/>
      <c r="B26" s="174" t="str">
        <v>DPE_3 - Data Classification &amp; Handling</v>
      </c>
      <c r="C26" s="179"/>
      <c r="D26" s="176">
        <f t="shared" si="3"/>
        <v>0.9</v>
      </c>
      <c r="E26" s="20"/>
      <c r="F26" s="176" t="str">
        <f t="shared" ca="1" si="1"/>
        <v>-</v>
      </c>
      <c r="G26" s="97"/>
      <c r="H26" s="177">
        <f t="shared" ca="1" si="2"/>
        <v>0</v>
      </c>
      <c r="I26" s="97"/>
      <c r="J26" s="178" t="str" cm="1">
        <f t="array" ref="J26">_xlfn.IFS(D26="-","-",D26&gt;=0.8,"HIGH",D26&gt;=0.6,"MEDIUM",1=1,"LOW")</f>
        <v>HIGH</v>
      </c>
      <c r="K26" s="48"/>
    </row>
    <row r="27" spans="1:16" ht="22.5" customHeight="1" x14ac:dyDescent="0.25">
      <c r="A27" s="48"/>
      <c r="B27" s="174" t="str">
        <v>ITR_1 - Network Security Architecture</v>
      </c>
      <c r="C27" s="179"/>
      <c r="D27" s="176">
        <f t="shared" si="3"/>
        <v>0.97142857142857142</v>
      </c>
      <c r="E27" s="20"/>
      <c r="F27" s="176" t="str">
        <f t="shared" ca="1" si="1"/>
        <v>-</v>
      </c>
      <c r="G27" s="97"/>
      <c r="H27" s="177">
        <f t="shared" ca="1" si="2"/>
        <v>0</v>
      </c>
      <c r="I27" s="97"/>
      <c r="J27" s="178" t="str" cm="1">
        <f t="array" ref="J27">_xlfn.IFS(D27="-","-",D27&gt;=0.8,"HIGH",D27&gt;=0.6,"MEDIUM",1=1,"LOW")</f>
        <v>HIGH</v>
      </c>
      <c r="K27" s="48"/>
    </row>
    <row r="28" spans="1:16" ht="22.5" customHeight="1" x14ac:dyDescent="0.25">
      <c r="A28" s="48"/>
      <c r="B28" s="174" t="str">
        <v>ITR_2 - System Hardening &amp; Updates</v>
      </c>
      <c r="C28" s="179"/>
      <c r="D28" s="176">
        <f t="shared" si="3"/>
        <v>1</v>
      </c>
      <c r="E28" s="20"/>
      <c r="F28" s="176" t="str">
        <f t="shared" ca="1" si="1"/>
        <v>-</v>
      </c>
      <c r="G28" s="97"/>
      <c r="H28" s="177">
        <f t="shared" ca="1" si="2"/>
        <v>0</v>
      </c>
      <c r="I28" s="97"/>
      <c r="J28" s="178" t="str" cm="1">
        <f t="array" ref="J28">_xlfn.IFS(D28="-","-",D28&gt;=0.8,"HIGH",D28&gt;=0.6,"MEDIUM",1=1,"LOW")</f>
        <v>HIGH</v>
      </c>
      <c r="K28" s="48"/>
    </row>
    <row r="29" spans="1:16" ht="22.5" customHeight="1" x14ac:dyDescent="0.25">
      <c r="A29" s="48"/>
      <c r="B29" s="174" t="str">
        <v>ITR_3 - Incident Response &amp; Recovery</v>
      </c>
      <c r="C29" s="179"/>
      <c r="D29" s="176">
        <f t="shared" si="3"/>
        <v>0.97142857142857142</v>
      </c>
      <c r="E29" s="20"/>
      <c r="F29" s="176" t="str">
        <f t="shared" ca="1" si="1"/>
        <v>-</v>
      </c>
      <c r="G29" s="97"/>
      <c r="H29" s="177">
        <f t="shared" ca="1" si="2"/>
        <v>0</v>
      </c>
      <c r="I29" s="97"/>
      <c r="J29" s="178" t="str" cm="1">
        <f t="array" ref="J29">_xlfn.IFS(D29="-","-",D29&gt;=0.8,"HIGH",D29&gt;=0.6,"MEDIUM",1=1,"LOW")</f>
        <v>HIGH</v>
      </c>
      <c r="K29" s="48"/>
    </row>
    <row r="30" spans="1:16" ht="18" customHeight="1" x14ac:dyDescent="0.2">
      <c r="A30" s="48"/>
      <c r="D30" s="59"/>
      <c r="F30" s="37"/>
      <c r="G30" s="48"/>
      <c r="H30" s="169"/>
      <c r="I30" s="48"/>
      <c r="J30" s="48"/>
      <c r="K30" s="48"/>
      <c r="L30" s="48"/>
      <c r="N30" s="123"/>
    </row>
    <row r="31" spans="1:16" ht="16.5" customHeight="1" x14ac:dyDescent="0.2">
      <c r="A31" s="48"/>
      <c r="D31" s="59"/>
      <c r="N31" s="123"/>
    </row>
    <row r="32" spans="1:16" ht="23.25" customHeight="1" x14ac:dyDescent="0.2">
      <c r="A32" s="59"/>
      <c r="B32" s="143" t="s">
        <v>1050</v>
      </c>
      <c r="C32" s="79"/>
      <c r="D32" s="79"/>
      <c r="E32" s="78"/>
      <c r="F32" s="81"/>
      <c r="G32" s="78"/>
      <c r="H32" s="82"/>
      <c r="I32" s="78"/>
      <c r="J32" s="82"/>
      <c r="K32" s="78"/>
      <c r="L32" s="79"/>
      <c r="M32" s="79"/>
      <c r="N32" s="79"/>
      <c r="O32" s="48"/>
      <c r="P32" s="48"/>
    </row>
    <row r="33" spans="1:15" ht="27.75" customHeight="1" x14ac:dyDescent="0.2">
      <c r="A33" s="48"/>
      <c r="D33" s="59"/>
      <c r="N33" s="123"/>
    </row>
    <row r="34" spans="1:15" ht="32.25" customHeight="1" x14ac:dyDescent="0.2">
      <c r="A34" s="48"/>
      <c r="C34" s="171" t="str" cm="1">
        <f t="array" aca="1" ref="C34" ca="1">IF(COUNTIF(I63:I182,"&gt;0")=0,"-",_xlfn.UNIQUE(_xlfn._xlws.FILTER(F63:F182,I63:I182&gt;0)))</f>
        <v>-</v>
      </c>
      <c r="D34" s="172" t="str">
        <f t="shared" ref="D34:D39" ca="1" si="4">IFERROR(REPT("█",ROUND(N34/2,0)) &amp; "  " &amp; ROUND(N34,0) &amp; "%","")</f>
        <v/>
      </c>
      <c r="E34" s="172"/>
      <c r="F34" s="144"/>
      <c r="G34" s="144"/>
      <c r="H34" s="144"/>
      <c r="I34" s="144"/>
      <c r="J34" s="144"/>
      <c r="K34" s="144"/>
      <c r="L34" s="59"/>
      <c r="M34" s="59" t="str" cm="1">
        <f t="array" aca="1" ref="M34" ca="1">IF(COUNTIF(I63:I182,"&gt;0")=0,"-",_xlfn.UNIQUE(_xlfn._xlws.FILTER(E63:E182,I63:I182&gt;0)))</f>
        <v>-</v>
      </c>
      <c r="N34" s="59" t="str">
        <f ca="1">IFERROR(SUMIFS($I$63:$I$182,$E$63:$E$182,"="&amp;M34)/SUMIFS($G$63:$G$182,$E$63:$E$182,"="&amp;M34,$I$63:$I$182,"&gt;0")*100/4,"-")</f>
        <v>-</v>
      </c>
      <c r="O34" s="59"/>
    </row>
    <row r="35" spans="1:15" ht="32.25" customHeight="1" x14ac:dyDescent="0.2">
      <c r="A35" s="48"/>
      <c r="C35" s="171"/>
      <c r="D35" s="172" t="str">
        <f t="shared" si="4"/>
        <v/>
      </c>
      <c r="E35" s="172"/>
      <c r="F35" s="144"/>
      <c r="G35" s="144"/>
      <c r="H35" s="144"/>
      <c r="I35" s="144"/>
      <c r="J35" s="144"/>
      <c r="K35" s="144"/>
      <c r="L35" s="59"/>
      <c r="M35" s="59"/>
      <c r="N35" s="59" t="str">
        <f>IFERROR(SUMIFS($I$63:$I$182,$E$63:$E$182,"="&amp;M35)/SUMIFS($G$63:$G$182,$E$63:$E$182,"="&amp;M35,$I$63:$I$182,"&gt;0")*100/4,"-")</f>
        <v>-</v>
      </c>
      <c r="O35" s="59"/>
    </row>
    <row r="36" spans="1:15" ht="32.25" customHeight="1" x14ac:dyDescent="0.2">
      <c r="A36" s="48"/>
      <c r="C36" s="171"/>
      <c r="D36" s="172" t="str">
        <f t="shared" si="4"/>
        <v/>
      </c>
      <c r="E36" s="172"/>
      <c r="F36" s="144"/>
      <c r="G36" s="144"/>
      <c r="H36" s="144"/>
      <c r="I36" s="144"/>
      <c r="J36" s="144"/>
      <c r="K36" s="144"/>
      <c r="L36" s="59"/>
      <c r="M36" s="59"/>
      <c r="N36" s="59" t="str">
        <f>IFERROR(SUMIFS($I$63:$I$182,$E$63:$E$182,"="&amp;M36)/SUMIFS($G$63:$G$182,$E$63:$E$182,"="&amp;M36,$I$63:$I$182,"&gt;0")*100/4,"-")</f>
        <v>-</v>
      </c>
      <c r="O36" s="59"/>
    </row>
    <row r="37" spans="1:15" ht="32.25" customHeight="1" x14ac:dyDescent="0.2">
      <c r="A37" s="48"/>
      <c r="C37" s="171"/>
      <c r="D37" s="172" t="str">
        <f t="shared" si="4"/>
        <v/>
      </c>
      <c r="E37" s="172"/>
      <c r="F37" s="144"/>
      <c r="G37" s="144"/>
      <c r="H37" s="144"/>
      <c r="I37" s="144"/>
      <c r="J37" s="144"/>
      <c r="K37" s="144"/>
      <c r="L37" s="59"/>
      <c r="M37" s="59"/>
      <c r="N37" s="59" t="str">
        <f>IFERROR(SUMIFS($I$63:$I$182,$E$63:$E$182,"="&amp;M37)/SUMIFS($G$63:$G$182,$E$63:$E$182,"="&amp;M37,$I$63:$I$182,"&gt;0")*100/4,"-")</f>
        <v>-</v>
      </c>
      <c r="O37" s="59"/>
    </row>
    <row r="38" spans="1:15" ht="32.25" customHeight="1" x14ac:dyDescent="0.2">
      <c r="A38" s="48"/>
      <c r="C38" s="171"/>
      <c r="D38" s="172" t="str">
        <f t="shared" si="4"/>
        <v/>
      </c>
      <c r="E38" s="172"/>
      <c r="F38" s="144"/>
      <c r="G38" s="144"/>
      <c r="H38" s="144"/>
      <c r="I38" s="144"/>
      <c r="J38" s="144"/>
      <c r="K38" s="144"/>
      <c r="L38" s="59"/>
      <c r="M38" s="59"/>
      <c r="N38" s="59" t="str">
        <f>IFERROR(SUMIFS($I$63:$I$182,$E$63:$E$182,"="&amp;M38)/SUMIFS($G$63:$G$182,$E$63:$E$182,"="&amp;M38,$I$63:$I$182,"&gt;0")*100/4,"-")</f>
        <v>-</v>
      </c>
      <c r="O38" s="59"/>
    </row>
    <row r="39" spans="1:15" ht="32.25" customHeight="1" x14ac:dyDescent="0.2">
      <c r="A39" s="48"/>
      <c r="C39" s="171"/>
      <c r="D39" s="172" t="str">
        <f t="shared" si="4"/>
        <v/>
      </c>
      <c r="E39" s="172"/>
      <c r="F39" s="144"/>
      <c r="G39" s="144"/>
      <c r="H39" s="144"/>
      <c r="I39" s="144"/>
      <c r="J39" s="144"/>
      <c r="K39" s="144"/>
      <c r="L39" s="59"/>
      <c r="M39" s="59"/>
      <c r="N39" s="59" t="str">
        <f t="shared" ref="N39:N52" si="5">IFERROR(SUMIFS($I$63:$I$182,$E$63:$E$182,"="&amp;M39)/SUMIFS($G$63:$G$182,$E$63:$E$182,"="&amp;M39,$I$63:$I$182,"&gt;0")*100/4,"-")</f>
        <v>-</v>
      </c>
      <c r="O39" s="59"/>
    </row>
    <row r="40" spans="1:15" ht="32.25" customHeight="1" x14ac:dyDescent="0.2">
      <c r="A40" s="48"/>
      <c r="C40" s="171"/>
      <c r="D40" s="172" t="str">
        <f t="shared" ref="D40:D52" si="6">IFERROR(REPT("█",ROUND(N40/2,0)) &amp; "  " &amp; ROUND(N40,0) &amp; "%","")</f>
        <v/>
      </c>
      <c r="E40" s="172"/>
      <c r="F40" s="172"/>
      <c r="G40" s="144"/>
      <c r="H40" s="144"/>
      <c r="I40" s="144"/>
      <c r="J40" s="144"/>
      <c r="K40" s="144"/>
      <c r="L40" s="59"/>
      <c r="M40" s="59"/>
      <c r="N40" s="59" t="str">
        <f t="shared" si="5"/>
        <v>-</v>
      </c>
      <c r="O40" s="59"/>
    </row>
    <row r="41" spans="1:15" ht="32.25" customHeight="1" x14ac:dyDescent="0.2">
      <c r="A41" s="48"/>
      <c r="C41" s="171"/>
      <c r="D41" s="172" t="str">
        <f t="shared" si="6"/>
        <v/>
      </c>
      <c r="E41" s="172"/>
      <c r="F41" s="172"/>
      <c r="G41" s="144"/>
      <c r="H41" s="144"/>
      <c r="I41" s="144"/>
      <c r="J41" s="144"/>
      <c r="K41" s="144"/>
      <c r="L41" s="59"/>
      <c r="M41" s="59"/>
      <c r="N41" s="59" t="str">
        <f t="shared" si="5"/>
        <v>-</v>
      </c>
      <c r="O41" s="59"/>
    </row>
    <row r="42" spans="1:15" ht="32.25" customHeight="1" x14ac:dyDescent="0.2">
      <c r="A42" s="48"/>
      <c r="C42" s="171"/>
      <c r="D42" s="172" t="str">
        <f t="shared" si="6"/>
        <v/>
      </c>
      <c r="E42" s="172"/>
      <c r="F42" s="172"/>
      <c r="G42" s="144"/>
      <c r="H42" s="144"/>
      <c r="I42" s="144"/>
      <c r="J42" s="144"/>
      <c r="K42" s="144"/>
      <c r="L42" s="59"/>
      <c r="M42" s="59"/>
      <c r="N42" s="59" t="str">
        <f t="shared" si="5"/>
        <v>-</v>
      </c>
      <c r="O42" s="59"/>
    </row>
    <row r="43" spans="1:15" ht="32.25" customHeight="1" x14ac:dyDescent="0.2">
      <c r="A43" s="48"/>
      <c r="C43" s="171"/>
      <c r="D43" s="172" t="str">
        <f t="shared" si="6"/>
        <v/>
      </c>
      <c r="E43" s="172"/>
      <c r="F43" s="172"/>
      <c r="G43" s="144"/>
      <c r="H43" s="144"/>
      <c r="I43" s="144"/>
      <c r="J43" s="144"/>
      <c r="K43" s="144"/>
      <c r="L43" s="59"/>
      <c r="M43" s="59"/>
      <c r="N43" s="59" t="str">
        <f t="shared" si="5"/>
        <v>-</v>
      </c>
      <c r="O43" s="59"/>
    </row>
    <row r="44" spans="1:15" ht="32.25" customHeight="1" x14ac:dyDescent="0.2">
      <c r="A44" s="48"/>
      <c r="C44" s="171"/>
      <c r="D44" s="172" t="str">
        <f t="shared" si="6"/>
        <v/>
      </c>
      <c r="E44" s="172"/>
      <c r="F44" s="172"/>
      <c r="G44" s="144"/>
      <c r="H44" s="144"/>
      <c r="I44" s="144"/>
      <c r="J44" s="144"/>
      <c r="K44" s="144"/>
      <c r="L44" s="59"/>
      <c r="M44" s="59"/>
      <c r="N44" s="59" t="str">
        <f t="shared" si="5"/>
        <v>-</v>
      </c>
      <c r="O44" s="59"/>
    </row>
    <row r="45" spans="1:15" ht="32.25" customHeight="1" x14ac:dyDescent="0.2">
      <c r="A45" s="48"/>
      <c r="C45" s="171"/>
      <c r="D45" s="172" t="str">
        <f t="shared" si="6"/>
        <v/>
      </c>
      <c r="E45" s="172"/>
      <c r="F45" s="172"/>
      <c r="G45" s="144"/>
      <c r="H45" s="144"/>
      <c r="I45" s="144"/>
      <c r="J45" s="144"/>
      <c r="K45" s="144"/>
      <c r="L45" s="59"/>
      <c r="M45" s="59"/>
      <c r="N45" s="59" t="str">
        <f t="shared" si="5"/>
        <v>-</v>
      </c>
      <c r="O45" s="59"/>
    </row>
    <row r="46" spans="1:15" ht="32.25" customHeight="1" x14ac:dyDescent="0.2">
      <c r="A46" s="48"/>
      <c r="C46" s="171"/>
      <c r="D46" s="172" t="str">
        <f t="shared" si="6"/>
        <v/>
      </c>
      <c r="E46" s="168"/>
      <c r="F46" s="144"/>
      <c r="G46" s="144"/>
      <c r="H46" s="144"/>
      <c r="I46" s="144"/>
      <c r="J46" s="144"/>
      <c r="K46" s="144"/>
      <c r="L46" s="59"/>
      <c r="M46" s="59"/>
      <c r="N46" s="181" t="str">
        <f t="shared" si="5"/>
        <v>-</v>
      </c>
      <c r="O46" s="59"/>
    </row>
    <row r="47" spans="1:15" ht="32.25" customHeight="1" x14ac:dyDescent="0.2">
      <c r="A47" s="48"/>
      <c r="C47" s="171"/>
      <c r="D47" s="172" t="str">
        <f t="shared" si="6"/>
        <v/>
      </c>
      <c r="E47" s="168"/>
      <c r="F47" s="144"/>
      <c r="G47" s="144"/>
      <c r="H47" s="144"/>
      <c r="I47" s="144"/>
      <c r="J47" s="144"/>
      <c r="K47" s="144"/>
      <c r="L47" s="59"/>
      <c r="M47" s="59"/>
      <c r="N47" s="181" t="str">
        <f t="shared" si="5"/>
        <v>-</v>
      </c>
      <c r="O47" s="59"/>
    </row>
    <row r="48" spans="1:15" ht="32.25" customHeight="1" x14ac:dyDescent="0.2">
      <c r="A48" s="48"/>
      <c r="C48" s="171"/>
      <c r="D48" s="172" t="str">
        <f t="shared" si="6"/>
        <v/>
      </c>
      <c r="E48" s="168"/>
      <c r="F48" s="144"/>
      <c r="G48" s="144"/>
      <c r="H48" s="144"/>
      <c r="I48" s="144"/>
      <c r="J48" s="144"/>
      <c r="K48" s="144"/>
      <c r="L48" s="59"/>
      <c r="M48" s="59"/>
      <c r="N48" s="181" t="str">
        <f t="shared" si="5"/>
        <v>-</v>
      </c>
      <c r="O48" s="59"/>
    </row>
    <row r="49" spans="1:16" ht="32.25" customHeight="1" x14ac:dyDescent="0.2">
      <c r="A49" s="48"/>
      <c r="D49" s="172" t="str">
        <f t="shared" si="6"/>
        <v/>
      </c>
      <c r="E49" s="168"/>
      <c r="F49" s="144"/>
      <c r="G49" s="144"/>
      <c r="H49" s="144"/>
      <c r="I49" s="144"/>
      <c r="J49" s="144"/>
      <c r="K49" s="144"/>
      <c r="L49" s="59"/>
      <c r="M49" s="59"/>
      <c r="N49" s="181" t="str">
        <f t="shared" si="5"/>
        <v>-</v>
      </c>
      <c r="O49" s="59"/>
    </row>
    <row r="50" spans="1:16" ht="32.25" customHeight="1" x14ac:dyDescent="0.2">
      <c r="A50" s="48"/>
      <c r="D50" s="172" t="str">
        <f t="shared" si="6"/>
        <v/>
      </c>
      <c r="E50" s="168"/>
      <c r="F50" s="144"/>
      <c r="G50" s="144"/>
      <c r="H50" s="144"/>
      <c r="I50" s="144"/>
      <c r="J50" s="144"/>
      <c r="K50" s="144"/>
      <c r="L50" s="59"/>
      <c r="M50" s="59"/>
      <c r="N50" s="181" t="str">
        <f t="shared" si="5"/>
        <v>-</v>
      </c>
      <c r="O50" s="59"/>
    </row>
    <row r="51" spans="1:16" ht="32.25" customHeight="1" x14ac:dyDescent="0.2">
      <c r="A51" s="48"/>
      <c r="D51" s="172" t="str">
        <f t="shared" si="6"/>
        <v/>
      </c>
      <c r="E51" s="168"/>
      <c r="F51" s="144"/>
      <c r="G51" s="144"/>
      <c r="H51" s="144"/>
      <c r="I51" s="144"/>
      <c r="J51" s="144"/>
      <c r="K51" s="144"/>
      <c r="L51" s="59"/>
      <c r="M51" s="59"/>
      <c r="N51" s="181" t="str">
        <f t="shared" si="5"/>
        <v>-</v>
      </c>
      <c r="O51" s="59"/>
    </row>
    <row r="52" spans="1:16" ht="32.25" customHeight="1" x14ac:dyDescent="0.2">
      <c r="A52" s="48"/>
      <c r="D52" s="172" t="str">
        <f t="shared" si="6"/>
        <v/>
      </c>
      <c r="E52" s="168"/>
      <c r="F52" s="144"/>
      <c r="G52" s="144"/>
      <c r="H52" s="144"/>
      <c r="I52" s="144"/>
      <c r="J52" s="144"/>
      <c r="K52" s="144"/>
      <c r="L52" s="59"/>
      <c r="M52" s="59"/>
      <c r="N52" s="181" t="str">
        <f t="shared" si="5"/>
        <v>-</v>
      </c>
      <c r="O52" s="59"/>
    </row>
    <row r="53" spans="1:16" ht="32.25" customHeight="1" x14ac:dyDescent="0.2">
      <c r="A53" s="48"/>
      <c r="C53" s="166"/>
      <c r="D53" s="168"/>
      <c r="E53" s="144"/>
      <c r="F53" s="144"/>
      <c r="G53" s="144"/>
      <c r="H53" s="144"/>
      <c r="I53" s="144"/>
      <c r="J53" s="144"/>
      <c r="K53" s="144"/>
      <c r="L53" s="59"/>
      <c r="M53" s="59"/>
      <c r="N53" s="181" t="str">
        <f t="shared" ref="N53:N56" si="7">IFERROR(SUMIFS($I$63:$I$182,$E$63:$E$182,"="&amp;M53)/SUMIFS($G$63:$G$182,$E$63:$E$182,"="&amp;M53,$I$63:$I$182,"&gt;0")*100/4,"-")</f>
        <v>-</v>
      </c>
      <c r="O53" s="59"/>
    </row>
    <row r="54" spans="1:16" s="74" customFormat="1" ht="27.75" customHeight="1" x14ac:dyDescent="0.2">
      <c r="E54" s="89"/>
      <c r="G54" s="90"/>
    </row>
    <row r="55" spans="1:16" ht="32.25" hidden="1" customHeight="1" x14ac:dyDescent="0.2">
      <c r="A55" s="48"/>
      <c r="C55" s="166"/>
      <c r="D55" s="168"/>
      <c r="E55" s="144"/>
      <c r="F55" s="144"/>
      <c r="G55" s="144"/>
      <c r="H55" s="144"/>
      <c r="I55" s="144"/>
      <c r="J55" s="144"/>
      <c r="K55" s="144"/>
      <c r="L55" s="144"/>
      <c r="M55" s="170"/>
      <c r="N55" s="170" t="str">
        <f t="shared" si="7"/>
        <v>-</v>
      </c>
    </row>
    <row r="56" spans="1:16" ht="9.75" hidden="1" customHeight="1" x14ac:dyDescent="0.2">
      <c r="A56" s="48"/>
      <c r="D56" s="59"/>
      <c r="M56" s="170"/>
      <c r="N56" s="170" t="str">
        <f t="shared" si="7"/>
        <v>-</v>
      </c>
    </row>
    <row r="57" spans="1:16" ht="9.75" hidden="1" customHeight="1" x14ac:dyDescent="0.2">
      <c r="A57" s="48"/>
      <c r="D57" s="59"/>
      <c r="M57" s="170"/>
      <c r="N57" s="123"/>
    </row>
    <row r="58" spans="1:16" ht="9.75" hidden="1" customHeight="1" x14ac:dyDescent="0.2">
      <c r="A58" s="48"/>
      <c r="D58" s="59"/>
      <c r="N58" s="123"/>
    </row>
    <row r="59" spans="1:16" ht="9.75" hidden="1" customHeight="1" x14ac:dyDescent="0.2">
      <c r="A59" s="48"/>
      <c r="D59" s="59"/>
      <c r="N59" s="123"/>
    </row>
    <row r="60" spans="1:16" ht="23.25" hidden="1" customHeight="1" x14ac:dyDescent="0.2">
      <c r="A60" s="59"/>
      <c r="B60" s="143" t="s">
        <v>1133</v>
      </c>
      <c r="C60" s="79"/>
      <c r="D60" s="79"/>
      <c r="E60" s="78"/>
      <c r="F60" s="81"/>
      <c r="G60" s="78"/>
      <c r="H60" s="82"/>
      <c r="I60" s="78"/>
      <c r="J60" s="82"/>
      <c r="K60" s="78"/>
      <c r="L60" s="79"/>
      <c r="M60" s="79"/>
      <c r="N60" s="79"/>
      <c r="O60" s="48"/>
      <c r="P60" s="48"/>
    </row>
    <row r="61" spans="1:16" ht="18.75" hidden="1" customHeight="1" x14ac:dyDescent="0.2">
      <c r="A61" s="48"/>
      <c r="D61" s="59"/>
      <c r="N61" s="123"/>
    </row>
    <row r="62" spans="1:16" ht="27.75" hidden="1" customHeight="1" x14ac:dyDescent="0.2">
      <c r="A62" s="152"/>
      <c r="B62" s="153" t="s">
        <v>1052</v>
      </c>
      <c r="C62" s="154"/>
      <c r="D62" s="154" t="s">
        <v>1053</v>
      </c>
      <c r="E62" s="159" t="e">
        <f>VLOOKUP(D62,Data!$AY$3:$AZ$962,2,FALSE)</f>
        <v>#N/A</v>
      </c>
      <c r="F62" s="154" t="s">
        <v>1136</v>
      </c>
      <c r="G62" s="154" t="s">
        <v>1054</v>
      </c>
      <c r="H62" s="154" t="s">
        <v>1055</v>
      </c>
      <c r="I62" s="154" t="s">
        <v>1132</v>
      </c>
      <c r="J62" s="154" t="s">
        <v>1056</v>
      </c>
      <c r="K62" s="155"/>
      <c r="L62" s="154" t="s">
        <v>1057</v>
      </c>
      <c r="N62" s="123" t="s">
        <v>1135</v>
      </c>
    </row>
    <row r="63" spans="1:16" s="146" customFormat="1" ht="18.75" hidden="1" customHeight="1" x14ac:dyDescent="0.2">
      <c r="A63" s="156">
        <v>1</v>
      </c>
      <c r="B63" s="157" t="str">
        <f>VLOOKUP("Q" &amp;A63,Data!$AP$3:$AT$122,4,FALSE) &amp; " - " &amp; VLOOKUP("Q" &amp;A63,Data!$AP$3:$AT$122,5,FALSE)</f>
        <v>CVI_1 - Asset Discovery &amp; Classification</v>
      </c>
      <c r="C63" s="158"/>
      <c r="D63" s="159" t="str">
        <f>VLOOKUP("Q" &amp; A63 &amp; "|" &amp; $M$4,Data!$AX$3:$BA$962,2,FALSE)</f>
        <v>AC.L1-b.1.i</v>
      </c>
      <c r="E63" s="159" t="str">
        <f>VLOOKUP(D63,Data!$AY$3:$AZ$962,2,FALSE)</f>
        <v>AC</v>
      </c>
      <c r="F63" s="159" t="str">
        <f>TRIM(E63) &amp; IFERROR(" - " &amp; VLOOKUP(_xlfn.CONCAT($M$4,TRIM(E63)),Data!$BG$3:$BH$108,2,FALSE),"")</f>
        <v>AC - Access Control</v>
      </c>
      <c r="G63" s="162">
        <f>VLOOKUP("Q" &amp; A63 &amp; "|" &amp; $M$4,Data!$AX$3:$BA$962,4,FALSE)</f>
        <v>0.8</v>
      </c>
      <c r="H63" s="163" t="str" cm="1">
        <f t="array" aca="1" ref="H63" ca="1">INDIRECT("Q" &amp;A63&amp;"_Score")</f>
        <v/>
      </c>
      <c r="I63" s="167">
        <f t="shared" ref="I63:I94" ca="1" si="8">IFERROR(H63*G63,0)</f>
        <v>0</v>
      </c>
      <c r="J63" s="163">
        <f t="shared" ref="J63:J94" si="9">IF(G63&gt;0,1,0)</f>
        <v>1</v>
      </c>
      <c r="K63" s="160"/>
      <c r="L63" s="163" t="str" cm="1">
        <f t="array" ref="L63">_xlfn.IFS(G63&gt;=0.8,"HIGH",G63&gt;=0.6,"MEDIUM",1=1,"LOW")</f>
        <v>HIGH</v>
      </c>
      <c r="N63" s="150" t="str" cm="1">
        <f t="array" aca="1" ref="N63" ca="1">IF(COUNTIF(I63:I182,"&gt;0")=0,"-",_xlfn.UNIQUE(_xlfn._xlws.FILTER(F63:F182,I63:I182&gt;0)))</f>
        <v>-</v>
      </c>
    </row>
    <row r="64" spans="1:16" s="146" customFormat="1" ht="18.75" hidden="1" customHeight="1" x14ac:dyDescent="0.2">
      <c r="A64" s="156">
        <f>A63+1</f>
        <v>2</v>
      </c>
      <c r="B64" s="157" t="str">
        <f>VLOOKUP("Q" &amp;A64,Data!$AP$3:$AT$122,4,FALSE) &amp; " - " &amp; VLOOKUP("Q" &amp;A64,Data!$AP$3:$AT$122,5,FALSE)</f>
        <v>CVI_1 - Asset Discovery &amp; Classification</v>
      </c>
      <c r="C64" s="161"/>
      <c r="D64" s="159" t="str">
        <f>VLOOKUP("Q" &amp; A64 &amp; "|" &amp; $M$4,Data!$AX$3:$BA$962,2,FALSE)</f>
        <v>AC.L2-3.1.3</v>
      </c>
      <c r="E64" s="159" t="str">
        <f>VLOOKUP(D64,Data!$AY$3:$AZ$962,2,FALSE)</f>
        <v>AC</v>
      </c>
      <c r="F64" s="159" t="str">
        <f>TRIM(E64) &amp; IFERROR(" - " &amp; VLOOKUP(_xlfn.CONCAT($M$4,TRIM(E64)),Data!$BG$3:$BH$108,2,FALSE),"")</f>
        <v>AC - Access Control</v>
      </c>
      <c r="G64" s="162">
        <f>VLOOKUP("Q" &amp; A64 &amp; "|" &amp; $M$4,Data!$AX$3:$BA$962,4,FALSE)</f>
        <v>0.8</v>
      </c>
      <c r="H64" s="163" t="str" cm="1">
        <f t="array" aca="1" ref="H64" ca="1">INDIRECT("Q" &amp;A64&amp;"_Score")</f>
        <v/>
      </c>
      <c r="I64" s="167">
        <f t="shared" ca="1" si="8"/>
        <v>0</v>
      </c>
      <c r="J64" s="163">
        <f t="shared" si="9"/>
        <v>1</v>
      </c>
      <c r="K64" s="160"/>
      <c r="L64" s="163" t="str" cm="1">
        <f t="array" ref="L64">_xlfn.IFS(G64&gt;=0.8,"HIGH",G64&gt;=0.6,"MEDIUM",1=1,"LOW")</f>
        <v>HIGH</v>
      </c>
      <c r="N64" s="150"/>
    </row>
    <row r="65" spans="1:14" s="146" customFormat="1" ht="18.75" hidden="1" customHeight="1" x14ac:dyDescent="0.2">
      <c r="A65" s="156">
        <f t="shared" ref="A65:A128" si="10">A64+1</f>
        <v>3</v>
      </c>
      <c r="B65" s="157" t="str">
        <f>VLOOKUP("Q" &amp;A65,Data!$AP$3:$AT$122,4,FALSE) &amp; " - " &amp; VLOOKUP("Q" &amp;A65,Data!$AP$3:$AT$122,5,FALSE)</f>
        <v>CVI_1 - Asset Discovery &amp; Classification</v>
      </c>
      <c r="C65" s="161"/>
      <c r="D65" s="159" t="str">
        <f>VLOOKUP("Q" &amp; A65 &amp; "|" &amp; $M$4,Data!$AX$3:$BA$962,2,FALSE)</f>
        <v>SC.L2-3.13.11</v>
      </c>
      <c r="E65" s="159" t="str">
        <f>VLOOKUP(D65,Data!$AY$3:$AZ$962,2,FALSE)</f>
        <v>SC</v>
      </c>
      <c r="F65" s="159" t="str">
        <f>TRIM(E65) &amp; IFERROR(" - " &amp; VLOOKUP(_xlfn.CONCAT($M$4,TRIM(E65)),Data!$BG$3:$BH$108,2,FALSE),"")</f>
        <v>SC - System and Communications Protection</v>
      </c>
      <c r="G65" s="162">
        <f>VLOOKUP("Q" &amp; A65 &amp; "|" &amp; $M$4,Data!$AX$3:$BA$962,4,FALSE)</f>
        <v>1</v>
      </c>
      <c r="H65" s="163" t="str" cm="1">
        <f t="array" aca="1" ref="H65" ca="1">INDIRECT("Q" &amp;A65&amp;"_Score")</f>
        <v/>
      </c>
      <c r="I65" s="167">
        <f t="shared" ca="1" si="8"/>
        <v>0</v>
      </c>
      <c r="J65" s="163">
        <f t="shared" si="9"/>
        <v>1</v>
      </c>
      <c r="K65" s="160"/>
      <c r="L65" s="163" t="str" cm="1">
        <f t="array" ref="L65">_xlfn.IFS(G65&gt;=0.8,"HIGH",G65&gt;=0.6,"MEDIUM",1=1,"LOW")</f>
        <v>HIGH</v>
      </c>
      <c r="N65" s="150"/>
    </row>
    <row r="66" spans="1:14" s="146" customFormat="1" ht="18.75" hidden="1" customHeight="1" x14ac:dyDescent="0.2">
      <c r="A66" s="156">
        <f t="shared" si="10"/>
        <v>4</v>
      </c>
      <c r="B66" s="157" t="str">
        <f>VLOOKUP("Q" &amp;A66,Data!$AP$3:$AT$122,4,FALSE) &amp; " - " &amp; VLOOKUP("Q" &amp;A66,Data!$AP$3:$AT$122,5,FALSE)</f>
        <v>CVI_1 - Asset Discovery &amp; Classification</v>
      </c>
      <c r="C66" s="161"/>
      <c r="D66" s="159" t="str">
        <f>VLOOKUP("Q" &amp; A66 &amp; "|" &amp; $M$4,Data!$AX$3:$BA$962,2,FALSE)</f>
        <v>CM.L2-3.4.1</v>
      </c>
      <c r="E66" s="159" t="str">
        <f>VLOOKUP(D66,Data!$AY$3:$AZ$962,2,FALSE)</f>
        <v>CM</v>
      </c>
      <c r="F66" s="159" t="str">
        <f>TRIM(E66) &amp; IFERROR(" - " &amp; VLOOKUP(_xlfn.CONCAT($M$4,TRIM(E66)),Data!$BG$3:$BH$108,2,FALSE),"")</f>
        <v>CM - Configuration Management</v>
      </c>
      <c r="G66" s="162">
        <f>VLOOKUP("Q" &amp; A66 &amp; "|" &amp; $M$4,Data!$AX$3:$BA$962,4,FALSE)</f>
        <v>1</v>
      </c>
      <c r="H66" s="163" t="str" cm="1">
        <f t="array" aca="1" ref="H66" ca="1">INDIRECT("Q" &amp;A66&amp;"_Score")</f>
        <v/>
      </c>
      <c r="I66" s="167">
        <f t="shared" ca="1" si="8"/>
        <v>0</v>
      </c>
      <c r="J66" s="163">
        <f t="shared" si="9"/>
        <v>1</v>
      </c>
      <c r="K66" s="160"/>
      <c r="L66" s="163" t="str" cm="1">
        <f t="array" ref="L66">_xlfn.IFS(G66&gt;=0.8,"HIGH",G66&gt;=0.6,"MEDIUM",1=1,"LOW")</f>
        <v>HIGH</v>
      </c>
      <c r="N66" s="150"/>
    </row>
    <row r="67" spans="1:14" s="146" customFormat="1" ht="18.75" hidden="1" customHeight="1" x14ac:dyDescent="0.2">
      <c r="A67" s="156">
        <f t="shared" si="10"/>
        <v>5</v>
      </c>
      <c r="B67" s="157" t="str">
        <f>VLOOKUP("Q" &amp;A67,Data!$AP$3:$AT$122,4,FALSE) &amp; " - " &amp; VLOOKUP("Q" &amp;A67,Data!$AP$3:$AT$122,5,FALSE)</f>
        <v>CVI_1 - Asset Discovery &amp; Classification</v>
      </c>
      <c r="C67" s="161"/>
      <c r="D67" s="159" t="str">
        <f>VLOOKUP("Q" &amp; A67 &amp; "|" &amp; $M$4,Data!$AX$3:$BA$962,2,FALSE)</f>
        <v>CM.L2-3.4.2</v>
      </c>
      <c r="E67" s="159" t="str">
        <f>VLOOKUP(D67,Data!$AY$3:$AZ$962,2,FALSE)</f>
        <v>CM</v>
      </c>
      <c r="F67" s="159" t="str">
        <f>TRIM(E67) &amp; IFERROR(" - " &amp; VLOOKUP(_xlfn.CONCAT($M$4,TRIM(E67)),Data!$BG$3:$BH$108,2,FALSE),"")</f>
        <v>CM - Configuration Management</v>
      </c>
      <c r="G67" s="162">
        <f>VLOOKUP("Q" &amp; A67 &amp; "|" &amp; $M$4,Data!$AX$3:$BA$962,4,FALSE)</f>
        <v>1</v>
      </c>
      <c r="H67" s="163" t="str" cm="1">
        <f t="array" aca="1" ref="H67" ca="1">INDIRECT("Q" &amp;A67&amp;"_Score")</f>
        <v/>
      </c>
      <c r="I67" s="167">
        <f t="shared" ca="1" si="8"/>
        <v>0</v>
      </c>
      <c r="J67" s="163">
        <f t="shared" si="9"/>
        <v>1</v>
      </c>
      <c r="K67" s="160"/>
      <c r="L67" s="163" t="str" cm="1">
        <f t="array" ref="L67">_xlfn.IFS(G67&gt;=0.8,"HIGH",G67&gt;=0.6,"MEDIUM",1=1,"LOW")</f>
        <v>HIGH</v>
      </c>
      <c r="N67" s="150"/>
    </row>
    <row r="68" spans="1:14" s="146" customFormat="1" ht="18.75" hidden="1" customHeight="1" x14ac:dyDescent="0.2">
      <c r="A68" s="156">
        <f t="shared" si="10"/>
        <v>6</v>
      </c>
      <c r="B68" s="157" t="str">
        <f>VLOOKUP("Q" &amp;A68,Data!$AP$3:$AT$122,4,FALSE) &amp; " - " &amp; VLOOKUP("Q" &amp;A68,Data!$AP$3:$AT$122,5,FALSE)</f>
        <v>CVI_1 - Asset Discovery &amp; Classification</v>
      </c>
      <c r="C68" s="161"/>
      <c r="D68" s="159" t="str">
        <f>VLOOKUP("Q" &amp; A68 &amp; "|" &amp; $M$4,Data!$AX$3:$BA$962,2,FALSE)</f>
        <v>AC.L1-b.1.ii</v>
      </c>
      <c r="E68" s="159" t="str">
        <f>VLOOKUP(D68,Data!$AY$3:$AZ$962,2,FALSE)</f>
        <v>AC</v>
      </c>
      <c r="F68" s="159" t="str">
        <f>TRIM(E68) &amp; IFERROR(" - " &amp; VLOOKUP(_xlfn.CONCAT($M$4,TRIM(E68)),Data!$BG$3:$BH$108,2,FALSE),"")</f>
        <v>AC - Access Control</v>
      </c>
      <c r="G68" s="162">
        <f>VLOOKUP("Q" &amp; A68 &amp; "|" &amp; $M$4,Data!$AX$3:$BA$962,4,FALSE)</f>
        <v>0.8</v>
      </c>
      <c r="H68" s="163" t="str" cm="1">
        <f t="array" aca="1" ref="H68" ca="1">INDIRECT("Q" &amp;A68&amp;"_Score")</f>
        <v/>
      </c>
      <c r="I68" s="167">
        <f t="shared" ca="1" si="8"/>
        <v>0</v>
      </c>
      <c r="J68" s="163">
        <f t="shared" si="9"/>
        <v>1</v>
      </c>
      <c r="K68" s="160"/>
      <c r="L68" s="163" t="str" cm="1">
        <f t="array" ref="L68">_xlfn.IFS(G68&gt;=0.8,"HIGH",G68&gt;=0.6,"MEDIUM",1=1,"LOW")</f>
        <v>HIGH</v>
      </c>
      <c r="N68" s="150"/>
    </row>
    <row r="69" spans="1:14" s="146" customFormat="1" ht="18.75" hidden="1" customHeight="1" x14ac:dyDescent="0.2">
      <c r="A69" s="156">
        <f t="shared" si="10"/>
        <v>7</v>
      </c>
      <c r="B69" s="157" t="str">
        <f>VLOOKUP("Q" &amp;A69,Data!$AP$3:$AT$122,4,FALSE) &amp; " - " &amp; VLOOKUP("Q" &amp;A69,Data!$AP$3:$AT$122,5,FALSE)</f>
        <v>CVI_1 - Asset Discovery &amp; Classification</v>
      </c>
      <c r="C69" s="161"/>
      <c r="D69" s="159" t="str">
        <f>VLOOKUP("Q" &amp; A69 &amp; "|" &amp; $M$4,Data!$AX$3:$BA$962,2,FALSE)</f>
        <v>SC.L2-3.13.8</v>
      </c>
      <c r="E69" s="159" t="str">
        <f>VLOOKUP(D69,Data!$AY$3:$AZ$962,2,FALSE)</f>
        <v>SC</v>
      </c>
      <c r="F69" s="159" t="str">
        <f>TRIM(E69) &amp; IFERROR(" - " &amp; VLOOKUP(_xlfn.CONCAT($M$4,TRIM(E69)),Data!$BG$3:$BH$108,2,FALSE),"")</f>
        <v>SC - System and Communications Protection</v>
      </c>
      <c r="G69" s="162">
        <f>VLOOKUP("Q" &amp; A69 &amp; "|" &amp; $M$4,Data!$AX$3:$BA$962,4,FALSE)</f>
        <v>0.8</v>
      </c>
      <c r="H69" s="163" t="str" cm="1">
        <f t="array" aca="1" ref="H69" ca="1">INDIRECT("Q" &amp;A69&amp;"_Score")</f>
        <v/>
      </c>
      <c r="I69" s="167">
        <f t="shared" ca="1" si="8"/>
        <v>0</v>
      </c>
      <c r="J69" s="163">
        <f t="shared" si="9"/>
        <v>1</v>
      </c>
      <c r="K69" s="160"/>
      <c r="L69" s="163" t="str" cm="1">
        <f t="array" ref="L69">_xlfn.IFS(G69&gt;=0.8,"HIGH",G69&gt;=0.6,"MEDIUM",1=1,"LOW")</f>
        <v>HIGH</v>
      </c>
      <c r="N69" s="150"/>
    </row>
    <row r="70" spans="1:14" s="146" customFormat="1" ht="18.75" hidden="1" customHeight="1" x14ac:dyDescent="0.2">
      <c r="A70" s="156">
        <f t="shared" si="10"/>
        <v>8</v>
      </c>
      <c r="B70" s="157" t="str">
        <f>VLOOKUP("Q" &amp;A70,Data!$AP$3:$AT$122,4,FALSE) &amp; " - " &amp; VLOOKUP("Q" &amp;A70,Data!$AP$3:$AT$122,5,FALSE)</f>
        <v>CVI_1 - Asset Discovery &amp; Classification</v>
      </c>
      <c r="C70" s="161"/>
      <c r="D70" s="159" t="str">
        <f>VLOOKUP("Q" &amp; A70 &amp; "|" &amp; $M$4,Data!$AX$3:$BA$962,2,FALSE)</f>
        <v>RA.L2-3.11.1</v>
      </c>
      <c r="E70" s="159" t="str">
        <f>VLOOKUP(D70,Data!$AY$3:$AZ$962,2,FALSE)</f>
        <v>RA</v>
      </c>
      <c r="F70" s="159" t="str">
        <f>TRIM(E70) &amp; IFERROR(" - " &amp; VLOOKUP(_xlfn.CONCAT($M$4,TRIM(E70)),Data!$BG$3:$BH$108,2,FALSE),"")</f>
        <v>RA - Risk Assessment</v>
      </c>
      <c r="G70" s="162">
        <f>VLOOKUP("Q" &amp; A70 &amp; "|" &amp; $M$4,Data!$AX$3:$BA$962,4,FALSE)</f>
        <v>1</v>
      </c>
      <c r="H70" s="163" t="str" cm="1">
        <f t="array" aca="1" ref="H70" ca="1">INDIRECT("Q" &amp;A70&amp;"_Score")</f>
        <v/>
      </c>
      <c r="I70" s="167">
        <f t="shared" ca="1" si="8"/>
        <v>0</v>
      </c>
      <c r="J70" s="163">
        <f t="shared" si="9"/>
        <v>1</v>
      </c>
      <c r="K70" s="160"/>
      <c r="L70" s="163" t="str" cm="1">
        <f t="array" ref="L70">_xlfn.IFS(G70&gt;=0.8,"HIGH",G70&gt;=0.6,"MEDIUM",1=1,"LOW")</f>
        <v>HIGH</v>
      </c>
      <c r="N70" s="150"/>
    </row>
    <row r="71" spans="1:14" s="146" customFormat="1" ht="18.75" hidden="1" customHeight="1" x14ac:dyDescent="0.2">
      <c r="A71" s="156">
        <f t="shared" si="10"/>
        <v>9</v>
      </c>
      <c r="B71" s="157" t="str">
        <f>VLOOKUP("Q" &amp;A71,Data!$AP$3:$AT$122,4,FALSE) &amp; " - " &amp; VLOOKUP("Q" &amp;A71,Data!$AP$3:$AT$122,5,FALSE)</f>
        <v>CVI_1 - Asset Discovery &amp; Classification</v>
      </c>
      <c r="C71" s="161"/>
      <c r="D71" s="159" t="str">
        <f>VLOOKUP("Q" &amp; A71 &amp; "|" &amp; $M$4,Data!$AX$3:$BA$962,2,FALSE)</f>
        <v>CM.L2-3.4.3</v>
      </c>
      <c r="E71" s="159" t="str">
        <f>VLOOKUP(D71,Data!$AY$3:$AZ$962,2,FALSE)</f>
        <v>CM</v>
      </c>
      <c r="F71" s="159" t="str">
        <f>TRIM(E71) &amp; IFERROR(" - " &amp; VLOOKUP(_xlfn.CONCAT($M$4,TRIM(E71)),Data!$BG$3:$BH$108,2,FALSE),"")</f>
        <v>CM - Configuration Management</v>
      </c>
      <c r="G71" s="162">
        <f>VLOOKUP("Q" &amp; A71 &amp; "|" &amp; $M$4,Data!$AX$3:$BA$962,4,FALSE)</f>
        <v>0.8</v>
      </c>
      <c r="H71" s="163" t="str" cm="1">
        <f t="array" aca="1" ref="H71" ca="1">INDIRECT("Q" &amp;A71&amp;"_Score")</f>
        <v/>
      </c>
      <c r="I71" s="167">
        <f t="shared" ca="1" si="8"/>
        <v>0</v>
      </c>
      <c r="J71" s="163">
        <f t="shared" si="9"/>
        <v>1</v>
      </c>
      <c r="K71" s="160"/>
      <c r="L71" s="163" t="str" cm="1">
        <f t="array" ref="L71">_xlfn.IFS(G71&gt;=0.8,"HIGH",G71&gt;=0.6,"MEDIUM",1=1,"LOW")</f>
        <v>HIGH</v>
      </c>
      <c r="N71" s="150"/>
    </row>
    <row r="72" spans="1:14" s="146" customFormat="1" ht="18.75" hidden="1" customHeight="1" x14ac:dyDescent="0.2">
      <c r="A72" s="156">
        <f t="shared" si="10"/>
        <v>10</v>
      </c>
      <c r="B72" s="157" t="str">
        <f>VLOOKUP("Q" &amp;A72,Data!$AP$3:$AT$122,4,FALSE) &amp; " - " &amp; VLOOKUP("Q" &amp;A72,Data!$AP$3:$AT$122,5,FALSE)</f>
        <v>CVI_1 - Asset Discovery &amp; Classification</v>
      </c>
      <c r="C72" s="161"/>
      <c r="D72" s="159" t="str">
        <f>VLOOKUP("Q" &amp; A72 &amp; "|" &amp; $M$4,Data!$AX$3:$BA$962,2,FALSE)</f>
        <v>CM.L2-3.4.4</v>
      </c>
      <c r="E72" s="159" t="str">
        <f>VLOOKUP(D72,Data!$AY$3:$AZ$962,2,FALSE)</f>
        <v>CM</v>
      </c>
      <c r="F72" s="159" t="str">
        <f>TRIM(E72) &amp; IFERROR(" - " &amp; VLOOKUP(_xlfn.CONCAT($M$4,TRIM(E72)),Data!$BG$3:$BH$108,2,FALSE),"")</f>
        <v>CM - Configuration Management</v>
      </c>
      <c r="G72" s="162">
        <f>VLOOKUP("Q" &amp; A72 &amp; "|" &amp; $M$4,Data!$AX$3:$BA$962,4,FALSE)</f>
        <v>0.8</v>
      </c>
      <c r="H72" s="163" t="str" cm="1">
        <f t="array" aca="1" ref="H72" ca="1">INDIRECT("Q" &amp;A72&amp;"_Score")</f>
        <v/>
      </c>
      <c r="I72" s="167">
        <f t="shared" ca="1" si="8"/>
        <v>0</v>
      </c>
      <c r="J72" s="163">
        <f t="shared" si="9"/>
        <v>1</v>
      </c>
      <c r="K72" s="160"/>
      <c r="L72" s="163" t="str" cm="1">
        <f t="array" ref="L72">_xlfn.IFS(G72&gt;=0.8,"HIGH",G72&gt;=0.6,"MEDIUM",1=1,"LOW")</f>
        <v>HIGH</v>
      </c>
      <c r="N72" s="150"/>
    </row>
    <row r="73" spans="1:14" s="146" customFormat="1" ht="18.75" hidden="1" customHeight="1" x14ac:dyDescent="0.2">
      <c r="A73" s="156">
        <f t="shared" si="10"/>
        <v>11</v>
      </c>
      <c r="B73" s="157" t="str">
        <f>VLOOKUP("Q" &amp;A73,Data!$AP$3:$AT$122,4,FALSE) &amp; " - " &amp; VLOOKUP("Q" &amp;A73,Data!$AP$3:$AT$122,5,FALSE)</f>
        <v>CVI_2 - Vulnerability Scanning &amp; Analysis</v>
      </c>
      <c r="C73" s="161"/>
      <c r="D73" s="159" t="str">
        <f>VLOOKUP("Q" &amp; A73 &amp; "|" &amp; $M$4,Data!$AX$3:$BA$962,2,FALSE)</f>
        <v>RA.L2-3.11.2</v>
      </c>
      <c r="E73" s="159" t="str">
        <f>VLOOKUP(D73,Data!$AY$3:$AZ$962,2,FALSE)</f>
        <v>RA</v>
      </c>
      <c r="F73" s="159" t="str">
        <f>TRIM(E73) &amp; IFERROR(" - " &amp; VLOOKUP(_xlfn.CONCAT($M$4,TRIM(E73)),Data!$BG$3:$BH$108,2,FALSE),"")</f>
        <v>RA - Risk Assessment</v>
      </c>
      <c r="G73" s="162">
        <f>VLOOKUP("Q" &amp; A73 &amp; "|" &amp; $M$4,Data!$AX$3:$BA$962,4,FALSE)</f>
        <v>1</v>
      </c>
      <c r="H73" s="163" t="str" cm="1">
        <f t="array" aca="1" ref="H73" ca="1">INDIRECT("Q" &amp;A73&amp;"_Score")</f>
        <v/>
      </c>
      <c r="I73" s="167">
        <f t="shared" ca="1" si="8"/>
        <v>0</v>
      </c>
      <c r="J73" s="163">
        <f t="shared" si="9"/>
        <v>1</v>
      </c>
      <c r="K73" s="160"/>
      <c r="L73" s="163" t="str" cm="1">
        <f t="array" ref="L73">_xlfn.IFS(G73&gt;=0.8,"HIGH",G73&gt;=0.6,"MEDIUM",1=1,"LOW")</f>
        <v>HIGH</v>
      </c>
      <c r="N73" s="150"/>
    </row>
    <row r="74" spans="1:14" s="146" customFormat="1" ht="18.75" hidden="1" customHeight="1" x14ac:dyDescent="0.2">
      <c r="A74" s="156">
        <f t="shared" si="10"/>
        <v>12</v>
      </c>
      <c r="B74" s="157" t="str">
        <f>VLOOKUP("Q" &amp;A74,Data!$AP$3:$AT$122,4,FALSE) &amp; " - " &amp; VLOOKUP("Q" &amp;A74,Data!$AP$3:$AT$122,5,FALSE)</f>
        <v>CVI_2 - Vulnerability Scanning &amp; Analysis</v>
      </c>
      <c r="C74" s="161"/>
      <c r="D74" s="159" t="str">
        <f>VLOOKUP("Q" &amp; A74 &amp; "|" &amp; $M$4,Data!$AX$3:$BA$962,2,FALSE)</f>
        <v>SC.L2-3.13.11</v>
      </c>
      <c r="E74" s="159" t="str">
        <f>VLOOKUP(D74,Data!$AY$3:$AZ$962,2,FALSE)</f>
        <v>SC</v>
      </c>
      <c r="F74" s="159" t="str">
        <f>TRIM(E74) &amp; IFERROR(" - " &amp; VLOOKUP(_xlfn.CONCAT($M$4,TRIM(E74)),Data!$BG$3:$BH$108,2,FALSE),"")</f>
        <v>SC - System and Communications Protection</v>
      </c>
      <c r="G74" s="162">
        <f>VLOOKUP("Q" &amp; A74 &amp; "|" &amp; $M$4,Data!$AX$3:$BA$962,4,FALSE)</f>
        <v>1</v>
      </c>
      <c r="H74" s="163" t="str" cm="1">
        <f t="array" aca="1" ref="H74" ca="1">INDIRECT("Q" &amp;A74&amp;"_Score")</f>
        <v/>
      </c>
      <c r="I74" s="167">
        <f t="shared" ca="1" si="8"/>
        <v>0</v>
      </c>
      <c r="J74" s="163">
        <f t="shared" si="9"/>
        <v>1</v>
      </c>
      <c r="K74" s="160"/>
      <c r="L74" s="163" t="str" cm="1">
        <f t="array" ref="L74">_xlfn.IFS(G74&gt;=0.8,"HIGH",G74&gt;=0.6,"MEDIUM",1=1,"LOW")</f>
        <v>HIGH</v>
      </c>
      <c r="N74" s="150"/>
    </row>
    <row r="75" spans="1:14" s="146" customFormat="1" ht="18.75" hidden="1" customHeight="1" x14ac:dyDescent="0.2">
      <c r="A75" s="156">
        <f t="shared" si="10"/>
        <v>13</v>
      </c>
      <c r="B75" s="157" t="str">
        <f>VLOOKUP("Q" &amp;A75,Data!$AP$3:$AT$122,4,FALSE) &amp; " - " &amp; VLOOKUP("Q" &amp;A75,Data!$AP$3:$AT$122,5,FALSE)</f>
        <v>CVI_2 - Vulnerability Scanning &amp; Analysis</v>
      </c>
      <c r="C75" s="161"/>
      <c r="D75" s="159" t="str">
        <f>VLOOKUP("Q" &amp; A75 &amp; "|" &amp; $M$4,Data!$AX$3:$BA$962,2,FALSE)</f>
        <v>RA.L2-3.11.3</v>
      </c>
      <c r="E75" s="159" t="str">
        <f>VLOOKUP(D75,Data!$AY$3:$AZ$962,2,FALSE)</f>
        <v>RA</v>
      </c>
      <c r="F75" s="159" t="str">
        <f>TRIM(E75) &amp; IFERROR(" - " &amp; VLOOKUP(_xlfn.CONCAT($M$4,TRIM(E75)),Data!$BG$3:$BH$108,2,FALSE),"")</f>
        <v>RA - Risk Assessment</v>
      </c>
      <c r="G75" s="162">
        <f>VLOOKUP("Q" &amp; A75 &amp; "|" &amp; $M$4,Data!$AX$3:$BA$962,4,FALSE)</f>
        <v>0.8</v>
      </c>
      <c r="H75" s="163" t="str" cm="1">
        <f t="array" aca="1" ref="H75" ca="1">INDIRECT("Q" &amp;A75&amp;"_Score")</f>
        <v/>
      </c>
      <c r="I75" s="167">
        <f t="shared" ca="1" si="8"/>
        <v>0</v>
      </c>
      <c r="J75" s="163">
        <f t="shared" si="9"/>
        <v>1</v>
      </c>
      <c r="K75" s="160"/>
      <c r="L75" s="163" t="str" cm="1">
        <f t="array" ref="L75">_xlfn.IFS(G75&gt;=0.8,"HIGH",G75&gt;=0.6,"MEDIUM",1=1,"LOW")</f>
        <v>HIGH</v>
      </c>
      <c r="N75" s="150"/>
    </row>
    <row r="76" spans="1:14" s="146" customFormat="1" ht="18.75" hidden="1" customHeight="1" x14ac:dyDescent="0.2">
      <c r="A76" s="156">
        <f t="shared" si="10"/>
        <v>14</v>
      </c>
      <c r="B76" s="157" t="str">
        <f>VLOOKUP("Q" &amp;A76,Data!$AP$3:$AT$122,4,FALSE) &amp; " - " &amp; VLOOKUP("Q" &amp;A76,Data!$AP$3:$AT$122,5,FALSE)</f>
        <v>CVI_2 - Vulnerability Scanning &amp; Analysis</v>
      </c>
      <c r="C76" s="161"/>
      <c r="D76" s="159" t="str">
        <f>VLOOKUP("Q" &amp; A76 &amp; "|" &amp; $M$4,Data!$AX$3:$BA$962,2,FALSE)</f>
        <v>-</v>
      </c>
      <c r="E76" s="159" t="str">
        <f>VLOOKUP(D76,Data!$AY$3:$AZ$962,2,FALSE)</f>
        <v>-</v>
      </c>
      <c r="F76" s="159" t="str">
        <f>TRIM(E76) &amp; IFERROR(" - " &amp; VLOOKUP(_xlfn.CONCAT($M$4,TRIM(E76)),Data!$BG$3:$BH$108,2,FALSE),"")</f>
        <v>-</v>
      </c>
      <c r="G76" s="162">
        <f>VLOOKUP("Q" &amp; A76 &amp; "|" &amp; $M$4,Data!$AX$3:$BA$962,4,FALSE)</f>
        <v>0</v>
      </c>
      <c r="H76" s="163" t="str" cm="1">
        <f t="array" aca="1" ref="H76" ca="1">INDIRECT("Q" &amp;A76&amp;"_Score")</f>
        <v/>
      </c>
      <c r="I76" s="167">
        <f t="shared" ca="1" si="8"/>
        <v>0</v>
      </c>
      <c r="J76" s="163">
        <f t="shared" si="9"/>
        <v>0</v>
      </c>
      <c r="K76" s="160"/>
      <c r="L76" s="163" t="str" cm="1">
        <f t="array" ref="L76">_xlfn.IFS(G76&gt;=0.8,"HIGH",G76&gt;=0.6,"MEDIUM",1=1,"LOW")</f>
        <v>LOW</v>
      </c>
      <c r="N76" s="150"/>
    </row>
    <row r="77" spans="1:14" s="146" customFormat="1" ht="18.75" hidden="1" customHeight="1" x14ac:dyDescent="0.2">
      <c r="A77" s="156">
        <f t="shared" si="10"/>
        <v>15</v>
      </c>
      <c r="B77" s="157" t="str">
        <f>VLOOKUP("Q" &amp;A77,Data!$AP$3:$AT$122,4,FALSE) &amp; " - " &amp; VLOOKUP("Q" &amp;A77,Data!$AP$3:$AT$122,5,FALSE)</f>
        <v>CVI_2 - Vulnerability Scanning &amp; Analysis</v>
      </c>
      <c r="C77" s="161"/>
      <c r="D77" s="159" t="str">
        <f>VLOOKUP("Q" &amp; A77 &amp; "|" &amp; $M$4,Data!$AX$3:$BA$962,2,FALSE)</f>
        <v>SI.L2-3.14.3</v>
      </c>
      <c r="E77" s="159" t="str">
        <f>VLOOKUP(D77,Data!$AY$3:$AZ$962,2,FALSE)</f>
        <v>SI</v>
      </c>
      <c r="F77" s="159" t="str">
        <f>TRIM(E77) &amp; IFERROR(" - " &amp; VLOOKUP(_xlfn.CONCAT($M$4,TRIM(E77)),Data!$BG$3:$BH$108,2,FALSE),"")</f>
        <v>SI - System and Information Integrity</v>
      </c>
      <c r="G77" s="162">
        <f>VLOOKUP("Q" &amp; A77 &amp; "|" &amp; $M$4,Data!$AX$3:$BA$962,4,FALSE)</f>
        <v>0.8</v>
      </c>
      <c r="H77" s="163" t="str" cm="1">
        <f t="array" aca="1" ref="H77" ca="1">INDIRECT("Q" &amp;A77&amp;"_Score")</f>
        <v/>
      </c>
      <c r="I77" s="167">
        <f t="shared" ca="1" si="8"/>
        <v>0</v>
      </c>
      <c r="J77" s="163">
        <f t="shared" si="9"/>
        <v>1</v>
      </c>
      <c r="K77" s="160"/>
      <c r="L77" s="163" t="str" cm="1">
        <f t="array" ref="L77">_xlfn.IFS(G77&gt;=0.8,"HIGH",G77&gt;=0.6,"MEDIUM",1=1,"LOW")</f>
        <v>HIGH</v>
      </c>
      <c r="N77" s="150"/>
    </row>
    <row r="78" spans="1:14" s="146" customFormat="1" ht="18.75" hidden="1" customHeight="1" x14ac:dyDescent="0.2">
      <c r="A78" s="156">
        <f t="shared" si="10"/>
        <v>16</v>
      </c>
      <c r="B78" s="157" t="str">
        <f>VLOOKUP("Q" &amp;A78,Data!$AP$3:$AT$122,4,FALSE) &amp; " - " &amp; VLOOKUP("Q" &amp;A78,Data!$AP$3:$AT$122,5,FALSE)</f>
        <v>CVI_2 - Vulnerability Scanning &amp; Analysis</v>
      </c>
      <c r="C78" s="161"/>
      <c r="D78" s="159" t="str">
        <f>VLOOKUP("Q" &amp; A78 &amp; "|" &amp; $M$4,Data!$AX$3:$BA$962,2,FALSE)</f>
        <v>RA.L2-3.11.2</v>
      </c>
      <c r="E78" s="159" t="str">
        <f>VLOOKUP(D78,Data!$AY$3:$AZ$962,2,FALSE)</f>
        <v>RA</v>
      </c>
      <c r="F78" s="159" t="str">
        <f>TRIM(E78) &amp; IFERROR(" - " &amp; VLOOKUP(_xlfn.CONCAT($M$4,TRIM(E78)),Data!$BG$3:$BH$108,2,FALSE),"")</f>
        <v>RA - Risk Assessment</v>
      </c>
      <c r="G78" s="162">
        <f>VLOOKUP("Q" &amp; A78 &amp; "|" &amp; $M$4,Data!$AX$3:$BA$962,4,FALSE)</f>
        <v>1</v>
      </c>
      <c r="H78" s="163" t="str" cm="1">
        <f t="array" aca="1" ref="H78" ca="1">INDIRECT("Q" &amp;A78&amp;"_Score")</f>
        <v/>
      </c>
      <c r="I78" s="167">
        <f t="shared" ca="1" si="8"/>
        <v>0</v>
      </c>
      <c r="J78" s="163">
        <f t="shared" si="9"/>
        <v>1</v>
      </c>
      <c r="K78" s="160"/>
      <c r="L78" s="163" t="str" cm="1">
        <f t="array" ref="L78">_xlfn.IFS(G78&gt;=0.8,"HIGH",G78&gt;=0.6,"MEDIUM",1=1,"LOW")</f>
        <v>HIGH</v>
      </c>
      <c r="N78" s="150"/>
    </row>
    <row r="79" spans="1:14" s="146" customFormat="1" ht="18.75" hidden="1" customHeight="1" x14ac:dyDescent="0.2">
      <c r="A79" s="156">
        <f t="shared" si="10"/>
        <v>17</v>
      </c>
      <c r="B79" s="157" t="str">
        <f>VLOOKUP("Q" &amp;A79,Data!$AP$3:$AT$122,4,FALSE) &amp; " - " &amp; VLOOKUP("Q" &amp;A79,Data!$AP$3:$AT$122,5,FALSE)</f>
        <v>CVI_2 - Vulnerability Scanning &amp; Analysis</v>
      </c>
      <c r="C79" s="161"/>
      <c r="D79" s="159" t="str">
        <f>VLOOKUP("Q" &amp; A79 &amp; "|" &amp; $M$4,Data!$AX$3:$BA$962,2,FALSE)</f>
        <v>CA.L2-3.12.3</v>
      </c>
      <c r="E79" s="159" t="str">
        <f>VLOOKUP(D79,Data!$AY$3:$AZ$962,2,FALSE)</f>
        <v>CA</v>
      </c>
      <c r="F79" s="159" t="str">
        <f>TRIM(E79) &amp; IFERROR(" - " &amp; VLOOKUP(_xlfn.CONCAT($M$4,TRIM(E79)),Data!$BG$3:$BH$108,2,FALSE),"")</f>
        <v>CA - Security Assessment and Authorization</v>
      </c>
      <c r="G79" s="162">
        <f>VLOOKUP("Q" &amp; A79 &amp; "|" &amp; $M$4,Data!$AX$3:$BA$962,4,FALSE)</f>
        <v>0.6</v>
      </c>
      <c r="H79" s="163" t="str" cm="1">
        <f t="array" aca="1" ref="H79" ca="1">INDIRECT("Q" &amp;A79&amp;"_Score")</f>
        <v/>
      </c>
      <c r="I79" s="167">
        <f t="shared" ca="1" si="8"/>
        <v>0</v>
      </c>
      <c r="J79" s="163">
        <f t="shared" si="9"/>
        <v>1</v>
      </c>
      <c r="K79" s="160"/>
      <c r="L79" s="163" t="str" cm="1">
        <f t="array" ref="L79">_xlfn.IFS(G79&gt;=0.8,"HIGH",G79&gt;=0.6,"MEDIUM",1=1,"LOW")</f>
        <v>MEDIUM</v>
      </c>
      <c r="N79" s="150"/>
    </row>
    <row r="80" spans="1:14" s="146" customFormat="1" ht="18.75" hidden="1" customHeight="1" x14ac:dyDescent="0.2">
      <c r="A80" s="156">
        <f t="shared" si="10"/>
        <v>18</v>
      </c>
      <c r="B80" s="157" t="str">
        <f>VLOOKUP("Q" &amp;A80,Data!$AP$3:$AT$122,4,FALSE) &amp; " - " &amp; VLOOKUP("Q" &amp;A80,Data!$AP$3:$AT$122,5,FALSE)</f>
        <v>CVI_2 - Vulnerability Scanning &amp; Analysis</v>
      </c>
      <c r="C80" s="161"/>
      <c r="D80" s="159" t="str">
        <f>VLOOKUP("Q" &amp; A80 &amp; "|" &amp; $M$4,Data!$AX$3:$BA$962,2,FALSE)</f>
        <v>RA.L2-3.11.2</v>
      </c>
      <c r="E80" s="159" t="str">
        <f>VLOOKUP(D80,Data!$AY$3:$AZ$962,2,FALSE)</f>
        <v>RA</v>
      </c>
      <c r="F80" s="159" t="str">
        <f>TRIM(E80) &amp; IFERROR(" - " &amp; VLOOKUP(_xlfn.CONCAT($M$4,TRIM(E80)),Data!$BG$3:$BH$108,2,FALSE),"")</f>
        <v>RA - Risk Assessment</v>
      </c>
      <c r="G80" s="162">
        <f>VLOOKUP("Q" &amp; A80 &amp; "|" &amp; $M$4,Data!$AX$3:$BA$962,4,FALSE)</f>
        <v>0.8</v>
      </c>
      <c r="H80" s="163" t="str" cm="1">
        <f t="array" aca="1" ref="H80" ca="1">INDIRECT("Q" &amp;A80&amp;"_Score")</f>
        <v/>
      </c>
      <c r="I80" s="167">
        <f t="shared" ca="1" si="8"/>
        <v>0</v>
      </c>
      <c r="J80" s="163">
        <f t="shared" si="9"/>
        <v>1</v>
      </c>
      <c r="K80" s="160"/>
      <c r="L80" s="163" t="str" cm="1">
        <f t="array" ref="L80">_xlfn.IFS(G80&gt;=0.8,"HIGH",G80&gt;=0.6,"MEDIUM",1=1,"LOW")</f>
        <v>HIGH</v>
      </c>
      <c r="N80" s="150"/>
    </row>
    <row r="81" spans="1:14" s="146" customFormat="1" ht="18.75" hidden="1" customHeight="1" x14ac:dyDescent="0.2">
      <c r="A81" s="156">
        <f t="shared" si="10"/>
        <v>19</v>
      </c>
      <c r="B81" s="157" t="str">
        <f>VLOOKUP("Q" &amp;A81,Data!$AP$3:$AT$122,4,FALSE) &amp; " - " &amp; VLOOKUP("Q" &amp;A81,Data!$AP$3:$AT$122,5,FALSE)</f>
        <v>CVI_2 - Vulnerability Scanning &amp; Analysis</v>
      </c>
      <c r="C81" s="161"/>
      <c r="D81" s="159" t="str">
        <f>VLOOKUP("Q" &amp; A81 &amp; "|" &amp; $M$4,Data!$AX$3:$BA$962,2,FALSE)</f>
        <v>-</v>
      </c>
      <c r="E81" s="159" t="str">
        <f>VLOOKUP(D81,Data!$AY$3:$AZ$962,2,FALSE)</f>
        <v>-</v>
      </c>
      <c r="F81" s="159" t="str">
        <f>TRIM(E81) &amp; IFERROR(" - " &amp; VLOOKUP(_xlfn.CONCAT($M$4,TRIM(E81)),Data!$BG$3:$BH$108,2,FALSE),"")</f>
        <v>-</v>
      </c>
      <c r="G81" s="162">
        <f>VLOOKUP("Q" &amp; A81 &amp; "|" &amp; $M$4,Data!$AX$3:$BA$962,4,FALSE)</f>
        <v>0</v>
      </c>
      <c r="H81" s="163" t="str" cm="1">
        <f t="array" aca="1" ref="H81" ca="1">INDIRECT("Q" &amp;A81&amp;"_Score")</f>
        <v/>
      </c>
      <c r="I81" s="167">
        <f t="shared" ca="1" si="8"/>
        <v>0</v>
      </c>
      <c r="J81" s="163">
        <f t="shared" si="9"/>
        <v>0</v>
      </c>
      <c r="K81" s="160"/>
      <c r="L81" s="163" t="str" cm="1">
        <f t="array" ref="L81">_xlfn.IFS(G81&gt;=0.8,"HIGH",G81&gt;=0.6,"MEDIUM",1=1,"LOW")</f>
        <v>LOW</v>
      </c>
      <c r="N81" s="150"/>
    </row>
    <row r="82" spans="1:14" s="146" customFormat="1" ht="18.75" hidden="1" customHeight="1" x14ac:dyDescent="0.2">
      <c r="A82" s="156">
        <f t="shared" si="10"/>
        <v>20</v>
      </c>
      <c r="B82" s="157" t="str">
        <f>VLOOKUP("Q" &amp;A82,Data!$AP$3:$AT$122,4,FALSE) &amp; " - " &amp; VLOOKUP("Q" &amp;A82,Data!$AP$3:$AT$122,5,FALSE)</f>
        <v>CVI_2 - Vulnerability Scanning &amp; Analysis</v>
      </c>
      <c r="C82" s="161"/>
      <c r="D82" s="159" t="str">
        <f>VLOOKUP("Q" &amp; A82 &amp; "|" &amp; $M$4,Data!$AX$3:$BA$962,2,FALSE)</f>
        <v>-</v>
      </c>
      <c r="E82" s="159" t="str">
        <f>VLOOKUP(D82,Data!$AY$3:$AZ$962,2,FALSE)</f>
        <v>-</v>
      </c>
      <c r="F82" s="159" t="str">
        <f>TRIM(E82) &amp; IFERROR(" - " &amp; VLOOKUP(_xlfn.CONCAT($M$4,TRIM(E82)),Data!$BG$3:$BH$108,2,FALSE),"")</f>
        <v>-</v>
      </c>
      <c r="G82" s="162">
        <f>VLOOKUP("Q" &amp; A82 &amp; "|" &amp; $M$4,Data!$AX$3:$BA$962,4,FALSE)</f>
        <v>0</v>
      </c>
      <c r="H82" s="163" t="str" cm="1">
        <f t="array" aca="1" ref="H82" ca="1">INDIRECT("Q" &amp;A82&amp;"_Score")</f>
        <v/>
      </c>
      <c r="I82" s="167">
        <f t="shared" ca="1" si="8"/>
        <v>0</v>
      </c>
      <c r="J82" s="163">
        <f t="shared" si="9"/>
        <v>0</v>
      </c>
      <c r="K82" s="160"/>
      <c r="L82" s="163" t="str" cm="1">
        <f t="array" ref="L82">_xlfn.IFS(G82&gt;=0.8,"HIGH",G82&gt;=0.6,"MEDIUM",1=1,"LOW")</f>
        <v>LOW</v>
      </c>
      <c r="N82" s="150"/>
    </row>
    <row r="83" spans="1:14" s="146" customFormat="1" ht="18.75" hidden="1" customHeight="1" x14ac:dyDescent="0.2">
      <c r="A83" s="156">
        <f t="shared" si="10"/>
        <v>21</v>
      </c>
      <c r="B83" s="157" t="str">
        <f>VLOOKUP("Q" &amp;A83,Data!$AP$3:$AT$122,4,FALSE) &amp; " - " &amp; VLOOKUP("Q" &amp;A83,Data!$AP$3:$AT$122,5,FALSE)</f>
        <v>CVI_3 - Risk Prioritization &amp; Tracking</v>
      </c>
      <c r="C83" s="161"/>
      <c r="D83" s="159" t="str">
        <f>VLOOKUP("Q" &amp; A83 &amp; "|" &amp; $M$4,Data!$AX$3:$BA$962,2,FALSE)</f>
        <v>RA.L2-3.11.1</v>
      </c>
      <c r="E83" s="159" t="str">
        <f>VLOOKUP(D83,Data!$AY$3:$AZ$962,2,FALSE)</f>
        <v>RA</v>
      </c>
      <c r="F83" s="159" t="str">
        <f>TRIM(E83) &amp; IFERROR(" - " &amp; VLOOKUP(_xlfn.CONCAT($M$4,TRIM(E83)),Data!$BG$3:$BH$108,2,FALSE),"")</f>
        <v>RA - Risk Assessment</v>
      </c>
      <c r="G83" s="162">
        <f>VLOOKUP("Q" &amp; A83 &amp; "|" &amp; $M$4,Data!$AX$3:$BA$962,4,FALSE)</f>
        <v>1</v>
      </c>
      <c r="H83" s="163" t="str" cm="1">
        <f t="array" aca="1" ref="H83" ca="1">INDIRECT("Q" &amp;A83&amp;"_Score")</f>
        <v/>
      </c>
      <c r="I83" s="167">
        <f t="shared" ca="1" si="8"/>
        <v>0</v>
      </c>
      <c r="J83" s="163">
        <f t="shared" si="9"/>
        <v>1</v>
      </c>
      <c r="K83" s="160"/>
      <c r="L83" s="163" t="str" cm="1">
        <f t="array" ref="L83">_xlfn.IFS(G83&gt;=0.8,"HIGH",G83&gt;=0.6,"MEDIUM",1=1,"LOW")</f>
        <v>HIGH</v>
      </c>
      <c r="N83" s="150"/>
    </row>
    <row r="84" spans="1:14" s="146" customFormat="1" ht="18.75" hidden="1" customHeight="1" x14ac:dyDescent="0.2">
      <c r="A84" s="156">
        <f t="shared" si="10"/>
        <v>22</v>
      </c>
      <c r="B84" s="157" t="str">
        <f>VLOOKUP("Q" &amp;A84,Data!$AP$3:$AT$122,4,FALSE) &amp; " - " &amp; VLOOKUP("Q" &amp;A84,Data!$AP$3:$AT$122,5,FALSE)</f>
        <v>CVI_3 - Risk Prioritization &amp; Tracking</v>
      </c>
      <c r="C84" s="161"/>
      <c r="D84" s="159" t="str">
        <f>VLOOKUP("Q" &amp; A84 &amp; "|" &amp; $M$4,Data!$AX$3:$BA$962,2,FALSE)</f>
        <v>RA.L2-3.11.3</v>
      </c>
      <c r="E84" s="159" t="str">
        <f>VLOOKUP(D84,Data!$AY$3:$AZ$962,2,FALSE)</f>
        <v>RA</v>
      </c>
      <c r="F84" s="159" t="str">
        <f>TRIM(E84) &amp; IFERROR(" - " &amp; VLOOKUP(_xlfn.CONCAT($M$4,TRIM(E84)),Data!$BG$3:$BH$108,2,FALSE),"")</f>
        <v>RA - Risk Assessment</v>
      </c>
      <c r="G84" s="162">
        <f>VLOOKUP("Q" &amp; A84 &amp; "|" &amp; $M$4,Data!$AX$3:$BA$962,4,FALSE)</f>
        <v>0.8</v>
      </c>
      <c r="H84" s="163" t="str" cm="1">
        <f t="array" aca="1" ref="H84" ca="1">INDIRECT("Q" &amp;A84&amp;"_Score")</f>
        <v/>
      </c>
      <c r="I84" s="167">
        <f t="shared" ca="1" si="8"/>
        <v>0</v>
      </c>
      <c r="J84" s="163">
        <f t="shared" si="9"/>
        <v>1</v>
      </c>
      <c r="K84" s="160"/>
      <c r="L84" s="163" t="str" cm="1">
        <f t="array" ref="L84">_xlfn.IFS(G84&gt;=0.8,"HIGH",G84&gt;=0.6,"MEDIUM",1=1,"LOW")</f>
        <v>HIGH</v>
      </c>
      <c r="N84" s="150"/>
    </row>
    <row r="85" spans="1:14" s="146" customFormat="1" ht="18.75" hidden="1" customHeight="1" x14ac:dyDescent="0.2">
      <c r="A85" s="156">
        <f t="shared" si="10"/>
        <v>23</v>
      </c>
      <c r="B85" s="157" t="str">
        <f>VLOOKUP("Q" &amp;A85,Data!$AP$3:$AT$122,4,FALSE) &amp; " - " &amp; VLOOKUP("Q" &amp;A85,Data!$AP$3:$AT$122,5,FALSE)</f>
        <v>CVI_3 - Risk Prioritization &amp; Tracking</v>
      </c>
      <c r="C85" s="161"/>
      <c r="D85" s="159" t="str">
        <f>VLOOKUP("Q" &amp; A85 &amp; "|" &amp; $M$4,Data!$AX$3:$BA$962,2,FALSE)</f>
        <v>RA.L2-3.11.1</v>
      </c>
      <c r="E85" s="159" t="str">
        <f>VLOOKUP(D85,Data!$AY$3:$AZ$962,2,FALSE)</f>
        <v>RA</v>
      </c>
      <c r="F85" s="159" t="str">
        <f>TRIM(E85) &amp; IFERROR(" - " &amp; VLOOKUP(_xlfn.CONCAT($M$4,TRIM(E85)),Data!$BG$3:$BH$108,2,FALSE),"")</f>
        <v>RA - Risk Assessment</v>
      </c>
      <c r="G85" s="162">
        <f>VLOOKUP("Q" &amp; A85 &amp; "|" &amp; $M$4,Data!$AX$3:$BA$962,4,FALSE)</f>
        <v>1</v>
      </c>
      <c r="H85" s="163" t="str" cm="1">
        <f t="array" aca="1" ref="H85" ca="1">INDIRECT("Q" &amp;A85&amp;"_Score")</f>
        <v/>
      </c>
      <c r="I85" s="167">
        <f t="shared" ca="1" si="8"/>
        <v>0</v>
      </c>
      <c r="J85" s="163">
        <f t="shared" si="9"/>
        <v>1</v>
      </c>
      <c r="K85" s="160"/>
      <c r="L85" s="163" t="str" cm="1">
        <f t="array" ref="L85">_xlfn.IFS(G85&gt;=0.8,"HIGH",G85&gt;=0.6,"MEDIUM",1=1,"LOW")</f>
        <v>HIGH</v>
      </c>
      <c r="N85" s="150"/>
    </row>
    <row r="86" spans="1:14" s="146" customFormat="1" ht="18.75" hidden="1" customHeight="1" x14ac:dyDescent="0.2">
      <c r="A86" s="156">
        <f t="shared" si="10"/>
        <v>24</v>
      </c>
      <c r="B86" s="157" t="str">
        <f>VLOOKUP("Q" &amp;A86,Data!$AP$3:$AT$122,4,FALSE) &amp; " - " &amp; VLOOKUP("Q" &amp;A86,Data!$AP$3:$AT$122,5,FALSE)</f>
        <v>CVI_3 - Risk Prioritization &amp; Tracking</v>
      </c>
      <c r="C86" s="161"/>
      <c r="D86" s="159" t="str">
        <f>VLOOKUP("Q" &amp; A86 &amp; "|" &amp; $M$4,Data!$AX$3:$BA$962,2,FALSE)</f>
        <v>RA.L2-3.11.1</v>
      </c>
      <c r="E86" s="159" t="str">
        <f>VLOOKUP(D86,Data!$AY$3:$AZ$962,2,FALSE)</f>
        <v>RA</v>
      </c>
      <c r="F86" s="159" t="str">
        <f>TRIM(E86) &amp; IFERROR(" - " &amp; VLOOKUP(_xlfn.CONCAT($M$4,TRIM(E86)),Data!$BG$3:$BH$108,2,FALSE),"")</f>
        <v>RA - Risk Assessment</v>
      </c>
      <c r="G86" s="162">
        <f>VLOOKUP("Q" &amp; A86 &amp; "|" &amp; $M$4,Data!$AX$3:$BA$962,4,FALSE)</f>
        <v>0.8</v>
      </c>
      <c r="H86" s="163" t="str" cm="1">
        <f t="array" aca="1" ref="H86" ca="1">INDIRECT("Q" &amp;A86&amp;"_Score")</f>
        <v/>
      </c>
      <c r="I86" s="167">
        <f t="shared" ca="1" si="8"/>
        <v>0</v>
      </c>
      <c r="J86" s="163">
        <f t="shared" si="9"/>
        <v>1</v>
      </c>
      <c r="K86" s="160"/>
      <c r="L86" s="163" t="str" cm="1">
        <f t="array" ref="L86">_xlfn.IFS(G86&gt;=0.8,"HIGH",G86&gt;=0.6,"MEDIUM",1=1,"LOW")</f>
        <v>HIGH</v>
      </c>
      <c r="N86" s="150"/>
    </row>
    <row r="87" spans="1:14" s="146" customFormat="1" ht="18.75" hidden="1" customHeight="1" x14ac:dyDescent="0.2">
      <c r="A87" s="156">
        <f t="shared" si="10"/>
        <v>25</v>
      </c>
      <c r="B87" s="157" t="str">
        <f>VLOOKUP("Q" &amp;A87,Data!$AP$3:$AT$122,4,FALSE) &amp; " - " &amp; VLOOKUP("Q" &amp;A87,Data!$AP$3:$AT$122,5,FALSE)</f>
        <v>CVI_3 - Risk Prioritization &amp; Tracking</v>
      </c>
      <c r="C87" s="161"/>
      <c r="D87" s="159" t="str">
        <f>VLOOKUP("Q" &amp; A87 &amp; "|" &amp; $M$4,Data!$AX$3:$BA$962,2,FALSE)</f>
        <v>-</v>
      </c>
      <c r="E87" s="159" t="str">
        <f>VLOOKUP(D87,Data!$AY$3:$AZ$962,2,FALSE)</f>
        <v>-</v>
      </c>
      <c r="F87" s="159" t="str">
        <f>TRIM(E87) &amp; IFERROR(" - " &amp; VLOOKUP(_xlfn.CONCAT($M$4,TRIM(E87)),Data!$BG$3:$BH$108,2,FALSE),"")</f>
        <v>-</v>
      </c>
      <c r="G87" s="162">
        <f>VLOOKUP("Q" &amp; A87 &amp; "|" &amp; $M$4,Data!$AX$3:$BA$962,4,FALSE)</f>
        <v>0</v>
      </c>
      <c r="H87" s="163" t="str" cm="1">
        <f t="array" aca="1" ref="H87" ca="1">INDIRECT("Q" &amp;A87&amp;"_Score")</f>
        <v/>
      </c>
      <c r="I87" s="167">
        <f t="shared" ca="1" si="8"/>
        <v>0</v>
      </c>
      <c r="J87" s="163">
        <f t="shared" si="9"/>
        <v>0</v>
      </c>
      <c r="K87" s="160"/>
      <c r="L87" s="163" t="str" cm="1">
        <f t="array" ref="L87">_xlfn.IFS(G87&gt;=0.8,"HIGH",G87&gt;=0.6,"MEDIUM",1=1,"LOW")</f>
        <v>LOW</v>
      </c>
      <c r="N87" s="150"/>
    </row>
    <row r="88" spans="1:14" s="146" customFormat="1" ht="18.75" hidden="1" customHeight="1" x14ac:dyDescent="0.2">
      <c r="A88" s="156">
        <f t="shared" si="10"/>
        <v>26</v>
      </c>
      <c r="B88" s="157" t="str">
        <f>VLOOKUP("Q" &amp;A88,Data!$AP$3:$AT$122,4,FALSE) &amp; " - " &amp; VLOOKUP("Q" &amp;A88,Data!$AP$3:$AT$122,5,FALSE)</f>
        <v>CVI_3 - Risk Prioritization &amp; Tracking</v>
      </c>
      <c r="C88" s="161"/>
      <c r="D88" s="159" t="str">
        <f>VLOOKUP("Q" &amp; A88 &amp; "|" &amp; $M$4,Data!$AX$3:$BA$962,2,FALSE)</f>
        <v>RA.L2-3.11.1</v>
      </c>
      <c r="E88" s="159" t="str">
        <f>VLOOKUP(D88,Data!$AY$3:$AZ$962,2,FALSE)</f>
        <v>RA</v>
      </c>
      <c r="F88" s="159" t="str">
        <f>TRIM(E88) &amp; IFERROR(" - " &amp; VLOOKUP(_xlfn.CONCAT($M$4,TRIM(E88)),Data!$BG$3:$BH$108,2,FALSE),"")</f>
        <v>RA - Risk Assessment</v>
      </c>
      <c r="G88" s="162">
        <f>VLOOKUP("Q" &amp; A88 &amp; "|" &amp; $M$4,Data!$AX$3:$BA$962,4,FALSE)</f>
        <v>0.8</v>
      </c>
      <c r="H88" s="163" t="str" cm="1">
        <f t="array" aca="1" ref="H88" ca="1">INDIRECT("Q" &amp;A88&amp;"_Score")</f>
        <v/>
      </c>
      <c r="I88" s="167">
        <f t="shared" ca="1" si="8"/>
        <v>0</v>
      </c>
      <c r="J88" s="163">
        <f t="shared" si="9"/>
        <v>1</v>
      </c>
      <c r="K88" s="160"/>
      <c r="L88" s="163" t="str" cm="1">
        <f t="array" ref="L88">_xlfn.IFS(G88&gt;=0.8,"HIGH",G88&gt;=0.6,"MEDIUM",1=1,"LOW")</f>
        <v>HIGH</v>
      </c>
      <c r="N88" s="150"/>
    </row>
    <row r="89" spans="1:14" s="146" customFormat="1" ht="18.75" hidden="1" customHeight="1" x14ac:dyDescent="0.2">
      <c r="A89" s="156">
        <f t="shared" si="10"/>
        <v>27</v>
      </c>
      <c r="B89" s="157" t="str">
        <f>VLOOKUP("Q" &amp;A89,Data!$AP$3:$AT$122,4,FALSE) &amp; " - " &amp; VLOOKUP("Q" &amp;A89,Data!$AP$3:$AT$122,5,FALSE)</f>
        <v>CVI_3 - Risk Prioritization &amp; Tracking</v>
      </c>
      <c r="C89" s="161"/>
      <c r="D89" s="159" t="str">
        <f>VLOOKUP("Q" &amp; A89 &amp; "|" &amp; $M$4,Data!$AX$3:$BA$962,2,FALSE)</f>
        <v>CA.L2-3.12.1</v>
      </c>
      <c r="E89" s="159" t="str">
        <f>VLOOKUP(D89,Data!$AY$3:$AZ$962,2,FALSE)</f>
        <v>CA</v>
      </c>
      <c r="F89" s="159" t="str">
        <f>TRIM(E89) &amp; IFERROR(" - " &amp; VLOOKUP(_xlfn.CONCAT($M$4,TRIM(E89)),Data!$BG$3:$BH$108,2,FALSE),"")</f>
        <v>CA - Security Assessment and Authorization</v>
      </c>
      <c r="G89" s="162">
        <f>VLOOKUP("Q" &amp; A89 &amp; "|" &amp; $M$4,Data!$AX$3:$BA$962,4,FALSE)</f>
        <v>1</v>
      </c>
      <c r="H89" s="163" t="str" cm="1">
        <f t="array" aca="1" ref="H89" ca="1">INDIRECT("Q" &amp;A89&amp;"_Score")</f>
        <v/>
      </c>
      <c r="I89" s="167">
        <f t="shared" ca="1" si="8"/>
        <v>0</v>
      </c>
      <c r="J89" s="163">
        <f t="shared" si="9"/>
        <v>1</v>
      </c>
      <c r="K89" s="160"/>
      <c r="L89" s="163" t="str" cm="1">
        <f t="array" ref="L89">_xlfn.IFS(G89&gt;=0.8,"HIGH",G89&gt;=0.6,"MEDIUM",1=1,"LOW")</f>
        <v>HIGH</v>
      </c>
      <c r="N89" s="150"/>
    </row>
    <row r="90" spans="1:14" s="146" customFormat="1" ht="18.75" hidden="1" customHeight="1" x14ac:dyDescent="0.2">
      <c r="A90" s="156">
        <f t="shared" si="10"/>
        <v>28</v>
      </c>
      <c r="B90" s="157" t="str">
        <f>VLOOKUP("Q" &amp;A90,Data!$AP$3:$AT$122,4,FALSE) &amp; " - " &amp; VLOOKUP("Q" &amp;A90,Data!$AP$3:$AT$122,5,FALSE)</f>
        <v>CVI_3 - Risk Prioritization &amp; Tracking</v>
      </c>
      <c r="C90" s="161"/>
      <c r="D90" s="159" t="str">
        <f>VLOOKUP("Q" &amp; A90 &amp; "|" &amp; $M$4,Data!$AX$3:$BA$962,2,FALSE)</f>
        <v>CA.L2-3.12.3</v>
      </c>
      <c r="E90" s="159" t="str">
        <f>VLOOKUP(D90,Data!$AY$3:$AZ$962,2,FALSE)</f>
        <v>CA</v>
      </c>
      <c r="F90" s="159" t="str">
        <f>TRIM(E90) &amp; IFERROR(" - " &amp; VLOOKUP(_xlfn.CONCAT($M$4,TRIM(E90)),Data!$BG$3:$BH$108,2,FALSE),"")</f>
        <v>CA - Security Assessment and Authorization</v>
      </c>
      <c r="G90" s="162">
        <f>VLOOKUP("Q" &amp; A90 &amp; "|" &amp; $M$4,Data!$AX$3:$BA$962,4,FALSE)</f>
        <v>0.8</v>
      </c>
      <c r="H90" s="163" t="str" cm="1">
        <f t="array" aca="1" ref="H90" ca="1">INDIRECT("Q" &amp;A90&amp;"_Score")</f>
        <v/>
      </c>
      <c r="I90" s="167">
        <f t="shared" ca="1" si="8"/>
        <v>0</v>
      </c>
      <c r="J90" s="163">
        <f t="shared" si="9"/>
        <v>1</v>
      </c>
      <c r="K90" s="160"/>
      <c r="L90" s="163" t="str" cm="1">
        <f t="array" ref="L90">_xlfn.IFS(G90&gt;=0.8,"HIGH",G90&gt;=0.6,"MEDIUM",1=1,"LOW")</f>
        <v>HIGH</v>
      </c>
      <c r="N90" s="150"/>
    </row>
    <row r="91" spans="1:14" s="146" customFormat="1" ht="18.75" hidden="1" customHeight="1" x14ac:dyDescent="0.2">
      <c r="A91" s="156">
        <f t="shared" si="10"/>
        <v>29</v>
      </c>
      <c r="B91" s="157" t="str">
        <f>VLOOKUP("Q" &amp;A91,Data!$AP$3:$AT$122,4,FALSE) &amp; " - " &amp; VLOOKUP("Q" &amp;A91,Data!$AP$3:$AT$122,5,FALSE)</f>
        <v>CVI_3 - Risk Prioritization &amp; Tracking</v>
      </c>
      <c r="C91" s="161"/>
      <c r="D91" s="159" t="str">
        <f>VLOOKUP("Q" &amp; A91 &amp; "|" &amp; $M$4,Data!$AX$3:$BA$962,2,FALSE)</f>
        <v>-</v>
      </c>
      <c r="E91" s="159" t="str">
        <f>VLOOKUP(D91,Data!$AY$3:$AZ$962,2,FALSE)</f>
        <v>-</v>
      </c>
      <c r="F91" s="159" t="str">
        <f>TRIM(E91) &amp; IFERROR(" - " &amp; VLOOKUP(_xlfn.CONCAT($M$4,TRIM(E91)),Data!$BG$3:$BH$108,2,FALSE),"")</f>
        <v>-</v>
      </c>
      <c r="G91" s="162">
        <f>VLOOKUP("Q" &amp; A91 &amp; "|" &amp; $M$4,Data!$AX$3:$BA$962,4,FALSE)</f>
        <v>0</v>
      </c>
      <c r="H91" s="163" t="str" cm="1">
        <f t="array" aca="1" ref="H91" ca="1">INDIRECT("Q" &amp;A91&amp;"_Score")</f>
        <v/>
      </c>
      <c r="I91" s="167">
        <f t="shared" ca="1" si="8"/>
        <v>0</v>
      </c>
      <c r="J91" s="163">
        <f t="shared" si="9"/>
        <v>0</v>
      </c>
      <c r="K91" s="160"/>
      <c r="L91" s="163" t="str" cm="1">
        <f t="array" ref="L91">_xlfn.IFS(G91&gt;=0.8,"HIGH",G91&gt;=0.6,"MEDIUM",1=1,"LOW")</f>
        <v>LOW</v>
      </c>
      <c r="N91" s="150"/>
    </row>
    <row r="92" spans="1:14" s="146" customFormat="1" ht="18.75" hidden="1" customHeight="1" x14ac:dyDescent="0.2">
      <c r="A92" s="156">
        <f t="shared" si="10"/>
        <v>30</v>
      </c>
      <c r="B92" s="157" t="str">
        <f>VLOOKUP("Q" &amp;A92,Data!$AP$3:$AT$122,4,FALSE) &amp; " - " &amp; VLOOKUP("Q" &amp;A92,Data!$AP$3:$AT$122,5,FALSE)</f>
        <v>CVI_3 - Risk Prioritization &amp; Tracking</v>
      </c>
      <c r="C92" s="161"/>
      <c r="D92" s="159" t="str">
        <f>VLOOKUP("Q" &amp; A92 &amp; "|" &amp; $M$4,Data!$AX$3:$BA$962,2,FALSE)</f>
        <v>-</v>
      </c>
      <c r="E92" s="159" t="str">
        <f>VLOOKUP(D92,Data!$AY$3:$AZ$962,2,FALSE)</f>
        <v>-</v>
      </c>
      <c r="F92" s="159" t="str">
        <f>TRIM(E92) &amp; IFERROR(" - " &amp; VLOOKUP(_xlfn.CONCAT($M$4,TRIM(E92)),Data!$BG$3:$BH$108,2,FALSE),"")</f>
        <v>-</v>
      </c>
      <c r="G92" s="162">
        <f>VLOOKUP("Q" &amp; A92 &amp; "|" &amp; $M$4,Data!$AX$3:$BA$962,4,FALSE)</f>
        <v>0</v>
      </c>
      <c r="H92" s="163" t="str" cm="1">
        <f t="array" aca="1" ref="H92" ca="1">INDIRECT("Q" &amp;A92&amp;"_Score")</f>
        <v/>
      </c>
      <c r="I92" s="167">
        <f t="shared" ca="1" si="8"/>
        <v>0</v>
      </c>
      <c r="J92" s="163">
        <f t="shared" si="9"/>
        <v>0</v>
      </c>
      <c r="K92" s="160"/>
      <c r="L92" s="163" t="str" cm="1">
        <f t="array" ref="L92">_xlfn.IFS(G92&gt;=0.8,"HIGH",G92&gt;=0.6,"MEDIUM",1=1,"LOW")</f>
        <v>LOW</v>
      </c>
      <c r="N92" s="150"/>
    </row>
    <row r="93" spans="1:14" s="146" customFormat="1" ht="18.75" hidden="1" customHeight="1" x14ac:dyDescent="0.2">
      <c r="A93" s="156">
        <f t="shared" si="10"/>
        <v>31</v>
      </c>
      <c r="B93" s="157" t="str">
        <f>VLOOKUP("Q" &amp;A93,Data!$AP$3:$AT$122,4,FALSE) &amp; " - " &amp; VLOOKUP("Q" &amp;A93,Data!$AP$3:$AT$122,5,FALSE)</f>
        <v>SGRM_1 - Governance Structure &amp; Leadership</v>
      </c>
      <c r="C93" s="161"/>
      <c r="D93" s="159" t="str">
        <f>VLOOKUP("Q" &amp; A93 &amp; "|" &amp; $M$4,Data!$AX$3:$BA$962,2,FALSE)</f>
        <v>CA.L2-3.12.1</v>
      </c>
      <c r="E93" s="159" t="str">
        <f>VLOOKUP(D93,Data!$AY$3:$AZ$962,2,FALSE)</f>
        <v>CA</v>
      </c>
      <c r="F93" s="159" t="str">
        <f>TRIM(E93) &amp; IFERROR(" - " &amp; VLOOKUP(_xlfn.CONCAT($M$4,TRIM(E93)),Data!$BG$3:$BH$108,2,FALSE),"")</f>
        <v>CA - Security Assessment and Authorization</v>
      </c>
      <c r="G93" s="162">
        <f>VLOOKUP("Q" &amp; A93 &amp; "|" &amp; $M$4,Data!$AX$3:$BA$962,4,FALSE)</f>
        <v>0.6</v>
      </c>
      <c r="H93" s="163" t="str" cm="1">
        <f t="array" aca="1" ref="H93" ca="1">INDIRECT("Q" &amp;A93&amp;"_Score")</f>
        <v/>
      </c>
      <c r="I93" s="167">
        <f t="shared" ca="1" si="8"/>
        <v>0</v>
      </c>
      <c r="J93" s="163">
        <f t="shared" si="9"/>
        <v>1</v>
      </c>
      <c r="K93" s="160"/>
      <c r="L93" s="163" t="str" cm="1">
        <f t="array" ref="L93">_xlfn.IFS(G93&gt;=0.8,"HIGH",G93&gt;=0.6,"MEDIUM",1=1,"LOW")</f>
        <v>MEDIUM</v>
      </c>
      <c r="N93" s="150"/>
    </row>
    <row r="94" spans="1:14" s="146" customFormat="1" ht="18.75" hidden="1" customHeight="1" x14ac:dyDescent="0.2">
      <c r="A94" s="156">
        <f t="shared" si="10"/>
        <v>32</v>
      </c>
      <c r="B94" s="157" t="str">
        <f>VLOOKUP("Q" &amp;A94,Data!$AP$3:$AT$122,4,FALSE) &amp; " - " &amp; VLOOKUP("Q" &amp;A94,Data!$AP$3:$AT$122,5,FALSE)</f>
        <v>SGRM_1 - Governance Structure &amp; Leadership</v>
      </c>
      <c r="C94" s="161"/>
      <c r="D94" s="159" t="str">
        <f>VLOOKUP("Q" &amp; A94 &amp; "|" &amp; $M$4,Data!$AX$3:$BA$962,2,FALSE)</f>
        <v>CA.L2-3.12.1</v>
      </c>
      <c r="E94" s="159" t="str">
        <f>VLOOKUP(D94,Data!$AY$3:$AZ$962,2,FALSE)</f>
        <v>CA</v>
      </c>
      <c r="F94" s="159" t="str">
        <f>TRIM(E94) &amp; IFERROR(" - " &amp; VLOOKUP(_xlfn.CONCAT($M$4,TRIM(E94)),Data!$BG$3:$BH$108,2,FALSE),"")</f>
        <v>CA - Security Assessment and Authorization</v>
      </c>
      <c r="G94" s="162">
        <f>VLOOKUP("Q" &amp; A94 &amp; "|" &amp; $M$4,Data!$AX$3:$BA$962,4,FALSE)</f>
        <v>0.8</v>
      </c>
      <c r="H94" s="163" t="str" cm="1">
        <f t="array" aca="1" ref="H94" ca="1">INDIRECT("Q" &amp;A94&amp;"_Score")</f>
        <v/>
      </c>
      <c r="I94" s="167">
        <f t="shared" ca="1" si="8"/>
        <v>0</v>
      </c>
      <c r="J94" s="163">
        <f t="shared" si="9"/>
        <v>1</v>
      </c>
      <c r="K94" s="160"/>
      <c r="L94" s="163" t="str" cm="1">
        <f t="array" ref="L94">_xlfn.IFS(G94&gt;=0.8,"HIGH",G94&gt;=0.6,"MEDIUM",1=1,"LOW")</f>
        <v>HIGH</v>
      </c>
      <c r="N94" s="150"/>
    </row>
    <row r="95" spans="1:14" s="146" customFormat="1" ht="18.75" hidden="1" customHeight="1" x14ac:dyDescent="0.2">
      <c r="A95" s="156">
        <f t="shared" si="10"/>
        <v>33</v>
      </c>
      <c r="B95" s="157" t="str">
        <f>VLOOKUP("Q" &amp;A95,Data!$AP$3:$AT$122,4,FALSE) &amp; " - " &amp; VLOOKUP("Q" &amp;A95,Data!$AP$3:$AT$122,5,FALSE)</f>
        <v>SGRM_1 - Governance Structure &amp; Leadership</v>
      </c>
      <c r="C95" s="161"/>
      <c r="D95" s="159" t="str">
        <f>VLOOKUP("Q" &amp; A95 &amp; "|" &amp; $M$4,Data!$AX$3:$BA$962,2,FALSE)</f>
        <v>CA.L2-3.12.1</v>
      </c>
      <c r="E95" s="159" t="str">
        <f>VLOOKUP(D95,Data!$AY$3:$AZ$962,2,FALSE)</f>
        <v>CA</v>
      </c>
      <c r="F95" s="159" t="str">
        <f>TRIM(E95) &amp; IFERROR(" - " &amp; VLOOKUP(_xlfn.CONCAT($M$4,TRIM(E95)),Data!$BG$3:$BH$108,2,FALSE),"")</f>
        <v>CA - Security Assessment and Authorization</v>
      </c>
      <c r="G95" s="162">
        <f>VLOOKUP("Q" &amp; A95 &amp; "|" &amp; $M$4,Data!$AX$3:$BA$962,4,FALSE)</f>
        <v>0.6</v>
      </c>
      <c r="H95" s="163" t="str" cm="1">
        <f t="array" aca="1" ref="H95" ca="1">INDIRECT("Q" &amp;A95&amp;"_Score")</f>
        <v/>
      </c>
      <c r="I95" s="167">
        <f t="shared" ref="I95:I126" ca="1" si="11">IFERROR(H95*G95,0)</f>
        <v>0</v>
      </c>
      <c r="J95" s="163">
        <f t="shared" ref="J95:J126" si="12">IF(G95&gt;0,1,0)</f>
        <v>1</v>
      </c>
      <c r="K95" s="160"/>
      <c r="L95" s="163" t="str" cm="1">
        <f t="array" ref="L95">_xlfn.IFS(G95&gt;=0.8,"HIGH",G95&gt;=0.6,"MEDIUM",1=1,"LOW")</f>
        <v>MEDIUM</v>
      </c>
      <c r="N95" s="150"/>
    </row>
    <row r="96" spans="1:14" s="146" customFormat="1" ht="18.75" hidden="1" customHeight="1" x14ac:dyDescent="0.2">
      <c r="A96" s="156">
        <f t="shared" si="10"/>
        <v>34</v>
      </c>
      <c r="B96" s="157" t="str">
        <f>VLOOKUP("Q" &amp;A96,Data!$AP$3:$AT$122,4,FALSE) &amp; " - " &amp; VLOOKUP("Q" &amp;A96,Data!$AP$3:$AT$122,5,FALSE)</f>
        <v>SGRM_1 - Governance Structure &amp; Leadership</v>
      </c>
      <c r="C96" s="161"/>
      <c r="D96" s="159" t="str">
        <f>VLOOKUP("Q" &amp; A96 &amp; "|" &amp; $M$4,Data!$AX$3:$BA$962,2,FALSE)</f>
        <v>CA.L2-3.12.1</v>
      </c>
      <c r="E96" s="159" t="str">
        <f>VLOOKUP(D96,Data!$AY$3:$AZ$962,2,FALSE)</f>
        <v>CA</v>
      </c>
      <c r="F96" s="159" t="str">
        <f>TRIM(E96) &amp; IFERROR(" - " &amp; VLOOKUP(_xlfn.CONCAT($M$4,TRIM(E96)),Data!$BG$3:$BH$108,2,FALSE),"")</f>
        <v>CA - Security Assessment and Authorization</v>
      </c>
      <c r="G96" s="162">
        <f>VLOOKUP("Q" &amp; A96 &amp; "|" &amp; $M$4,Data!$AX$3:$BA$962,4,FALSE)</f>
        <v>0.8</v>
      </c>
      <c r="H96" s="163" t="str" cm="1">
        <f t="array" aca="1" ref="H96" ca="1">INDIRECT("Q" &amp;A96&amp;"_Score")</f>
        <v/>
      </c>
      <c r="I96" s="167">
        <f t="shared" ca="1" si="11"/>
        <v>0</v>
      </c>
      <c r="J96" s="163">
        <f t="shared" si="12"/>
        <v>1</v>
      </c>
      <c r="K96" s="160"/>
      <c r="L96" s="163" t="str" cm="1">
        <f t="array" ref="L96">_xlfn.IFS(G96&gt;=0.8,"HIGH",G96&gt;=0.6,"MEDIUM",1=1,"LOW")</f>
        <v>HIGH</v>
      </c>
      <c r="N96" s="150"/>
    </row>
    <row r="97" spans="1:14" s="146" customFormat="1" ht="18.75" hidden="1" customHeight="1" x14ac:dyDescent="0.2">
      <c r="A97" s="156">
        <f t="shared" si="10"/>
        <v>35</v>
      </c>
      <c r="B97" s="157" t="str">
        <f>VLOOKUP("Q" &amp;A97,Data!$AP$3:$AT$122,4,FALSE) &amp; " - " &amp; VLOOKUP("Q" &amp;A97,Data!$AP$3:$AT$122,5,FALSE)</f>
        <v>SGRM_1 - Governance Structure &amp; Leadership</v>
      </c>
      <c r="C97" s="161"/>
      <c r="D97" s="159" t="str">
        <f>VLOOKUP("Q" &amp; A97 &amp; "|" &amp; $M$4,Data!$AX$3:$BA$962,2,FALSE)</f>
        <v>CA.L2-3.12.1</v>
      </c>
      <c r="E97" s="159" t="str">
        <f>VLOOKUP(D97,Data!$AY$3:$AZ$962,2,FALSE)</f>
        <v>CA</v>
      </c>
      <c r="F97" s="159" t="str">
        <f>TRIM(E97) &amp; IFERROR(" - " &amp; VLOOKUP(_xlfn.CONCAT($M$4,TRIM(E97)),Data!$BG$3:$BH$108,2,FALSE),"")</f>
        <v>CA - Security Assessment and Authorization</v>
      </c>
      <c r="G97" s="162">
        <f>VLOOKUP("Q" &amp; A97 &amp; "|" &amp; $M$4,Data!$AX$3:$BA$962,4,FALSE)</f>
        <v>1</v>
      </c>
      <c r="H97" s="163" t="str" cm="1">
        <f t="array" aca="1" ref="H97" ca="1">INDIRECT("Q" &amp;A97&amp;"_Score")</f>
        <v/>
      </c>
      <c r="I97" s="167">
        <f t="shared" ca="1" si="11"/>
        <v>0</v>
      </c>
      <c r="J97" s="163">
        <f t="shared" si="12"/>
        <v>1</v>
      </c>
      <c r="K97" s="160"/>
      <c r="L97" s="163" t="str" cm="1">
        <f t="array" ref="L97">_xlfn.IFS(G97&gt;=0.8,"HIGH",G97&gt;=0.6,"MEDIUM",1=1,"LOW")</f>
        <v>HIGH</v>
      </c>
      <c r="N97" s="150"/>
    </row>
    <row r="98" spans="1:14" s="146" customFormat="1" ht="18.75" hidden="1" customHeight="1" x14ac:dyDescent="0.2">
      <c r="A98" s="156">
        <f t="shared" si="10"/>
        <v>36</v>
      </c>
      <c r="B98" s="157" t="str">
        <f>VLOOKUP("Q" &amp;A98,Data!$AP$3:$AT$122,4,FALSE) &amp; " - " &amp; VLOOKUP("Q" &amp;A98,Data!$AP$3:$AT$122,5,FALSE)</f>
        <v>SGRM_1 - Governance Structure &amp; Leadership</v>
      </c>
      <c r="C98" s="161"/>
      <c r="D98" s="159" t="str">
        <f>VLOOKUP("Q" &amp; A98 &amp; "|" &amp; $M$4,Data!$AX$3:$BA$962,2,FALSE)</f>
        <v>CA.L2-3.12.1</v>
      </c>
      <c r="E98" s="159" t="str">
        <f>VLOOKUP(D98,Data!$AY$3:$AZ$962,2,FALSE)</f>
        <v>CA</v>
      </c>
      <c r="F98" s="159" t="str">
        <f>TRIM(E98) &amp; IFERROR(" - " &amp; VLOOKUP(_xlfn.CONCAT($M$4,TRIM(E98)),Data!$BG$3:$BH$108,2,FALSE),"")</f>
        <v>CA - Security Assessment and Authorization</v>
      </c>
      <c r="G98" s="162">
        <f>VLOOKUP("Q" &amp; A98 &amp; "|" &amp; $M$4,Data!$AX$3:$BA$962,4,FALSE)</f>
        <v>0.8</v>
      </c>
      <c r="H98" s="163" t="str" cm="1">
        <f t="array" aca="1" ref="H98" ca="1">INDIRECT("Q" &amp;A98&amp;"_Score")</f>
        <v/>
      </c>
      <c r="I98" s="167">
        <f t="shared" ca="1" si="11"/>
        <v>0</v>
      </c>
      <c r="J98" s="163">
        <f t="shared" si="12"/>
        <v>1</v>
      </c>
      <c r="K98" s="160"/>
      <c r="L98" s="163" t="str" cm="1">
        <f t="array" ref="L98">_xlfn.IFS(G98&gt;=0.8,"HIGH",G98&gt;=0.6,"MEDIUM",1=1,"LOW")</f>
        <v>HIGH</v>
      </c>
      <c r="N98" s="150"/>
    </row>
    <row r="99" spans="1:14" s="146" customFormat="1" ht="18.75" hidden="1" customHeight="1" x14ac:dyDescent="0.2">
      <c r="A99" s="156">
        <f t="shared" si="10"/>
        <v>37</v>
      </c>
      <c r="B99" s="157" t="str">
        <f>VLOOKUP("Q" &amp;A99,Data!$AP$3:$AT$122,4,FALSE) &amp; " - " &amp; VLOOKUP("Q" &amp;A99,Data!$AP$3:$AT$122,5,FALSE)</f>
        <v>SGRM_1 - Governance Structure &amp; Leadership</v>
      </c>
      <c r="C99" s="161"/>
      <c r="D99" s="159" t="str">
        <f>VLOOKUP("Q" &amp; A99 &amp; "|" &amp; $M$4,Data!$AX$3:$BA$962,2,FALSE)</f>
        <v>CA.L2-3.12.1</v>
      </c>
      <c r="E99" s="159" t="str">
        <f>VLOOKUP(D99,Data!$AY$3:$AZ$962,2,FALSE)</f>
        <v>CA</v>
      </c>
      <c r="F99" s="159" t="str">
        <f>TRIM(E99) &amp; IFERROR(" - " &amp; VLOOKUP(_xlfn.CONCAT($M$4,TRIM(E99)),Data!$BG$3:$BH$108,2,FALSE),"")</f>
        <v>CA - Security Assessment and Authorization</v>
      </c>
      <c r="G99" s="162">
        <f>VLOOKUP("Q" &amp; A99 &amp; "|" &amp; $M$4,Data!$AX$3:$BA$962,4,FALSE)</f>
        <v>0.6</v>
      </c>
      <c r="H99" s="163" t="str" cm="1">
        <f t="array" aca="1" ref="H99" ca="1">INDIRECT("Q" &amp;A99&amp;"_Score")</f>
        <v/>
      </c>
      <c r="I99" s="167">
        <f t="shared" ca="1" si="11"/>
        <v>0</v>
      </c>
      <c r="J99" s="163">
        <f t="shared" si="12"/>
        <v>1</v>
      </c>
      <c r="K99" s="160"/>
      <c r="L99" s="163" t="str" cm="1">
        <f t="array" ref="L99">_xlfn.IFS(G99&gt;=0.8,"HIGH",G99&gt;=0.6,"MEDIUM",1=1,"LOW")</f>
        <v>MEDIUM</v>
      </c>
      <c r="N99" s="150"/>
    </row>
    <row r="100" spans="1:14" s="146" customFormat="1" ht="18.75" hidden="1" customHeight="1" x14ac:dyDescent="0.2">
      <c r="A100" s="156">
        <f t="shared" si="10"/>
        <v>38</v>
      </c>
      <c r="B100" s="157" t="str">
        <f>VLOOKUP("Q" &amp;A100,Data!$AP$3:$AT$122,4,FALSE) &amp; " - " &amp; VLOOKUP("Q" &amp;A100,Data!$AP$3:$AT$122,5,FALSE)</f>
        <v>SGRM_1 - Governance Structure &amp; Leadership</v>
      </c>
      <c r="C100" s="161"/>
      <c r="D100" s="159" t="str">
        <f>VLOOKUP("Q" &amp; A100 &amp; "|" &amp; $M$4,Data!$AX$3:$BA$962,2,FALSE)</f>
        <v>CA.L2-3.12.1</v>
      </c>
      <c r="E100" s="159" t="str">
        <f>VLOOKUP(D100,Data!$AY$3:$AZ$962,2,FALSE)</f>
        <v>CA</v>
      </c>
      <c r="F100" s="159" t="str">
        <f>TRIM(E100) &amp; IFERROR(" - " &amp; VLOOKUP(_xlfn.CONCAT($M$4,TRIM(E100)),Data!$BG$3:$BH$108,2,FALSE),"")</f>
        <v>CA - Security Assessment and Authorization</v>
      </c>
      <c r="G100" s="162">
        <f>VLOOKUP("Q" &amp; A100 &amp; "|" &amp; $M$4,Data!$AX$3:$BA$962,4,FALSE)</f>
        <v>0.8</v>
      </c>
      <c r="H100" s="163" t="str" cm="1">
        <f t="array" aca="1" ref="H100" ca="1">INDIRECT("Q" &amp;A100&amp;"_Score")</f>
        <v/>
      </c>
      <c r="I100" s="167">
        <f t="shared" ca="1" si="11"/>
        <v>0</v>
      </c>
      <c r="J100" s="163">
        <f t="shared" si="12"/>
        <v>1</v>
      </c>
      <c r="K100" s="160"/>
      <c r="L100" s="163" t="str" cm="1">
        <f t="array" ref="L100">_xlfn.IFS(G100&gt;=0.8,"HIGH",G100&gt;=0.6,"MEDIUM",1=1,"LOW")</f>
        <v>HIGH</v>
      </c>
      <c r="N100" s="150"/>
    </row>
    <row r="101" spans="1:14" s="146" customFormat="1" ht="18.75" hidden="1" customHeight="1" x14ac:dyDescent="0.2">
      <c r="A101" s="156">
        <f t="shared" si="10"/>
        <v>39</v>
      </c>
      <c r="B101" s="157" t="str">
        <f>VLOOKUP("Q" &amp;A101,Data!$AP$3:$AT$122,4,FALSE) &amp; " - " &amp; VLOOKUP("Q" &amp;A101,Data!$AP$3:$AT$122,5,FALSE)</f>
        <v>SGRM_1 - Governance Structure &amp; Leadership</v>
      </c>
      <c r="C101" s="161"/>
      <c r="D101" s="159" t="str">
        <f>VLOOKUP("Q" &amp; A101 &amp; "|" &amp; $M$4,Data!$AX$3:$BA$962,2,FALSE)</f>
        <v>CA.L2-3.12.3</v>
      </c>
      <c r="E101" s="159" t="str">
        <f>VLOOKUP(D101,Data!$AY$3:$AZ$962,2,FALSE)</f>
        <v>CA</v>
      </c>
      <c r="F101" s="159" t="str">
        <f>TRIM(E101) &amp; IFERROR(" - " &amp; VLOOKUP(_xlfn.CONCAT($M$4,TRIM(E101)),Data!$BG$3:$BH$108,2,FALSE),"")</f>
        <v>CA - Security Assessment and Authorization</v>
      </c>
      <c r="G101" s="162">
        <f>VLOOKUP("Q" &amp; A101 &amp; "|" &amp; $M$4,Data!$AX$3:$BA$962,4,FALSE)</f>
        <v>1</v>
      </c>
      <c r="H101" s="163" t="str" cm="1">
        <f t="array" aca="1" ref="H101" ca="1">INDIRECT("Q" &amp;A101&amp;"_Score")</f>
        <v/>
      </c>
      <c r="I101" s="167">
        <f t="shared" ca="1" si="11"/>
        <v>0</v>
      </c>
      <c r="J101" s="163">
        <f t="shared" si="12"/>
        <v>1</v>
      </c>
      <c r="K101" s="160"/>
      <c r="L101" s="163" t="str" cm="1">
        <f t="array" ref="L101">_xlfn.IFS(G101&gt;=0.8,"HIGH",G101&gt;=0.6,"MEDIUM",1=1,"LOW")</f>
        <v>HIGH</v>
      </c>
      <c r="N101" s="150"/>
    </row>
    <row r="102" spans="1:14" s="146" customFormat="1" ht="18.75" hidden="1" customHeight="1" x14ac:dyDescent="0.2">
      <c r="A102" s="156">
        <f t="shared" si="10"/>
        <v>40</v>
      </c>
      <c r="B102" s="157" t="str">
        <f>VLOOKUP("Q" &amp;A102,Data!$AP$3:$AT$122,4,FALSE) &amp; " - " &amp; VLOOKUP("Q" &amp;A102,Data!$AP$3:$AT$122,5,FALSE)</f>
        <v>SGRM_1 - Governance Structure &amp; Leadership</v>
      </c>
      <c r="C102" s="161"/>
      <c r="D102" s="159" t="str">
        <f>VLOOKUP("Q" &amp; A102 &amp; "|" &amp; $M$4,Data!$AX$3:$BA$962,2,FALSE)</f>
        <v>CA.L2-3.12.3</v>
      </c>
      <c r="E102" s="159" t="str">
        <f>VLOOKUP(D102,Data!$AY$3:$AZ$962,2,FALSE)</f>
        <v>CA</v>
      </c>
      <c r="F102" s="159" t="str">
        <f>TRIM(E102) &amp; IFERROR(" - " &amp; VLOOKUP(_xlfn.CONCAT($M$4,TRIM(E102)),Data!$BG$3:$BH$108,2,FALSE),"")</f>
        <v>CA - Security Assessment and Authorization</v>
      </c>
      <c r="G102" s="162">
        <f>VLOOKUP("Q" &amp; A102 &amp; "|" &amp; $M$4,Data!$AX$3:$BA$962,4,FALSE)</f>
        <v>0.8</v>
      </c>
      <c r="H102" s="163" t="str" cm="1">
        <f t="array" aca="1" ref="H102" ca="1">INDIRECT("Q" &amp;A102&amp;"_Score")</f>
        <v/>
      </c>
      <c r="I102" s="167">
        <f t="shared" ca="1" si="11"/>
        <v>0</v>
      </c>
      <c r="J102" s="163">
        <f t="shared" si="12"/>
        <v>1</v>
      </c>
      <c r="K102" s="160"/>
      <c r="L102" s="163" t="str" cm="1">
        <f t="array" ref="L102">_xlfn.IFS(G102&gt;=0.8,"HIGH",G102&gt;=0.6,"MEDIUM",1=1,"LOW")</f>
        <v>HIGH</v>
      </c>
      <c r="N102" s="150"/>
    </row>
    <row r="103" spans="1:14" s="146" customFormat="1" ht="18.75" hidden="1" customHeight="1" x14ac:dyDescent="0.2">
      <c r="A103" s="156">
        <f t="shared" si="10"/>
        <v>41</v>
      </c>
      <c r="B103" s="157" t="str">
        <f>VLOOKUP("Q" &amp;A103,Data!$AP$3:$AT$122,4,FALSE) &amp; " - " &amp; VLOOKUP("Q" &amp;A103,Data!$AP$3:$AT$122,5,FALSE)</f>
        <v>SGRM_2 - Risk Management Framework</v>
      </c>
      <c r="C103" s="161"/>
      <c r="D103" s="159" t="str">
        <f>VLOOKUP("Q" &amp; A103 &amp; "|" &amp; $M$4,Data!$AX$3:$BA$962,2,FALSE)</f>
        <v>RA.L2-3.11.1</v>
      </c>
      <c r="E103" s="159" t="str">
        <f>VLOOKUP(D103,Data!$AY$3:$AZ$962,2,FALSE)</f>
        <v>RA</v>
      </c>
      <c r="F103" s="159" t="str">
        <f>TRIM(E103) &amp; IFERROR(" - " &amp; VLOOKUP(_xlfn.CONCAT($M$4,TRIM(E103)),Data!$BG$3:$BH$108,2,FALSE),"")</f>
        <v>RA - Risk Assessment</v>
      </c>
      <c r="G103" s="162">
        <f>VLOOKUP("Q" &amp; A103 &amp; "|" &amp; $M$4,Data!$AX$3:$BA$962,4,FALSE)</f>
        <v>1</v>
      </c>
      <c r="H103" s="163" t="str" cm="1">
        <f t="array" aca="1" ref="H103" ca="1">INDIRECT("Q" &amp;A103&amp;"_Score")</f>
        <v/>
      </c>
      <c r="I103" s="167">
        <f t="shared" ca="1" si="11"/>
        <v>0</v>
      </c>
      <c r="J103" s="163">
        <f t="shared" si="12"/>
        <v>1</v>
      </c>
      <c r="K103" s="160"/>
      <c r="L103" s="163" t="str" cm="1">
        <f t="array" ref="L103">_xlfn.IFS(G103&gt;=0.8,"HIGH",G103&gt;=0.6,"MEDIUM",1=1,"LOW")</f>
        <v>HIGH</v>
      </c>
      <c r="N103" s="150"/>
    </row>
    <row r="104" spans="1:14" s="146" customFormat="1" ht="18.75" hidden="1" customHeight="1" x14ac:dyDescent="0.2">
      <c r="A104" s="156">
        <f t="shared" si="10"/>
        <v>42</v>
      </c>
      <c r="B104" s="157" t="str">
        <f>VLOOKUP("Q" &amp;A104,Data!$AP$3:$AT$122,4,FALSE) &amp; " - " &amp; VLOOKUP("Q" &amp;A104,Data!$AP$3:$AT$122,5,FALSE)</f>
        <v>SGRM_2 - Risk Management Framework</v>
      </c>
      <c r="C104" s="161"/>
      <c r="D104" s="159" t="str">
        <f>VLOOKUP("Q" &amp; A104 &amp; "|" &amp; $M$4,Data!$AX$3:$BA$962,2,FALSE)</f>
        <v>RA.L2-3.11.1</v>
      </c>
      <c r="E104" s="159" t="str">
        <f>VLOOKUP(D104,Data!$AY$3:$AZ$962,2,FALSE)</f>
        <v>RA</v>
      </c>
      <c r="F104" s="159" t="str">
        <f>TRIM(E104) &amp; IFERROR(" - " &amp; VLOOKUP(_xlfn.CONCAT($M$4,TRIM(E104)),Data!$BG$3:$BH$108,2,FALSE),"")</f>
        <v>RA - Risk Assessment</v>
      </c>
      <c r="G104" s="162">
        <f>VLOOKUP("Q" &amp; A104 &amp; "|" &amp; $M$4,Data!$AX$3:$BA$962,4,FALSE)</f>
        <v>0.8</v>
      </c>
      <c r="H104" s="163" t="str" cm="1">
        <f t="array" aca="1" ref="H104" ca="1">INDIRECT("Q" &amp;A104&amp;"_Score")</f>
        <v/>
      </c>
      <c r="I104" s="167">
        <f t="shared" ca="1" si="11"/>
        <v>0</v>
      </c>
      <c r="J104" s="163">
        <f t="shared" si="12"/>
        <v>1</v>
      </c>
      <c r="K104" s="160"/>
      <c r="L104" s="163" t="str" cm="1">
        <f t="array" ref="L104">_xlfn.IFS(G104&gt;=0.8,"HIGH",G104&gt;=0.6,"MEDIUM",1=1,"LOW")</f>
        <v>HIGH</v>
      </c>
      <c r="N104" s="150"/>
    </row>
    <row r="105" spans="1:14" s="146" customFormat="1" ht="18.75" hidden="1" customHeight="1" x14ac:dyDescent="0.2">
      <c r="A105" s="156">
        <f t="shared" si="10"/>
        <v>43</v>
      </c>
      <c r="B105" s="157" t="str">
        <f>VLOOKUP("Q" &amp;A105,Data!$AP$3:$AT$122,4,FALSE) &amp; " - " &amp; VLOOKUP("Q" &amp;A105,Data!$AP$3:$AT$122,5,FALSE)</f>
        <v>SGRM_2 - Risk Management Framework</v>
      </c>
      <c r="C105" s="161"/>
      <c r="D105" s="159" t="str">
        <f>VLOOKUP("Q" &amp; A105 &amp; "|" &amp; $M$4,Data!$AX$3:$BA$962,2,FALSE)</f>
        <v>RA.L2-3.11.3</v>
      </c>
      <c r="E105" s="159" t="str">
        <f>VLOOKUP(D105,Data!$AY$3:$AZ$962,2,FALSE)</f>
        <v>RA</v>
      </c>
      <c r="F105" s="159" t="str">
        <f>TRIM(E105) &amp; IFERROR(" - " &amp; VLOOKUP(_xlfn.CONCAT($M$4,TRIM(E105)),Data!$BG$3:$BH$108,2,FALSE),"")</f>
        <v>RA - Risk Assessment</v>
      </c>
      <c r="G105" s="162">
        <f>VLOOKUP("Q" &amp; A105 &amp; "|" &amp; $M$4,Data!$AX$3:$BA$962,4,FALSE)</f>
        <v>0.8</v>
      </c>
      <c r="H105" s="163" t="str" cm="1">
        <f t="array" aca="1" ref="H105" ca="1">INDIRECT("Q" &amp;A105&amp;"_Score")</f>
        <v/>
      </c>
      <c r="I105" s="167">
        <f t="shared" ca="1" si="11"/>
        <v>0</v>
      </c>
      <c r="J105" s="163">
        <f t="shared" si="12"/>
        <v>1</v>
      </c>
      <c r="K105" s="160"/>
      <c r="L105" s="163" t="str" cm="1">
        <f t="array" ref="L105">_xlfn.IFS(G105&gt;=0.8,"HIGH",G105&gt;=0.6,"MEDIUM",1=1,"LOW")</f>
        <v>HIGH</v>
      </c>
      <c r="N105" s="150"/>
    </row>
    <row r="106" spans="1:14" s="146" customFormat="1" ht="18.75" hidden="1" customHeight="1" x14ac:dyDescent="0.2">
      <c r="A106" s="156">
        <f t="shared" si="10"/>
        <v>44</v>
      </c>
      <c r="B106" s="157" t="str">
        <f>VLOOKUP("Q" &amp;A106,Data!$AP$3:$AT$122,4,FALSE) &amp; " - " &amp; VLOOKUP("Q" &amp;A106,Data!$AP$3:$AT$122,5,FALSE)</f>
        <v>SGRM_2 - Risk Management Framework</v>
      </c>
      <c r="C106" s="161"/>
      <c r="D106" s="159" t="str">
        <f>VLOOKUP("Q" &amp; A106 &amp; "|" &amp; $M$4,Data!$AX$3:$BA$962,2,FALSE)</f>
        <v>RA.L2-3.11.1</v>
      </c>
      <c r="E106" s="159" t="str">
        <f>VLOOKUP(D106,Data!$AY$3:$AZ$962,2,FALSE)</f>
        <v>RA</v>
      </c>
      <c r="F106" s="159" t="str">
        <f>TRIM(E106) &amp; IFERROR(" - " &amp; VLOOKUP(_xlfn.CONCAT($M$4,TRIM(E106)),Data!$BG$3:$BH$108,2,FALSE),"")</f>
        <v>RA - Risk Assessment</v>
      </c>
      <c r="G106" s="162">
        <f>VLOOKUP("Q" &amp; A106 &amp; "|" &amp; $M$4,Data!$AX$3:$BA$962,4,FALSE)</f>
        <v>1</v>
      </c>
      <c r="H106" s="163" t="str" cm="1">
        <f t="array" aca="1" ref="H106" ca="1">INDIRECT("Q" &amp;A106&amp;"_Score")</f>
        <v/>
      </c>
      <c r="I106" s="167">
        <f t="shared" ca="1" si="11"/>
        <v>0</v>
      </c>
      <c r="J106" s="163">
        <f t="shared" si="12"/>
        <v>1</v>
      </c>
      <c r="K106" s="160"/>
      <c r="L106" s="163" t="str" cm="1">
        <f t="array" ref="L106">_xlfn.IFS(G106&gt;=0.8,"HIGH",G106&gt;=0.6,"MEDIUM",1=1,"LOW")</f>
        <v>HIGH</v>
      </c>
      <c r="N106" s="150"/>
    </row>
    <row r="107" spans="1:14" s="146" customFormat="1" ht="18.75" hidden="1" customHeight="1" x14ac:dyDescent="0.2">
      <c r="A107" s="156">
        <f t="shared" si="10"/>
        <v>45</v>
      </c>
      <c r="B107" s="157" t="str">
        <f>VLOOKUP("Q" &amp;A107,Data!$AP$3:$AT$122,4,FALSE) &amp; " - " &amp; VLOOKUP("Q" &amp;A107,Data!$AP$3:$AT$122,5,FALSE)</f>
        <v>SGRM_2 - Risk Management Framework</v>
      </c>
      <c r="C107" s="161"/>
      <c r="D107" s="159" t="str">
        <f>VLOOKUP("Q" &amp; A107 &amp; "|" &amp; $M$4,Data!$AX$3:$BA$962,2,FALSE)</f>
        <v>CA.L2-3.12.2</v>
      </c>
      <c r="E107" s="159" t="str">
        <f>VLOOKUP(D107,Data!$AY$3:$AZ$962,2,FALSE)</f>
        <v>CA</v>
      </c>
      <c r="F107" s="159" t="str">
        <f>TRIM(E107) &amp; IFERROR(" - " &amp; VLOOKUP(_xlfn.CONCAT($M$4,TRIM(E107)),Data!$BG$3:$BH$108,2,FALSE),"")</f>
        <v>CA - Security Assessment and Authorization</v>
      </c>
      <c r="G107" s="162">
        <f>VLOOKUP("Q" &amp; A107 &amp; "|" &amp; $M$4,Data!$AX$3:$BA$962,4,FALSE)</f>
        <v>1</v>
      </c>
      <c r="H107" s="163" t="str" cm="1">
        <f t="array" aca="1" ref="H107" ca="1">INDIRECT("Q" &amp;A107&amp;"_Score")</f>
        <v/>
      </c>
      <c r="I107" s="167">
        <f t="shared" ca="1" si="11"/>
        <v>0</v>
      </c>
      <c r="J107" s="163">
        <f t="shared" si="12"/>
        <v>1</v>
      </c>
      <c r="K107" s="160"/>
      <c r="L107" s="163" t="str" cm="1">
        <f t="array" ref="L107">_xlfn.IFS(G107&gt;=0.8,"HIGH",G107&gt;=0.6,"MEDIUM",1=1,"LOW")</f>
        <v>HIGH</v>
      </c>
      <c r="N107" s="150"/>
    </row>
    <row r="108" spans="1:14" s="146" customFormat="1" ht="18.75" hidden="1" customHeight="1" x14ac:dyDescent="0.2">
      <c r="A108" s="156">
        <f t="shared" si="10"/>
        <v>46</v>
      </c>
      <c r="B108" s="157" t="str">
        <f>VLOOKUP("Q" &amp;A108,Data!$AP$3:$AT$122,4,FALSE) &amp; " - " &amp; VLOOKUP("Q" &amp;A108,Data!$AP$3:$AT$122,5,FALSE)</f>
        <v>SGRM_2 - Risk Management Framework</v>
      </c>
      <c r="C108" s="161"/>
      <c r="D108" s="159" t="str">
        <f>VLOOKUP("Q" &amp; A108 &amp; "|" &amp; $M$4,Data!$AX$3:$BA$962,2,FALSE)</f>
        <v>CA.L2-3.12.1</v>
      </c>
      <c r="E108" s="159" t="str">
        <f>VLOOKUP(D108,Data!$AY$3:$AZ$962,2,FALSE)</f>
        <v>CA</v>
      </c>
      <c r="F108" s="159" t="str">
        <f>TRIM(E108) &amp; IFERROR(" - " &amp; VLOOKUP(_xlfn.CONCAT($M$4,TRIM(E108)),Data!$BG$3:$BH$108,2,FALSE),"")</f>
        <v>CA - Security Assessment and Authorization</v>
      </c>
      <c r="G108" s="162">
        <f>VLOOKUP("Q" &amp; A108 &amp; "|" &amp; $M$4,Data!$AX$3:$BA$962,4,FALSE)</f>
        <v>1</v>
      </c>
      <c r="H108" s="163" t="str" cm="1">
        <f t="array" aca="1" ref="H108" ca="1">INDIRECT("Q" &amp;A108&amp;"_Score")</f>
        <v/>
      </c>
      <c r="I108" s="167">
        <f t="shared" ca="1" si="11"/>
        <v>0</v>
      </c>
      <c r="J108" s="163">
        <f t="shared" si="12"/>
        <v>1</v>
      </c>
      <c r="K108" s="160"/>
      <c r="L108" s="163" t="str" cm="1">
        <f t="array" ref="L108">_xlfn.IFS(G108&gt;=0.8,"HIGH",G108&gt;=0.6,"MEDIUM",1=1,"LOW")</f>
        <v>HIGH</v>
      </c>
      <c r="N108" s="150"/>
    </row>
    <row r="109" spans="1:14" s="146" customFormat="1" ht="18.75" hidden="1" customHeight="1" x14ac:dyDescent="0.2">
      <c r="A109" s="156">
        <f t="shared" si="10"/>
        <v>47</v>
      </c>
      <c r="B109" s="157" t="str">
        <f>VLOOKUP("Q" &amp;A109,Data!$AP$3:$AT$122,4,FALSE) &amp; " - " &amp; VLOOKUP("Q" &amp;A109,Data!$AP$3:$AT$122,5,FALSE)</f>
        <v>SGRM_2 - Risk Management Framework</v>
      </c>
      <c r="C109" s="161"/>
      <c r="D109" s="159" t="str">
        <f>VLOOKUP("Q" &amp; A109 &amp; "|" &amp; $M$4,Data!$AX$3:$BA$962,2,FALSE)</f>
        <v>CA.L2-3.12.3</v>
      </c>
      <c r="E109" s="159" t="str">
        <f>VLOOKUP(D109,Data!$AY$3:$AZ$962,2,FALSE)</f>
        <v>CA</v>
      </c>
      <c r="F109" s="159" t="str">
        <f>TRIM(E109) &amp; IFERROR(" - " &amp; VLOOKUP(_xlfn.CONCAT($M$4,TRIM(E109)),Data!$BG$3:$BH$108,2,FALSE),"")</f>
        <v>CA - Security Assessment and Authorization</v>
      </c>
      <c r="G109" s="162">
        <f>VLOOKUP("Q" &amp; A109 &amp; "|" &amp; $M$4,Data!$AX$3:$BA$962,4,FALSE)</f>
        <v>0.8</v>
      </c>
      <c r="H109" s="163" t="str" cm="1">
        <f t="array" aca="1" ref="H109" ca="1">INDIRECT("Q" &amp;A109&amp;"_Score")</f>
        <v/>
      </c>
      <c r="I109" s="167">
        <f t="shared" ca="1" si="11"/>
        <v>0</v>
      </c>
      <c r="J109" s="163">
        <f t="shared" si="12"/>
        <v>1</v>
      </c>
      <c r="K109" s="160"/>
      <c r="L109" s="163" t="str" cm="1">
        <f t="array" ref="L109">_xlfn.IFS(G109&gt;=0.8,"HIGH",G109&gt;=0.6,"MEDIUM",1=1,"LOW")</f>
        <v>HIGH</v>
      </c>
      <c r="N109" s="150"/>
    </row>
    <row r="110" spans="1:14" s="146" customFormat="1" ht="18.75" hidden="1" customHeight="1" x14ac:dyDescent="0.2">
      <c r="A110" s="156">
        <f t="shared" si="10"/>
        <v>48</v>
      </c>
      <c r="B110" s="157" t="str">
        <f>VLOOKUP("Q" &amp;A110,Data!$AP$3:$AT$122,4,FALSE) &amp; " - " &amp; VLOOKUP("Q" &amp;A110,Data!$AP$3:$AT$122,5,FALSE)</f>
        <v>SGRM_2 - Risk Management Framework</v>
      </c>
      <c r="C110" s="161"/>
      <c r="D110" s="159" t="str">
        <f>VLOOKUP("Q" &amp; A110 &amp; "|" &amp; $M$4,Data!$AX$3:$BA$962,2,FALSE)</f>
        <v>IR.L2-3.6.2</v>
      </c>
      <c r="E110" s="159" t="str">
        <f>VLOOKUP(D110,Data!$AY$3:$AZ$962,2,FALSE)</f>
        <v>IR</v>
      </c>
      <c r="F110" s="159" t="str">
        <f>TRIM(E110) &amp; IFERROR(" - " &amp; VLOOKUP(_xlfn.CONCAT($M$4,TRIM(E110)),Data!$BG$3:$BH$108,2,FALSE),"")</f>
        <v>IR - Incident Response</v>
      </c>
      <c r="G110" s="162">
        <f>VLOOKUP("Q" &amp; A110 &amp; "|" &amp; $M$4,Data!$AX$3:$BA$962,4,FALSE)</f>
        <v>1</v>
      </c>
      <c r="H110" s="163" t="str" cm="1">
        <f t="array" aca="1" ref="H110" ca="1">INDIRECT("Q" &amp;A110&amp;"_Score")</f>
        <v/>
      </c>
      <c r="I110" s="167">
        <f t="shared" ca="1" si="11"/>
        <v>0</v>
      </c>
      <c r="J110" s="163">
        <f t="shared" si="12"/>
        <v>1</v>
      </c>
      <c r="K110" s="160"/>
      <c r="L110" s="163" t="str" cm="1">
        <f t="array" ref="L110">_xlfn.IFS(G110&gt;=0.8,"HIGH",G110&gt;=0.6,"MEDIUM",1=1,"LOW")</f>
        <v>HIGH</v>
      </c>
      <c r="N110" s="150"/>
    </row>
    <row r="111" spans="1:14" s="146" customFormat="1" ht="18.75" hidden="1" customHeight="1" x14ac:dyDescent="0.2">
      <c r="A111" s="156">
        <f t="shared" si="10"/>
        <v>49</v>
      </c>
      <c r="B111" s="157" t="str">
        <f>VLOOKUP("Q" &amp;A111,Data!$AP$3:$AT$122,4,FALSE) &amp; " - " &amp; VLOOKUP("Q" &amp;A111,Data!$AP$3:$AT$122,5,FALSE)</f>
        <v>SGRM_2 - Risk Management Framework</v>
      </c>
      <c r="C111" s="161"/>
      <c r="D111" s="159" t="str">
        <f>VLOOKUP("Q" &amp; A111 &amp; "|" &amp; $M$4,Data!$AX$3:$BA$962,2,FALSE)</f>
        <v>-</v>
      </c>
      <c r="E111" s="159" t="str">
        <f>VLOOKUP(D111,Data!$AY$3:$AZ$962,2,FALSE)</f>
        <v>-</v>
      </c>
      <c r="F111" s="159" t="str">
        <f>TRIM(E111) &amp; IFERROR(" - " &amp; VLOOKUP(_xlfn.CONCAT($M$4,TRIM(E111)),Data!$BG$3:$BH$108,2,FALSE),"")</f>
        <v>-</v>
      </c>
      <c r="G111" s="162">
        <f>VLOOKUP("Q" &amp; A111 &amp; "|" &amp; $M$4,Data!$AX$3:$BA$962,4,FALSE)</f>
        <v>0</v>
      </c>
      <c r="H111" s="163" t="str" cm="1">
        <f t="array" aca="1" ref="H111" ca="1">INDIRECT("Q" &amp;A111&amp;"_Score")</f>
        <v/>
      </c>
      <c r="I111" s="167">
        <f t="shared" ca="1" si="11"/>
        <v>0</v>
      </c>
      <c r="J111" s="163">
        <f t="shared" si="12"/>
        <v>0</v>
      </c>
      <c r="K111" s="160"/>
      <c r="L111" s="163" t="str" cm="1">
        <f t="array" ref="L111">_xlfn.IFS(G111&gt;=0.8,"HIGH",G111&gt;=0.6,"MEDIUM",1=1,"LOW")</f>
        <v>LOW</v>
      </c>
      <c r="N111" s="150"/>
    </row>
    <row r="112" spans="1:14" s="146" customFormat="1" ht="18.75" hidden="1" customHeight="1" x14ac:dyDescent="0.2">
      <c r="A112" s="156">
        <f t="shared" si="10"/>
        <v>50</v>
      </c>
      <c r="B112" s="157" t="str">
        <f>VLOOKUP("Q" &amp;A112,Data!$AP$3:$AT$122,4,FALSE) &amp; " - " &amp; VLOOKUP("Q" &amp;A112,Data!$AP$3:$AT$122,5,FALSE)</f>
        <v>SGRM_2 - Risk Management Framework</v>
      </c>
      <c r="C112" s="161"/>
      <c r="D112" s="159" t="str">
        <f>VLOOKUP("Q" &amp; A112 &amp; "|" &amp; $M$4,Data!$AX$3:$BA$962,2,FALSE)</f>
        <v>RA.L2-3.11.1</v>
      </c>
      <c r="E112" s="159" t="str">
        <f>VLOOKUP(D112,Data!$AY$3:$AZ$962,2,FALSE)</f>
        <v>RA</v>
      </c>
      <c r="F112" s="159" t="str">
        <f>TRIM(E112) &amp; IFERROR(" - " &amp; VLOOKUP(_xlfn.CONCAT($M$4,TRIM(E112)),Data!$BG$3:$BH$108,2,FALSE),"")</f>
        <v>RA - Risk Assessment</v>
      </c>
      <c r="G112" s="162">
        <f>VLOOKUP("Q" &amp; A112 &amp; "|" &amp; $M$4,Data!$AX$3:$BA$962,4,FALSE)</f>
        <v>0.8</v>
      </c>
      <c r="H112" s="163" t="str" cm="1">
        <f t="array" aca="1" ref="H112" ca="1">INDIRECT("Q" &amp;A112&amp;"_Score")</f>
        <v/>
      </c>
      <c r="I112" s="167">
        <f t="shared" ca="1" si="11"/>
        <v>0</v>
      </c>
      <c r="J112" s="163">
        <f t="shared" si="12"/>
        <v>1</v>
      </c>
      <c r="K112" s="160"/>
      <c r="L112" s="163" t="str" cm="1">
        <f t="array" ref="L112">_xlfn.IFS(G112&gt;=0.8,"HIGH",G112&gt;=0.6,"MEDIUM",1=1,"LOW")</f>
        <v>HIGH</v>
      </c>
      <c r="N112" s="150"/>
    </row>
    <row r="113" spans="1:14" s="146" customFormat="1" ht="18.75" hidden="1" customHeight="1" x14ac:dyDescent="0.2">
      <c r="A113" s="156">
        <f t="shared" si="10"/>
        <v>51</v>
      </c>
      <c r="B113" s="157" t="str">
        <f>VLOOKUP("Q" &amp;A113,Data!$AP$3:$AT$122,4,FALSE) &amp; " - " &amp; VLOOKUP("Q" &amp;A113,Data!$AP$3:$AT$122,5,FALSE)</f>
        <v>SGRM_3 - Compliance &amp; Audit</v>
      </c>
      <c r="C113" s="161"/>
      <c r="D113" s="159" t="str">
        <f>VLOOKUP("Q" &amp; A113 &amp; "|" &amp; $M$4,Data!$AX$3:$BA$962,2,FALSE)</f>
        <v>CA.L2-3.12.4</v>
      </c>
      <c r="E113" s="159" t="str">
        <f>VLOOKUP(D113,Data!$AY$3:$AZ$962,2,FALSE)</f>
        <v>CA</v>
      </c>
      <c r="F113" s="159" t="str">
        <f>TRIM(E113) &amp; IFERROR(" - " &amp; VLOOKUP(_xlfn.CONCAT($M$4,TRIM(E113)),Data!$BG$3:$BH$108,2,FALSE),"")</f>
        <v>CA - Security Assessment and Authorization</v>
      </c>
      <c r="G113" s="162">
        <f>VLOOKUP("Q" &amp; A113 &amp; "|" &amp; $M$4,Data!$AX$3:$BA$962,4,FALSE)</f>
        <v>1</v>
      </c>
      <c r="H113" s="163" t="str" cm="1">
        <f t="array" aca="1" ref="H113" ca="1">INDIRECT("Q" &amp;A113&amp;"_Score")</f>
        <v/>
      </c>
      <c r="I113" s="167">
        <f t="shared" ca="1" si="11"/>
        <v>0</v>
      </c>
      <c r="J113" s="163">
        <f t="shared" si="12"/>
        <v>1</v>
      </c>
      <c r="K113" s="160"/>
      <c r="L113" s="163" t="str" cm="1">
        <f t="array" ref="L113">_xlfn.IFS(G113&gt;=0.8,"HIGH",G113&gt;=0.6,"MEDIUM",1=1,"LOW")</f>
        <v>HIGH</v>
      </c>
      <c r="N113" s="150"/>
    </row>
    <row r="114" spans="1:14" s="146" customFormat="1" ht="18.75" hidden="1" customHeight="1" x14ac:dyDescent="0.2">
      <c r="A114" s="156">
        <f t="shared" si="10"/>
        <v>52</v>
      </c>
      <c r="B114" s="157" t="str">
        <f>VLOOKUP("Q" &amp;A114,Data!$AP$3:$AT$122,4,FALSE) &amp; " - " &amp; VLOOKUP("Q" &amp;A114,Data!$AP$3:$AT$122,5,FALSE)</f>
        <v>SGRM_3 - Compliance &amp; Audit</v>
      </c>
      <c r="C114" s="161"/>
      <c r="D114" s="159" t="str">
        <f>VLOOKUP("Q" &amp; A114 &amp; "|" &amp; $M$4,Data!$AX$3:$BA$962,2,FALSE)</f>
        <v>CA.L2-3.12.4</v>
      </c>
      <c r="E114" s="159" t="str">
        <f>VLOOKUP(D114,Data!$AY$3:$AZ$962,2,FALSE)</f>
        <v>CA</v>
      </c>
      <c r="F114" s="159" t="str">
        <f>TRIM(E114) &amp; IFERROR(" - " &amp; VLOOKUP(_xlfn.CONCAT($M$4,TRIM(E114)),Data!$BG$3:$BH$108,2,FALSE),"")</f>
        <v>CA - Security Assessment and Authorization</v>
      </c>
      <c r="G114" s="162">
        <f>VLOOKUP("Q" &amp; A114 &amp; "|" &amp; $M$4,Data!$AX$3:$BA$962,4,FALSE)</f>
        <v>0.8</v>
      </c>
      <c r="H114" s="163" t="str" cm="1">
        <f t="array" aca="1" ref="H114" ca="1">INDIRECT("Q" &amp;A114&amp;"_Score")</f>
        <v/>
      </c>
      <c r="I114" s="167">
        <f t="shared" ca="1" si="11"/>
        <v>0</v>
      </c>
      <c r="J114" s="163">
        <f t="shared" si="12"/>
        <v>1</v>
      </c>
      <c r="K114" s="160"/>
      <c r="L114" s="163" t="str" cm="1">
        <f t="array" ref="L114">_xlfn.IFS(G114&gt;=0.8,"HIGH",G114&gt;=0.6,"MEDIUM",1=1,"LOW")</f>
        <v>HIGH</v>
      </c>
      <c r="N114" s="150"/>
    </row>
    <row r="115" spans="1:14" s="146" customFormat="1" ht="18.75" hidden="1" customHeight="1" x14ac:dyDescent="0.2">
      <c r="A115" s="156">
        <f t="shared" si="10"/>
        <v>53</v>
      </c>
      <c r="B115" s="157" t="str">
        <f>VLOOKUP("Q" &amp;A115,Data!$AP$3:$AT$122,4,FALSE) &amp; " - " &amp; VLOOKUP("Q" &amp;A115,Data!$AP$3:$AT$122,5,FALSE)</f>
        <v>SGRM_3 - Compliance &amp; Audit</v>
      </c>
      <c r="C115" s="161"/>
      <c r="D115" s="159" t="str">
        <f>VLOOKUP("Q" &amp; A115 &amp; "|" &amp; $M$4,Data!$AX$3:$BA$962,2,FALSE)</f>
        <v>CA.L2-3.12.1</v>
      </c>
      <c r="E115" s="159" t="str">
        <f>VLOOKUP(D115,Data!$AY$3:$AZ$962,2,FALSE)</f>
        <v>CA</v>
      </c>
      <c r="F115" s="159" t="str">
        <f>TRIM(E115) &amp; IFERROR(" - " &amp; VLOOKUP(_xlfn.CONCAT($M$4,TRIM(E115)),Data!$BG$3:$BH$108,2,FALSE),"")</f>
        <v>CA - Security Assessment and Authorization</v>
      </c>
      <c r="G115" s="162">
        <f>VLOOKUP("Q" &amp; A115 &amp; "|" &amp; $M$4,Data!$AX$3:$BA$962,4,FALSE)</f>
        <v>1</v>
      </c>
      <c r="H115" s="163" t="str" cm="1">
        <f t="array" aca="1" ref="H115" ca="1">INDIRECT("Q" &amp;A115&amp;"_Score")</f>
        <v/>
      </c>
      <c r="I115" s="167">
        <f t="shared" ca="1" si="11"/>
        <v>0</v>
      </c>
      <c r="J115" s="163">
        <f t="shared" si="12"/>
        <v>1</v>
      </c>
      <c r="K115" s="160"/>
      <c r="L115" s="163" t="str" cm="1">
        <f t="array" ref="L115">_xlfn.IFS(G115&gt;=0.8,"HIGH",G115&gt;=0.6,"MEDIUM",1=1,"LOW")</f>
        <v>HIGH</v>
      </c>
      <c r="N115" s="150"/>
    </row>
    <row r="116" spans="1:14" s="146" customFormat="1" ht="18.75" hidden="1" customHeight="1" x14ac:dyDescent="0.2">
      <c r="A116" s="156">
        <f t="shared" si="10"/>
        <v>54</v>
      </c>
      <c r="B116" s="157" t="str">
        <f>VLOOKUP("Q" &amp;A116,Data!$AP$3:$AT$122,4,FALSE) &amp; " - " &amp; VLOOKUP("Q" &amp;A116,Data!$AP$3:$AT$122,5,FALSE)</f>
        <v>SGRM_3 - Compliance &amp; Audit</v>
      </c>
      <c r="C116" s="161"/>
      <c r="D116" s="159" t="str">
        <f>VLOOKUP("Q" &amp; A116 &amp; "|" &amp; $M$4,Data!$AX$3:$BA$962,2,FALSE)</f>
        <v>CA.L2-3.12.2</v>
      </c>
      <c r="E116" s="159" t="str">
        <f>VLOOKUP(D116,Data!$AY$3:$AZ$962,2,FALSE)</f>
        <v>CA</v>
      </c>
      <c r="F116" s="159" t="str">
        <f>TRIM(E116) &amp; IFERROR(" - " &amp; VLOOKUP(_xlfn.CONCAT($M$4,TRIM(E116)),Data!$BG$3:$BH$108,2,FALSE),"")</f>
        <v>CA - Security Assessment and Authorization</v>
      </c>
      <c r="G116" s="162">
        <f>VLOOKUP("Q" &amp; A116 &amp; "|" &amp; $M$4,Data!$AX$3:$BA$962,4,FALSE)</f>
        <v>1</v>
      </c>
      <c r="H116" s="163" t="str" cm="1">
        <f t="array" aca="1" ref="H116" ca="1">INDIRECT("Q" &amp;A116&amp;"_Score")</f>
        <v/>
      </c>
      <c r="I116" s="167">
        <f t="shared" ca="1" si="11"/>
        <v>0</v>
      </c>
      <c r="J116" s="163">
        <f t="shared" si="12"/>
        <v>1</v>
      </c>
      <c r="K116" s="160"/>
      <c r="L116" s="163" t="str" cm="1">
        <f t="array" ref="L116">_xlfn.IFS(G116&gt;=0.8,"HIGH",G116&gt;=0.6,"MEDIUM",1=1,"LOW")</f>
        <v>HIGH</v>
      </c>
      <c r="N116" s="150"/>
    </row>
    <row r="117" spans="1:14" s="146" customFormat="1" ht="18.75" hidden="1" customHeight="1" x14ac:dyDescent="0.2">
      <c r="A117" s="156">
        <f t="shared" si="10"/>
        <v>55</v>
      </c>
      <c r="B117" s="157" t="str">
        <f>VLOOKUP("Q" &amp;A117,Data!$AP$3:$AT$122,4,FALSE) &amp; " - " &amp; VLOOKUP("Q" &amp;A117,Data!$AP$3:$AT$122,5,FALSE)</f>
        <v>SGRM_3 - Compliance &amp; Audit</v>
      </c>
      <c r="C117" s="161"/>
      <c r="D117" s="159" t="str">
        <f>VLOOKUP("Q" &amp; A117 &amp; "|" &amp; $M$4,Data!$AX$3:$BA$962,2,FALSE)</f>
        <v>CA.L2-3.12.3</v>
      </c>
      <c r="E117" s="159" t="str">
        <f>VLOOKUP(D117,Data!$AY$3:$AZ$962,2,FALSE)</f>
        <v>CA</v>
      </c>
      <c r="F117" s="159" t="str">
        <f>TRIM(E117) &amp; IFERROR(" - " &amp; VLOOKUP(_xlfn.CONCAT($M$4,TRIM(E117)),Data!$BG$3:$BH$108,2,FALSE),"")</f>
        <v>CA - Security Assessment and Authorization</v>
      </c>
      <c r="G117" s="162">
        <f>VLOOKUP("Q" &amp; A117 &amp; "|" &amp; $M$4,Data!$AX$3:$BA$962,4,FALSE)</f>
        <v>1</v>
      </c>
      <c r="H117" s="163" t="str" cm="1">
        <f t="array" aca="1" ref="H117" ca="1">INDIRECT("Q" &amp;A117&amp;"_Score")</f>
        <v/>
      </c>
      <c r="I117" s="167">
        <f t="shared" ca="1" si="11"/>
        <v>0</v>
      </c>
      <c r="J117" s="163">
        <f t="shared" si="12"/>
        <v>1</v>
      </c>
      <c r="K117" s="160"/>
      <c r="L117" s="163" t="str" cm="1">
        <f t="array" ref="L117">_xlfn.IFS(G117&gt;=0.8,"HIGH",G117&gt;=0.6,"MEDIUM",1=1,"LOW")</f>
        <v>HIGH</v>
      </c>
      <c r="N117" s="150"/>
    </row>
    <row r="118" spans="1:14" s="146" customFormat="1" ht="18.75" hidden="1" customHeight="1" x14ac:dyDescent="0.2">
      <c r="A118" s="156">
        <f t="shared" si="10"/>
        <v>56</v>
      </c>
      <c r="B118" s="157" t="str">
        <f>VLOOKUP("Q" &amp;A118,Data!$AP$3:$AT$122,4,FALSE) &amp; " - " &amp; VLOOKUP("Q" &amp;A118,Data!$AP$3:$AT$122,5,FALSE)</f>
        <v>SGRM_3 - Compliance &amp; Audit</v>
      </c>
      <c r="C118" s="161"/>
      <c r="D118" s="159" t="str">
        <f>VLOOKUP("Q" &amp; A118 &amp; "|" &amp; $M$4,Data!$AX$3:$BA$962,2,FALSE)</f>
        <v>CA.L2-3.12.1</v>
      </c>
      <c r="E118" s="159" t="str">
        <f>VLOOKUP(D118,Data!$AY$3:$AZ$962,2,FALSE)</f>
        <v>CA</v>
      </c>
      <c r="F118" s="159" t="str">
        <f>TRIM(E118) &amp; IFERROR(" - " &amp; VLOOKUP(_xlfn.CONCAT($M$4,TRIM(E118)),Data!$BG$3:$BH$108,2,FALSE),"")</f>
        <v>CA - Security Assessment and Authorization</v>
      </c>
      <c r="G118" s="162">
        <f>VLOOKUP("Q" &amp; A118 &amp; "|" &amp; $M$4,Data!$AX$3:$BA$962,4,FALSE)</f>
        <v>1</v>
      </c>
      <c r="H118" s="163" t="str" cm="1">
        <f t="array" aca="1" ref="H118" ca="1">INDIRECT("Q" &amp;A118&amp;"_Score")</f>
        <v/>
      </c>
      <c r="I118" s="167">
        <f t="shared" ca="1" si="11"/>
        <v>0</v>
      </c>
      <c r="J118" s="163">
        <f t="shared" si="12"/>
        <v>1</v>
      </c>
      <c r="K118" s="160"/>
      <c r="L118" s="163" t="str" cm="1">
        <f t="array" ref="L118">_xlfn.IFS(G118&gt;=0.8,"HIGH",G118&gt;=0.6,"MEDIUM",1=1,"LOW")</f>
        <v>HIGH</v>
      </c>
      <c r="N118" s="150"/>
    </row>
    <row r="119" spans="1:14" s="146" customFormat="1" ht="18.75" hidden="1" customHeight="1" x14ac:dyDescent="0.2">
      <c r="A119" s="156">
        <f t="shared" si="10"/>
        <v>57</v>
      </c>
      <c r="B119" s="157" t="str">
        <f>VLOOKUP("Q" &amp;A119,Data!$AP$3:$AT$122,4,FALSE) &amp; " - " &amp; VLOOKUP("Q" &amp;A119,Data!$AP$3:$AT$122,5,FALSE)</f>
        <v>SGRM_3 - Compliance &amp; Audit</v>
      </c>
      <c r="C119" s="161"/>
      <c r="D119" s="159" t="str">
        <f>VLOOKUP("Q" &amp; A119 &amp; "|" &amp; $M$4,Data!$AX$3:$BA$962,2,FALSE)</f>
        <v>CA.L2-3.12.4</v>
      </c>
      <c r="E119" s="159" t="str">
        <f>VLOOKUP(D119,Data!$AY$3:$AZ$962,2,FALSE)</f>
        <v>CA</v>
      </c>
      <c r="F119" s="159" t="str">
        <f>TRIM(E119) &amp; IFERROR(" - " &amp; VLOOKUP(_xlfn.CONCAT($M$4,TRIM(E119)),Data!$BG$3:$BH$108,2,FALSE),"")</f>
        <v>CA - Security Assessment and Authorization</v>
      </c>
      <c r="G119" s="162">
        <f>VLOOKUP("Q" &amp; A119 &amp; "|" &amp; $M$4,Data!$AX$3:$BA$962,4,FALSE)</f>
        <v>0.8</v>
      </c>
      <c r="H119" s="163" t="str" cm="1">
        <f t="array" aca="1" ref="H119" ca="1">INDIRECT("Q" &amp;A119&amp;"_Score")</f>
        <v/>
      </c>
      <c r="I119" s="167">
        <f t="shared" ca="1" si="11"/>
        <v>0</v>
      </c>
      <c r="J119" s="163">
        <f t="shared" si="12"/>
        <v>1</v>
      </c>
      <c r="K119" s="160"/>
      <c r="L119" s="163" t="str" cm="1">
        <f t="array" ref="L119">_xlfn.IFS(G119&gt;=0.8,"HIGH",G119&gt;=0.6,"MEDIUM",1=1,"LOW")</f>
        <v>HIGH</v>
      </c>
      <c r="N119" s="150"/>
    </row>
    <row r="120" spans="1:14" s="146" customFormat="1" ht="18.75" hidden="1" customHeight="1" x14ac:dyDescent="0.2">
      <c r="A120" s="156">
        <f t="shared" si="10"/>
        <v>58</v>
      </c>
      <c r="B120" s="157" t="str">
        <f>VLOOKUP("Q" &amp;A120,Data!$AP$3:$AT$122,4,FALSE) &amp; " - " &amp; VLOOKUP("Q" &amp;A120,Data!$AP$3:$AT$122,5,FALSE)</f>
        <v>SGRM_3 - Compliance &amp; Audit</v>
      </c>
      <c r="C120" s="161"/>
      <c r="D120" s="159" t="str">
        <f>VLOOKUP("Q" &amp; A120 &amp; "|" &amp; $M$4,Data!$AX$3:$BA$962,2,FALSE)</f>
        <v>CA.L2-3.12.1</v>
      </c>
      <c r="E120" s="159" t="str">
        <f>VLOOKUP(D120,Data!$AY$3:$AZ$962,2,FALSE)</f>
        <v>CA</v>
      </c>
      <c r="F120" s="159" t="str">
        <f>TRIM(E120) &amp; IFERROR(" - " &amp; VLOOKUP(_xlfn.CONCAT($M$4,TRIM(E120)),Data!$BG$3:$BH$108,2,FALSE),"")</f>
        <v>CA - Security Assessment and Authorization</v>
      </c>
      <c r="G120" s="162">
        <f>VLOOKUP("Q" &amp; A120 &amp; "|" &amp; $M$4,Data!$AX$3:$BA$962,4,FALSE)</f>
        <v>0.8</v>
      </c>
      <c r="H120" s="163" t="str" cm="1">
        <f t="array" aca="1" ref="H120" ca="1">INDIRECT("Q" &amp;A120&amp;"_Score")</f>
        <v/>
      </c>
      <c r="I120" s="167">
        <f t="shared" ca="1" si="11"/>
        <v>0</v>
      </c>
      <c r="J120" s="163">
        <f t="shared" si="12"/>
        <v>1</v>
      </c>
      <c r="K120" s="160"/>
      <c r="L120" s="163" t="str" cm="1">
        <f t="array" ref="L120">_xlfn.IFS(G120&gt;=0.8,"HIGH",G120&gt;=0.6,"MEDIUM",1=1,"LOW")</f>
        <v>HIGH</v>
      </c>
      <c r="N120" s="150"/>
    </row>
    <row r="121" spans="1:14" s="146" customFormat="1" ht="18.75" hidden="1" customHeight="1" x14ac:dyDescent="0.2">
      <c r="A121" s="156">
        <f t="shared" si="10"/>
        <v>59</v>
      </c>
      <c r="B121" s="157" t="str">
        <f>VLOOKUP("Q" &amp;A121,Data!$AP$3:$AT$122,4,FALSE) &amp; " - " &amp; VLOOKUP("Q" &amp;A121,Data!$AP$3:$AT$122,5,FALSE)</f>
        <v>SGRM_3 - Compliance &amp; Audit</v>
      </c>
      <c r="C121" s="161"/>
      <c r="D121" s="159" t="str">
        <f>VLOOKUP("Q" &amp; A121 &amp; "|" &amp; $M$4,Data!$AX$3:$BA$962,2,FALSE)</f>
        <v>CA.L2-3.12.3</v>
      </c>
      <c r="E121" s="159" t="str">
        <f>VLOOKUP(D121,Data!$AY$3:$AZ$962,2,FALSE)</f>
        <v>CA</v>
      </c>
      <c r="F121" s="159" t="str">
        <f>TRIM(E121) &amp; IFERROR(" - " &amp; VLOOKUP(_xlfn.CONCAT($M$4,TRIM(E121)),Data!$BG$3:$BH$108,2,FALSE),"")</f>
        <v>CA - Security Assessment and Authorization</v>
      </c>
      <c r="G121" s="162">
        <f>VLOOKUP("Q" &amp; A121 &amp; "|" &amp; $M$4,Data!$AX$3:$BA$962,4,FALSE)</f>
        <v>1</v>
      </c>
      <c r="H121" s="163" t="str" cm="1">
        <f t="array" aca="1" ref="H121" ca="1">INDIRECT("Q" &amp;A121&amp;"_Score")</f>
        <v/>
      </c>
      <c r="I121" s="167">
        <f t="shared" ca="1" si="11"/>
        <v>0</v>
      </c>
      <c r="J121" s="163">
        <f t="shared" si="12"/>
        <v>1</v>
      </c>
      <c r="K121" s="160"/>
      <c r="L121" s="163" t="str" cm="1">
        <f t="array" ref="L121">_xlfn.IFS(G121&gt;=0.8,"HIGH",G121&gt;=0.6,"MEDIUM",1=1,"LOW")</f>
        <v>HIGH</v>
      </c>
      <c r="N121" s="150"/>
    </row>
    <row r="122" spans="1:14" s="146" customFormat="1" ht="18.75" hidden="1" customHeight="1" x14ac:dyDescent="0.2">
      <c r="A122" s="156">
        <f t="shared" si="10"/>
        <v>60</v>
      </c>
      <c r="B122" s="157" t="str">
        <f>VLOOKUP("Q" &amp;A122,Data!$AP$3:$AT$122,4,FALSE) &amp; " - " &amp; VLOOKUP("Q" &amp;A122,Data!$AP$3:$AT$122,5,FALSE)</f>
        <v>SGRM_3 - Compliance &amp; Audit</v>
      </c>
      <c r="C122" s="161"/>
      <c r="D122" s="159" t="str">
        <f>VLOOKUP("Q" &amp; A122 &amp; "|" &amp; $M$4,Data!$AX$3:$BA$962,2,FALSE)</f>
        <v>CA.L2-3.12.4</v>
      </c>
      <c r="E122" s="159" t="str">
        <f>VLOOKUP(D122,Data!$AY$3:$AZ$962,2,FALSE)</f>
        <v>CA</v>
      </c>
      <c r="F122" s="159" t="str">
        <f>TRIM(E122) &amp; IFERROR(" - " &amp; VLOOKUP(_xlfn.CONCAT($M$4,TRIM(E122)),Data!$BG$3:$BH$108,2,FALSE),"")</f>
        <v>CA - Security Assessment and Authorization</v>
      </c>
      <c r="G122" s="162">
        <f>VLOOKUP("Q" &amp; A122 &amp; "|" &amp; $M$4,Data!$AX$3:$BA$962,4,FALSE)</f>
        <v>0.8</v>
      </c>
      <c r="H122" s="163" t="str" cm="1">
        <f t="array" aca="1" ref="H122" ca="1">INDIRECT("Q" &amp;A122&amp;"_Score")</f>
        <v/>
      </c>
      <c r="I122" s="167">
        <f t="shared" ca="1" si="11"/>
        <v>0</v>
      </c>
      <c r="J122" s="163">
        <f t="shared" si="12"/>
        <v>1</v>
      </c>
      <c r="K122" s="160"/>
      <c r="L122" s="163" t="str" cm="1">
        <f t="array" ref="L122">_xlfn.IFS(G122&gt;=0.8,"HIGH",G122&gt;=0.6,"MEDIUM",1=1,"LOW")</f>
        <v>HIGH</v>
      </c>
      <c r="N122" s="150"/>
    </row>
    <row r="123" spans="1:14" s="146" customFormat="1" ht="18.75" hidden="1" customHeight="1" x14ac:dyDescent="0.2">
      <c r="A123" s="156">
        <f t="shared" si="10"/>
        <v>61</v>
      </c>
      <c r="B123" s="157" t="str">
        <f>VLOOKUP("Q" &amp;A123,Data!$AP$3:$AT$122,4,FALSE) &amp; " - " &amp; VLOOKUP("Q" &amp;A123,Data!$AP$3:$AT$122,5,FALSE)</f>
        <v>DPE_1 - Encryption Implementation</v>
      </c>
      <c r="C123" s="161"/>
      <c r="D123" s="159" t="str">
        <f>VLOOKUP("Q" &amp; A123 &amp; "|" &amp; $M$4,Data!$AX$3:$BA$962,2,FALSE)</f>
        <v>SC.L2-3.13.16</v>
      </c>
      <c r="E123" s="159" t="str">
        <f>VLOOKUP(D123,Data!$AY$3:$AZ$962,2,FALSE)</f>
        <v>SC</v>
      </c>
      <c r="F123" s="159" t="str">
        <f>TRIM(E123) &amp; IFERROR(" - " &amp; VLOOKUP(_xlfn.CONCAT($M$4,TRIM(E123)),Data!$BG$3:$BH$108,2,FALSE),"")</f>
        <v>SC - System and Communications Protection</v>
      </c>
      <c r="G123" s="162">
        <f>VLOOKUP("Q" &amp; A123 &amp; "|" &amp; $M$4,Data!$AX$3:$BA$962,4,FALSE)</f>
        <v>1</v>
      </c>
      <c r="H123" s="163" t="str" cm="1">
        <f t="array" aca="1" ref="H123" ca="1">INDIRECT("Q" &amp;A123&amp;"_Score")</f>
        <v/>
      </c>
      <c r="I123" s="167">
        <f t="shared" ca="1" si="11"/>
        <v>0</v>
      </c>
      <c r="J123" s="163">
        <f t="shared" si="12"/>
        <v>1</v>
      </c>
      <c r="K123" s="160"/>
      <c r="L123" s="163" t="str" cm="1">
        <f t="array" ref="L123">_xlfn.IFS(G123&gt;=0.8,"HIGH",G123&gt;=0.6,"MEDIUM",1=1,"LOW")</f>
        <v>HIGH</v>
      </c>
      <c r="N123" s="150"/>
    </row>
    <row r="124" spans="1:14" s="146" customFormat="1" ht="18.75" hidden="1" customHeight="1" x14ac:dyDescent="0.2">
      <c r="A124" s="156">
        <f t="shared" si="10"/>
        <v>62</v>
      </c>
      <c r="B124" s="157" t="str">
        <f>VLOOKUP("Q" &amp;A124,Data!$AP$3:$AT$122,4,FALSE) &amp; " - " &amp; VLOOKUP("Q" &amp;A124,Data!$AP$3:$AT$122,5,FALSE)</f>
        <v>DPE_1 - Encryption Implementation</v>
      </c>
      <c r="C124" s="161"/>
      <c r="D124" s="159" t="str">
        <f>VLOOKUP("Q" &amp; A124 &amp; "|" &amp; $M$4,Data!$AX$3:$BA$962,2,FALSE)</f>
        <v>SC.L2-3.13.8</v>
      </c>
      <c r="E124" s="159" t="str">
        <f>VLOOKUP(D124,Data!$AY$3:$AZ$962,2,FALSE)</f>
        <v>SC</v>
      </c>
      <c r="F124" s="159" t="str">
        <f>TRIM(E124) &amp; IFERROR(" - " &amp; VLOOKUP(_xlfn.CONCAT($M$4,TRIM(E124)),Data!$BG$3:$BH$108,2,FALSE),"")</f>
        <v>SC - System and Communications Protection</v>
      </c>
      <c r="G124" s="162">
        <f>VLOOKUP("Q" &amp; A124 &amp; "|" &amp; $M$4,Data!$AX$3:$BA$962,4,FALSE)</f>
        <v>1</v>
      </c>
      <c r="H124" s="163" t="str" cm="1">
        <f t="array" aca="1" ref="H124" ca="1">INDIRECT("Q" &amp;A124&amp;"_Score")</f>
        <v/>
      </c>
      <c r="I124" s="167">
        <f t="shared" ca="1" si="11"/>
        <v>0</v>
      </c>
      <c r="J124" s="163">
        <f t="shared" si="12"/>
        <v>1</v>
      </c>
      <c r="K124" s="160"/>
      <c r="L124" s="163" t="str" cm="1">
        <f t="array" ref="L124">_xlfn.IFS(G124&gt;=0.8,"HIGH",G124&gt;=0.6,"MEDIUM",1=1,"LOW")</f>
        <v>HIGH</v>
      </c>
      <c r="N124" s="150"/>
    </row>
    <row r="125" spans="1:14" s="146" customFormat="1" ht="18.75" hidden="1" customHeight="1" x14ac:dyDescent="0.2">
      <c r="A125" s="156">
        <f t="shared" si="10"/>
        <v>63</v>
      </c>
      <c r="B125" s="157" t="str">
        <f>VLOOKUP("Q" &amp;A125,Data!$AP$3:$AT$122,4,FALSE) &amp; " - " &amp; VLOOKUP("Q" &amp;A125,Data!$AP$3:$AT$122,5,FALSE)</f>
        <v>DPE_1 - Encryption Implementation</v>
      </c>
      <c r="C125" s="161"/>
      <c r="D125" s="159" t="str">
        <f>VLOOKUP("Q" &amp; A125 &amp; "|" &amp; $M$4,Data!$AX$3:$BA$962,2,FALSE)</f>
        <v>SC.L2-3.13.11</v>
      </c>
      <c r="E125" s="159" t="str">
        <f>VLOOKUP(D125,Data!$AY$3:$AZ$962,2,FALSE)</f>
        <v>SC</v>
      </c>
      <c r="F125" s="159" t="str">
        <f>TRIM(E125) &amp; IFERROR(" - " &amp; VLOOKUP(_xlfn.CONCAT($M$4,TRIM(E125)),Data!$BG$3:$BH$108,2,FALSE),"")</f>
        <v>SC - System and Communications Protection</v>
      </c>
      <c r="G125" s="162">
        <f>VLOOKUP("Q" &amp; A125 &amp; "|" &amp; $M$4,Data!$AX$3:$BA$962,4,FALSE)</f>
        <v>0.8</v>
      </c>
      <c r="H125" s="163" t="str" cm="1">
        <f t="array" aca="1" ref="H125" ca="1">INDIRECT("Q" &amp;A125&amp;"_Score")</f>
        <v/>
      </c>
      <c r="I125" s="167">
        <f t="shared" ca="1" si="11"/>
        <v>0</v>
      </c>
      <c r="J125" s="163">
        <f t="shared" si="12"/>
        <v>1</v>
      </c>
      <c r="K125" s="160"/>
      <c r="L125" s="163" t="str" cm="1">
        <f t="array" ref="L125">_xlfn.IFS(G125&gt;=0.8,"HIGH",G125&gt;=0.6,"MEDIUM",1=1,"LOW")</f>
        <v>HIGH</v>
      </c>
      <c r="N125" s="150"/>
    </row>
    <row r="126" spans="1:14" s="146" customFormat="1" ht="18.75" hidden="1" customHeight="1" x14ac:dyDescent="0.2">
      <c r="A126" s="156">
        <f t="shared" si="10"/>
        <v>64</v>
      </c>
      <c r="B126" s="157" t="str">
        <f>VLOOKUP("Q" &amp;A126,Data!$AP$3:$AT$122,4,FALSE) &amp; " - " &amp; VLOOKUP("Q" &amp;A126,Data!$AP$3:$AT$122,5,FALSE)</f>
        <v>DPE_1 - Encryption Implementation</v>
      </c>
      <c r="C126" s="161"/>
      <c r="D126" s="159" t="str">
        <f>VLOOKUP("Q" &amp; A126 &amp; "|" &amp; $M$4,Data!$AX$3:$BA$962,2,FALSE)</f>
        <v>SC.L2-3.13.11</v>
      </c>
      <c r="E126" s="159" t="str">
        <f>VLOOKUP(D126,Data!$AY$3:$AZ$962,2,FALSE)</f>
        <v>SC</v>
      </c>
      <c r="F126" s="159" t="str">
        <f>TRIM(E126) &amp; IFERROR(" - " &amp; VLOOKUP(_xlfn.CONCAT($M$4,TRIM(E126)),Data!$BG$3:$BH$108,2,FALSE),"")</f>
        <v>SC - System and Communications Protection</v>
      </c>
      <c r="G126" s="162">
        <f>VLOOKUP("Q" &amp; A126 &amp; "|" &amp; $M$4,Data!$AX$3:$BA$962,4,FALSE)</f>
        <v>0.8</v>
      </c>
      <c r="H126" s="163" t="str" cm="1">
        <f t="array" aca="1" ref="H126" ca="1">INDIRECT("Q" &amp;A126&amp;"_Score")</f>
        <v/>
      </c>
      <c r="I126" s="167">
        <f t="shared" ca="1" si="11"/>
        <v>0</v>
      </c>
      <c r="J126" s="163">
        <f t="shared" si="12"/>
        <v>1</v>
      </c>
      <c r="K126" s="160"/>
      <c r="L126" s="163" t="str" cm="1">
        <f t="array" ref="L126">_xlfn.IFS(G126&gt;=0.8,"HIGH",G126&gt;=0.6,"MEDIUM",1=1,"LOW")</f>
        <v>HIGH</v>
      </c>
      <c r="N126" s="150"/>
    </row>
    <row r="127" spans="1:14" s="146" customFormat="1" ht="18.75" hidden="1" customHeight="1" x14ac:dyDescent="0.2">
      <c r="A127" s="156">
        <f t="shared" si="10"/>
        <v>65</v>
      </c>
      <c r="B127" s="157" t="str">
        <f>VLOOKUP("Q" &amp;A127,Data!$AP$3:$AT$122,4,FALSE) &amp; " - " &amp; VLOOKUP("Q" &amp;A127,Data!$AP$3:$AT$122,5,FALSE)</f>
        <v>DPE_1 - Encryption Implementation</v>
      </c>
      <c r="C127" s="161"/>
      <c r="D127" s="159" t="str">
        <f>VLOOKUP("Q" &amp; A127 &amp; "|" &amp; $M$4,Data!$AX$3:$BA$962,2,FALSE)</f>
        <v>SC.L2-3.13.11</v>
      </c>
      <c r="E127" s="159" t="str">
        <f>VLOOKUP(D127,Data!$AY$3:$AZ$962,2,FALSE)</f>
        <v>SC</v>
      </c>
      <c r="F127" s="159" t="str">
        <f>TRIM(E127) &amp; IFERROR(" - " &amp; VLOOKUP(_xlfn.CONCAT($M$4,TRIM(E127)),Data!$BG$3:$BH$108,2,FALSE),"")</f>
        <v>SC - System and Communications Protection</v>
      </c>
      <c r="G127" s="162">
        <f>VLOOKUP("Q" &amp; A127 &amp; "|" &amp; $M$4,Data!$AX$3:$BA$962,4,FALSE)</f>
        <v>1</v>
      </c>
      <c r="H127" s="163" t="str" cm="1">
        <f t="array" aca="1" ref="H127" ca="1">INDIRECT("Q" &amp;A127&amp;"_Score")</f>
        <v/>
      </c>
      <c r="I127" s="167">
        <f t="shared" ref="I127:I158" ca="1" si="13">IFERROR(H127*G127,0)</f>
        <v>0</v>
      </c>
      <c r="J127" s="163">
        <f t="shared" ref="J127:J158" si="14">IF(G127&gt;0,1,0)</f>
        <v>1</v>
      </c>
      <c r="K127" s="160"/>
      <c r="L127" s="163" t="str" cm="1">
        <f t="array" ref="L127">_xlfn.IFS(G127&gt;=0.8,"HIGH",G127&gt;=0.6,"MEDIUM",1=1,"LOW")</f>
        <v>HIGH</v>
      </c>
      <c r="N127" s="150"/>
    </row>
    <row r="128" spans="1:14" s="146" customFormat="1" ht="18.75" hidden="1" customHeight="1" x14ac:dyDescent="0.2">
      <c r="A128" s="156">
        <f t="shared" si="10"/>
        <v>66</v>
      </c>
      <c r="B128" s="157" t="str">
        <f>VLOOKUP("Q" &amp;A128,Data!$AP$3:$AT$122,4,FALSE) &amp; " - " &amp; VLOOKUP("Q" &amp;A128,Data!$AP$3:$AT$122,5,FALSE)</f>
        <v>DPE_1 - Encryption Implementation</v>
      </c>
      <c r="C128" s="161"/>
      <c r="D128" s="159" t="str">
        <f>VLOOKUP("Q" &amp; A128 &amp; "|" &amp; $M$4,Data!$AX$3:$BA$962,2,FALSE)</f>
        <v>IA.L2-3.5.3</v>
      </c>
      <c r="E128" s="159" t="str">
        <f>VLOOKUP(D128,Data!$AY$3:$AZ$962,2,FALSE)</f>
        <v>IA</v>
      </c>
      <c r="F128" s="159" t="str">
        <f>TRIM(E128) &amp; IFERROR(" - " &amp; VLOOKUP(_xlfn.CONCAT($M$4,TRIM(E128)),Data!$BG$3:$BH$108,2,FALSE),"")</f>
        <v>IA - Identification and Authentication</v>
      </c>
      <c r="G128" s="162">
        <f>VLOOKUP("Q" &amp; A128 &amp; "|" &amp; $M$4,Data!$AX$3:$BA$962,4,FALSE)</f>
        <v>1</v>
      </c>
      <c r="H128" s="163" t="str" cm="1">
        <f t="array" aca="1" ref="H128" ca="1">INDIRECT("Q" &amp;A128&amp;"_Score")</f>
        <v/>
      </c>
      <c r="I128" s="167">
        <f t="shared" ca="1" si="13"/>
        <v>0</v>
      </c>
      <c r="J128" s="163">
        <f t="shared" si="14"/>
        <v>1</v>
      </c>
      <c r="K128" s="160"/>
      <c r="L128" s="163" t="str" cm="1">
        <f t="array" ref="L128">_xlfn.IFS(G128&gt;=0.8,"HIGH",G128&gt;=0.6,"MEDIUM",1=1,"LOW")</f>
        <v>HIGH</v>
      </c>
      <c r="N128" s="150"/>
    </row>
    <row r="129" spans="1:14" s="146" customFormat="1" ht="18.75" hidden="1" customHeight="1" x14ac:dyDescent="0.2">
      <c r="A129" s="156">
        <f t="shared" ref="A129:A182" si="15">A128+1</f>
        <v>67</v>
      </c>
      <c r="B129" s="157" t="str">
        <f>VLOOKUP("Q" &amp;A129,Data!$AP$3:$AT$122,4,FALSE) &amp; " - " &amp; VLOOKUP("Q" &amp;A129,Data!$AP$3:$AT$122,5,FALSE)</f>
        <v>DPE_1 - Encryption Implementation</v>
      </c>
      <c r="C129" s="161"/>
      <c r="D129" s="159" t="str">
        <f>VLOOKUP("Q" &amp; A129 &amp; "|" &amp; $M$4,Data!$AX$3:$BA$962,2,FALSE)</f>
        <v>SC.L2-3.13.11</v>
      </c>
      <c r="E129" s="159" t="str">
        <f>VLOOKUP(D129,Data!$AY$3:$AZ$962,2,FALSE)</f>
        <v>SC</v>
      </c>
      <c r="F129" s="159" t="str">
        <f>TRIM(E129) &amp; IFERROR(" - " &amp; VLOOKUP(_xlfn.CONCAT($M$4,TRIM(E129)),Data!$BG$3:$BH$108,2,FALSE),"")</f>
        <v>SC - System and Communications Protection</v>
      </c>
      <c r="G129" s="162">
        <f>VLOOKUP("Q" &amp; A129 &amp; "|" &amp; $M$4,Data!$AX$3:$BA$962,4,FALSE)</f>
        <v>0.6</v>
      </c>
      <c r="H129" s="163" t="str" cm="1">
        <f t="array" aca="1" ref="H129" ca="1">INDIRECT("Q" &amp;A129&amp;"_Score")</f>
        <v/>
      </c>
      <c r="I129" s="167">
        <f t="shared" ca="1" si="13"/>
        <v>0</v>
      </c>
      <c r="J129" s="163">
        <f t="shared" si="14"/>
        <v>1</v>
      </c>
      <c r="K129" s="160"/>
      <c r="L129" s="163" t="str" cm="1">
        <f t="array" ref="L129">_xlfn.IFS(G129&gt;=0.8,"HIGH",G129&gt;=0.6,"MEDIUM",1=1,"LOW")</f>
        <v>MEDIUM</v>
      </c>
      <c r="N129" s="150"/>
    </row>
    <row r="130" spans="1:14" s="146" customFormat="1" ht="18.75" hidden="1" customHeight="1" x14ac:dyDescent="0.2">
      <c r="A130" s="156">
        <f t="shared" si="15"/>
        <v>68</v>
      </c>
      <c r="B130" s="157" t="str">
        <f>VLOOKUP("Q" &amp;A130,Data!$AP$3:$AT$122,4,FALSE) &amp; " - " &amp; VLOOKUP("Q" &amp;A130,Data!$AP$3:$AT$122,5,FALSE)</f>
        <v>DPE_1 - Encryption Implementation</v>
      </c>
      <c r="C130" s="161"/>
      <c r="D130" s="159" t="str">
        <f>VLOOKUP("Q" &amp; A130 &amp; "|" &amp; $M$4,Data!$AX$3:$BA$962,2,FALSE)</f>
        <v>SC.L2-3.13.16</v>
      </c>
      <c r="E130" s="159" t="str">
        <f>VLOOKUP(D130,Data!$AY$3:$AZ$962,2,FALSE)</f>
        <v>SC</v>
      </c>
      <c r="F130" s="159" t="str">
        <f>TRIM(E130) &amp; IFERROR(" - " &amp; VLOOKUP(_xlfn.CONCAT($M$4,TRIM(E130)),Data!$BG$3:$BH$108,2,FALSE),"")</f>
        <v>SC - System and Communications Protection</v>
      </c>
      <c r="G130" s="162">
        <f>VLOOKUP("Q" &amp; A130 &amp; "|" &amp; $M$4,Data!$AX$3:$BA$962,4,FALSE)</f>
        <v>0.8</v>
      </c>
      <c r="H130" s="163" t="str" cm="1">
        <f t="array" aca="1" ref="H130" ca="1">INDIRECT("Q" &amp;A130&amp;"_Score")</f>
        <v/>
      </c>
      <c r="I130" s="167">
        <f t="shared" ca="1" si="13"/>
        <v>0</v>
      </c>
      <c r="J130" s="163">
        <f t="shared" si="14"/>
        <v>1</v>
      </c>
      <c r="K130" s="160"/>
      <c r="L130" s="163" t="str" cm="1">
        <f t="array" ref="L130">_xlfn.IFS(G130&gt;=0.8,"HIGH",G130&gt;=0.6,"MEDIUM",1=1,"LOW")</f>
        <v>HIGH</v>
      </c>
      <c r="N130" s="150"/>
    </row>
    <row r="131" spans="1:14" s="146" customFormat="1" ht="18.75" hidden="1" customHeight="1" x14ac:dyDescent="0.2">
      <c r="A131" s="156">
        <f t="shared" si="15"/>
        <v>69</v>
      </c>
      <c r="B131" s="157" t="str">
        <f>VLOOKUP("Q" &amp;A131,Data!$AP$3:$AT$122,4,FALSE) &amp; " - " &amp; VLOOKUP("Q" &amp;A131,Data!$AP$3:$AT$122,5,FALSE)</f>
        <v>DPE_1 - Encryption Implementation</v>
      </c>
      <c r="C131" s="161"/>
      <c r="D131" s="159" t="str">
        <f>VLOOKUP("Q" &amp; A131 &amp; "|" &amp; $M$4,Data!$AX$3:$BA$962,2,FALSE)</f>
        <v>SC.L2-3.13.11</v>
      </c>
      <c r="E131" s="159" t="str">
        <f>VLOOKUP(D131,Data!$AY$3:$AZ$962,2,FALSE)</f>
        <v>SC</v>
      </c>
      <c r="F131" s="159" t="str">
        <f>TRIM(E131) &amp; IFERROR(" - " &amp; VLOOKUP(_xlfn.CONCAT($M$4,TRIM(E131)),Data!$BG$3:$BH$108,2,FALSE),"")</f>
        <v>SC - System and Communications Protection</v>
      </c>
      <c r="G131" s="162">
        <f>VLOOKUP("Q" &amp; A131 &amp; "|" &amp; $M$4,Data!$AX$3:$BA$962,4,FALSE)</f>
        <v>0.8</v>
      </c>
      <c r="H131" s="163" t="str" cm="1">
        <f t="array" aca="1" ref="H131" ca="1">INDIRECT("Q" &amp;A131&amp;"_Score")</f>
        <v/>
      </c>
      <c r="I131" s="167">
        <f t="shared" ca="1" si="13"/>
        <v>0</v>
      </c>
      <c r="J131" s="163">
        <f t="shared" si="14"/>
        <v>1</v>
      </c>
      <c r="K131" s="160"/>
      <c r="L131" s="163" t="str" cm="1">
        <f t="array" ref="L131">_xlfn.IFS(G131&gt;=0.8,"HIGH",G131&gt;=0.6,"MEDIUM",1=1,"LOW")</f>
        <v>HIGH</v>
      </c>
      <c r="N131" s="150"/>
    </row>
    <row r="132" spans="1:14" s="146" customFormat="1" ht="18.75" hidden="1" customHeight="1" x14ac:dyDescent="0.2">
      <c r="A132" s="156">
        <f t="shared" si="15"/>
        <v>70</v>
      </c>
      <c r="B132" s="157" t="str">
        <f>VLOOKUP("Q" &amp;A132,Data!$AP$3:$AT$122,4,FALSE) &amp; " - " &amp; VLOOKUP("Q" &amp;A132,Data!$AP$3:$AT$122,5,FALSE)</f>
        <v>DPE_1 - Encryption Implementation</v>
      </c>
      <c r="C132" s="161"/>
      <c r="D132" s="159" t="str">
        <f>VLOOKUP("Q" &amp; A132 &amp; "|" &amp; $M$4,Data!$AX$3:$BA$962,2,FALSE)</f>
        <v>SC.L2-3.13.11</v>
      </c>
      <c r="E132" s="159" t="str">
        <f>VLOOKUP(D132,Data!$AY$3:$AZ$962,2,FALSE)</f>
        <v>SC</v>
      </c>
      <c r="F132" s="159" t="str">
        <f>TRIM(E132) &amp; IFERROR(" - " &amp; VLOOKUP(_xlfn.CONCAT($M$4,TRIM(E132)),Data!$BG$3:$BH$108,2,FALSE),"")</f>
        <v>SC - System and Communications Protection</v>
      </c>
      <c r="G132" s="162">
        <f>VLOOKUP("Q" &amp; A132 &amp; "|" &amp; $M$4,Data!$AX$3:$BA$962,4,FALSE)</f>
        <v>0.8</v>
      </c>
      <c r="H132" s="163" t="str" cm="1">
        <f t="array" aca="1" ref="H132" ca="1">INDIRECT("Q" &amp;A132&amp;"_Score")</f>
        <v/>
      </c>
      <c r="I132" s="167">
        <f t="shared" ca="1" si="13"/>
        <v>0</v>
      </c>
      <c r="J132" s="163">
        <f t="shared" si="14"/>
        <v>1</v>
      </c>
      <c r="K132" s="160"/>
      <c r="L132" s="163" t="str" cm="1">
        <f t="array" ref="L132">_xlfn.IFS(G132&gt;=0.8,"HIGH",G132&gt;=0.6,"MEDIUM",1=1,"LOW")</f>
        <v>HIGH</v>
      </c>
      <c r="N132" s="150"/>
    </row>
    <row r="133" spans="1:14" s="146" customFormat="1" ht="18.75" hidden="1" customHeight="1" x14ac:dyDescent="0.2">
      <c r="A133" s="156">
        <f t="shared" si="15"/>
        <v>71</v>
      </c>
      <c r="B133" s="157" t="str">
        <f>VLOOKUP("Q" &amp;A133,Data!$AP$3:$AT$122,4,FALSE) &amp; " - " &amp; VLOOKUP("Q" &amp;A133,Data!$AP$3:$AT$122,5,FALSE)</f>
        <v>DPE_2 - Key Management Systems</v>
      </c>
      <c r="C133" s="161"/>
      <c r="D133" s="159" t="str">
        <f>VLOOKUP("Q" &amp; A133 &amp; "|" &amp; $M$4,Data!$AX$3:$BA$962,2,FALSE)</f>
        <v>SC.L2-3.13.10</v>
      </c>
      <c r="E133" s="159" t="str">
        <f>VLOOKUP(D133,Data!$AY$3:$AZ$962,2,FALSE)</f>
        <v>SC</v>
      </c>
      <c r="F133" s="159" t="str">
        <f>TRIM(E133) &amp; IFERROR(" - " &amp; VLOOKUP(_xlfn.CONCAT($M$4,TRIM(E133)),Data!$BG$3:$BH$108,2,FALSE),"")</f>
        <v>SC - System and Communications Protection</v>
      </c>
      <c r="G133" s="162">
        <f>VLOOKUP("Q" &amp; A133 &amp; "|" &amp; $M$4,Data!$AX$3:$BA$962,4,FALSE)</f>
        <v>1</v>
      </c>
      <c r="H133" s="163" t="str" cm="1">
        <f t="array" aca="1" ref="H133" ca="1">INDIRECT("Q" &amp;A133&amp;"_Score")</f>
        <v/>
      </c>
      <c r="I133" s="167">
        <f t="shared" ca="1" si="13"/>
        <v>0</v>
      </c>
      <c r="J133" s="163">
        <f t="shared" si="14"/>
        <v>1</v>
      </c>
      <c r="K133" s="160"/>
      <c r="L133" s="163" t="str" cm="1">
        <f t="array" ref="L133">_xlfn.IFS(G133&gt;=0.8,"HIGH",G133&gt;=0.6,"MEDIUM",1=1,"LOW")</f>
        <v>HIGH</v>
      </c>
      <c r="N133" s="150"/>
    </row>
    <row r="134" spans="1:14" s="146" customFormat="1" ht="18.75" hidden="1" customHeight="1" x14ac:dyDescent="0.2">
      <c r="A134" s="156">
        <f t="shared" si="15"/>
        <v>72</v>
      </c>
      <c r="B134" s="157" t="str">
        <f>VLOOKUP("Q" &amp;A134,Data!$AP$3:$AT$122,4,FALSE) &amp; " - " &amp; VLOOKUP("Q" &amp;A134,Data!$AP$3:$AT$122,5,FALSE)</f>
        <v>DPE_2 - Key Management Systems</v>
      </c>
      <c r="C134" s="161"/>
      <c r="D134" s="159" t="str">
        <f>VLOOKUP("Q" &amp; A134 &amp; "|" &amp; $M$4,Data!$AX$3:$BA$962,2,FALSE)</f>
        <v>-</v>
      </c>
      <c r="E134" s="159" t="str">
        <f>VLOOKUP(D134,Data!$AY$3:$AZ$962,2,FALSE)</f>
        <v>-</v>
      </c>
      <c r="F134" s="159" t="str">
        <f>TRIM(E134) &amp; IFERROR(" - " &amp; VLOOKUP(_xlfn.CONCAT($M$4,TRIM(E134)),Data!$BG$3:$BH$108,2,FALSE),"")</f>
        <v>-</v>
      </c>
      <c r="G134" s="162">
        <f>VLOOKUP("Q" &amp; A134 &amp; "|" &amp; $M$4,Data!$AX$3:$BA$962,4,FALSE)</f>
        <v>0</v>
      </c>
      <c r="H134" s="163" t="str" cm="1">
        <f t="array" aca="1" ref="H134" ca="1">INDIRECT("Q" &amp;A134&amp;"_Score")</f>
        <v/>
      </c>
      <c r="I134" s="167">
        <f t="shared" ca="1" si="13"/>
        <v>0</v>
      </c>
      <c r="J134" s="163">
        <f t="shared" si="14"/>
        <v>0</v>
      </c>
      <c r="K134" s="160"/>
      <c r="L134" s="163" t="str" cm="1">
        <f t="array" ref="L134">_xlfn.IFS(G134&gt;=0.8,"HIGH",G134&gt;=0.6,"MEDIUM",1=1,"LOW")</f>
        <v>LOW</v>
      </c>
      <c r="N134" s="150"/>
    </row>
    <row r="135" spans="1:14" s="146" customFormat="1" ht="18.75" hidden="1" customHeight="1" x14ac:dyDescent="0.2">
      <c r="A135" s="156">
        <f t="shared" si="15"/>
        <v>73</v>
      </c>
      <c r="B135" s="157" t="str">
        <f>VLOOKUP("Q" &amp;A135,Data!$AP$3:$AT$122,4,FALSE) &amp; " - " &amp; VLOOKUP("Q" &amp;A135,Data!$AP$3:$AT$122,5,FALSE)</f>
        <v>DPE_2 - Key Management Systems</v>
      </c>
      <c r="C135" s="161"/>
      <c r="D135" s="159" t="str">
        <f>VLOOKUP("Q" &amp; A135 &amp; "|" &amp; $M$4,Data!$AX$3:$BA$962,2,FALSE)</f>
        <v>SC.L2-3.13.10</v>
      </c>
      <c r="E135" s="159" t="str">
        <f>VLOOKUP(D135,Data!$AY$3:$AZ$962,2,FALSE)</f>
        <v>SC</v>
      </c>
      <c r="F135" s="159" t="str">
        <f>TRIM(E135) &amp; IFERROR(" - " &amp; VLOOKUP(_xlfn.CONCAT($M$4,TRIM(E135)),Data!$BG$3:$BH$108,2,FALSE),"")</f>
        <v>SC - System and Communications Protection</v>
      </c>
      <c r="G135" s="162">
        <f>VLOOKUP("Q" &amp; A135 &amp; "|" &amp; $M$4,Data!$AX$3:$BA$962,4,FALSE)</f>
        <v>1</v>
      </c>
      <c r="H135" s="163" t="str" cm="1">
        <f t="array" aca="1" ref="H135" ca="1">INDIRECT("Q" &amp;A135&amp;"_Score")</f>
        <v/>
      </c>
      <c r="I135" s="167">
        <f t="shared" ca="1" si="13"/>
        <v>0</v>
      </c>
      <c r="J135" s="163">
        <f t="shared" si="14"/>
        <v>1</v>
      </c>
      <c r="K135" s="160"/>
      <c r="L135" s="163" t="str" cm="1">
        <f t="array" ref="L135">_xlfn.IFS(G135&gt;=0.8,"HIGH",G135&gt;=0.6,"MEDIUM",1=1,"LOW")</f>
        <v>HIGH</v>
      </c>
      <c r="N135" s="150"/>
    </row>
    <row r="136" spans="1:14" s="146" customFormat="1" ht="18.75" hidden="1" customHeight="1" x14ac:dyDescent="0.2">
      <c r="A136" s="156">
        <f t="shared" si="15"/>
        <v>74</v>
      </c>
      <c r="B136" s="157" t="str">
        <f>VLOOKUP("Q" &amp;A136,Data!$AP$3:$AT$122,4,FALSE) &amp; " - " &amp; VLOOKUP("Q" &amp;A136,Data!$AP$3:$AT$122,5,FALSE)</f>
        <v>DPE_2 - Key Management Systems</v>
      </c>
      <c r="C136" s="161"/>
      <c r="D136" s="159" t="str">
        <f>VLOOKUP("Q" &amp; A136 &amp; "|" &amp; $M$4,Data!$AX$3:$BA$962,2,FALSE)</f>
        <v>-</v>
      </c>
      <c r="E136" s="159" t="str">
        <f>VLOOKUP(D136,Data!$AY$3:$AZ$962,2,FALSE)</f>
        <v>-</v>
      </c>
      <c r="F136" s="159" t="str">
        <f>TRIM(E136) &amp; IFERROR(" - " &amp; VLOOKUP(_xlfn.CONCAT($M$4,TRIM(E136)),Data!$BG$3:$BH$108,2,FALSE),"")</f>
        <v>-</v>
      </c>
      <c r="G136" s="162">
        <f>VLOOKUP("Q" &amp; A136 &amp; "|" &amp; $M$4,Data!$AX$3:$BA$962,4,FALSE)</f>
        <v>0</v>
      </c>
      <c r="H136" s="163" t="str" cm="1">
        <f t="array" aca="1" ref="H136" ca="1">INDIRECT("Q" &amp;A136&amp;"_Score")</f>
        <v/>
      </c>
      <c r="I136" s="167">
        <f t="shared" ca="1" si="13"/>
        <v>0</v>
      </c>
      <c r="J136" s="163">
        <f t="shared" si="14"/>
        <v>0</v>
      </c>
      <c r="K136" s="160"/>
      <c r="L136" s="163" t="str" cm="1">
        <f t="array" ref="L136">_xlfn.IFS(G136&gt;=0.8,"HIGH",G136&gt;=0.6,"MEDIUM",1=1,"LOW")</f>
        <v>LOW</v>
      </c>
      <c r="N136" s="150"/>
    </row>
    <row r="137" spans="1:14" s="146" customFormat="1" ht="18.75" hidden="1" customHeight="1" x14ac:dyDescent="0.2">
      <c r="A137" s="156">
        <f t="shared" si="15"/>
        <v>75</v>
      </c>
      <c r="B137" s="157" t="str">
        <f>VLOOKUP("Q" &amp;A137,Data!$AP$3:$AT$122,4,FALSE) &amp; " - " &amp; VLOOKUP("Q" &amp;A137,Data!$AP$3:$AT$122,5,FALSE)</f>
        <v>DPE_2 - Key Management Systems</v>
      </c>
      <c r="C137" s="161"/>
      <c r="D137" s="159" t="str">
        <f>VLOOKUP("Q" &amp; A137 &amp; "|" &amp; $M$4,Data!$AX$3:$BA$962,2,FALSE)</f>
        <v>SC.L2-3.13.10</v>
      </c>
      <c r="E137" s="159" t="str">
        <f>VLOOKUP(D137,Data!$AY$3:$AZ$962,2,FALSE)</f>
        <v>SC</v>
      </c>
      <c r="F137" s="159" t="str">
        <f>TRIM(E137) &amp; IFERROR(" - " &amp; VLOOKUP(_xlfn.CONCAT($M$4,TRIM(E137)),Data!$BG$3:$BH$108,2,FALSE),"")</f>
        <v>SC - System and Communications Protection</v>
      </c>
      <c r="G137" s="162">
        <f>VLOOKUP("Q" &amp; A137 &amp; "|" &amp; $M$4,Data!$AX$3:$BA$962,4,FALSE)</f>
        <v>1</v>
      </c>
      <c r="H137" s="163" t="str" cm="1">
        <f t="array" aca="1" ref="H137" ca="1">INDIRECT("Q" &amp;A137&amp;"_Score")</f>
        <v/>
      </c>
      <c r="I137" s="167">
        <f t="shared" ca="1" si="13"/>
        <v>0</v>
      </c>
      <c r="J137" s="163">
        <f t="shared" si="14"/>
        <v>1</v>
      </c>
      <c r="K137" s="160"/>
      <c r="L137" s="163" t="str" cm="1">
        <f t="array" ref="L137">_xlfn.IFS(G137&gt;=0.8,"HIGH",G137&gt;=0.6,"MEDIUM",1=1,"LOW")</f>
        <v>HIGH</v>
      </c>
      <c r="N137" s="150"/>
    </row>
    <row r="138" spans="1:14" s="146" customFormat="1" ht="18.75" hidden="1" customHeight="1" x14ac:dyDescent="0.2">
      <c r="A138" s="156">
        <f t="shared" si="15"/>
        <v>76</v>
      </c>
      <c r="B138" s="157" t="str">
        <f>VLOOKUP("Q" &amp;A138,Data!$AP$3:$AT$122,4,FALSE) &amp; " - " &amp; VLOOKUP("Q" &amp;A138,Data!$AP$3:$AT$122,5,FALSE)</f>
        <v>DPE_2 - Key Management Systems</v>
      </c>
      <c r="C138" s="161"/>
      <c r="D138" s="159" t="str">
        <f>VLOOKUP("Q" &amp; A138 &amp; "|" &amp; $M$4,Data!$AX$3:$BA$962,2,FALSE)</f>
        <v>-</v>
      </c>
      <c r="E138" s="159" t="str">
        <f>VLOOKUP(D138,Data!$AY$3:$AZ$962,2,FALSE)</f>
        <v>-</v>
      </c>
      <c r="F138" s="159" t="str">
        <f>TRIM(E138) &amp; IFERROR(" - " &amp; VLOOKUP(_xlfn.CONCAT($M$4,TRIM(E138)),Data!$BG$3:$BH$108,2,FALSE),"")</f>
        <v>-</v>
      </c>
      <c r="G138" s="162">
        <f>VLOOKUP("Q" &amp; A138 &amp; "|" &amp; $M$4,Data!$AX$3:$BA$962,4,FALSE)</f>
        <v>0</v>
      </c>
      <c r="H138" s="163" t="str" cm="1">
        <f t="array" aca="1" ref="H138" ca="1">INDIRECT("Q" &amp;A138&amp;"_Score")</f>
        <v/>
      </c>
      <c r="I138" s="167">
        <f t="shared" ca="1" si="13"/>
        <v>0</v>
      </c>
      <c r="J138" s="163">
        <f t="shared" si="14"/>
        <v>0</v>
      </c>
      <c r="K138" s="160"/>
      <c r="L138" s="163" t="str" cm="1">
        <f t="array" ref="L138">_xlfn.IFS(G138&gt;=0.8,"HIGH",G138&gt;=0.6,"MEDIUM",1=1,"LOW")</f>
        <v>LOW</v>
      </c>
      <c r="N138" s="150"/>
    </row>
    <row r="139" spans="1:14" s="146" customFormat="1" ht="18.75" hidden="1" customHeight="1" x14ac:dyDescent="0.2">
      <c r="A139" s="156">
        <f t="shared" si="15"/>
        <v>77</v>
      </c>
      <c r="B139" s="157" t="str">
        <f>VLOOKUP("Q" &amp;A139,Data!$AP$3:$AT$122,4,FALSE) &amp; " - " &amp; VLOOKUP("Q" &amp;A139,Data!$AP$3:$AT$122,5,FALSE)</f>
        <v>DPE_2 - Key Management Systems</v>
      </c>
      <c r="C139" s="161"/>
      <c r="D139" s="159" t="str">
        <f>VLOOKUP("Q" &amp; A139 &amp; "|" &amp; $M$4,Data!$AX$3:$BA$962,2,FALSE)</f>
        <v>AU.L2-3.3.1</v>
      </c>
      <c r="E139" s="159" t="str">
        <f>VLOOKUP(D139,Data!$AY$3:$AZ$962,2,FALSE)</f>
        <v>AU</v>
      </c>
      <c r="F139" s="159" t="str">
        <f>TRIM(E139) &amp; IFERROR(" - " &amp; VLOOKUP(_xlfn.CONCAT($M$4,TRIM(E139)),Data!$BG$3:$BH$108,2,FALSE),"")</f>
        <v>AU - Audit and Accountability</v>
      </c>
      <c r="G139" s="162">
        <f>VLOOKUP("Q" &amp; A139 &amp; "|" &amp; $M$4,Data!$AX$3:$BA$962,4,FALSE)</f>
        <v>1</v>
      </c>
      <c r="H139" s="163" t="str" cm="1">
        <f t="array" aca="1" ref="H139" ca="1">INDIRECT("Q" &amp;A139&amp;"_Score")</f>
        <v/>
      </c>
      <c r="I139" s="167">
        <f t="shared" ca="1" si="13"/>
        <v>0</v>
      </c>
      <c r="J139" s="163">
        <f t="shared" si="14"/>
        <v>1</v>
      </c>
      <c r="K139" s="160"/>
      <c r="L139" s="163" t="str" cm="1">
        <f t="array" ref="L139">_xlfn.IFS(G139&gt;=0.8,"HIGH",G139&gt;=0.6,"MEDIUM",1=1,"LOW")</f>
        <v>HIGH</v>
      </c>
      <c r="N139" s="150"/>
    </row>
    <row r="140" spans="1:14" s="146" customFormat="1" ht="18.75" hidden="1" customHeight="1" x14ac:dyDescent="0.2">
      <c r="A140" s="156">
        <f t="shared" si="15"/>
        <v>78</v>
      </c>
      <c r="B140" s="157" t="str">
        <f>VLOOKUP("Q" &amp;A140,Data!$AP$3:$AT$122,4,FALSE) &amp; " - " &amp; VLOOKUP("Q" &amp;A140,Data!$AP$3:$AT$122,5,FALSE)</f>
        <v>DPE_2 - Key Management Systems</v>
      </c>
      <c r="C140" s="161"/>
      <c r="D140" s="159" t="str">
        <f>VLOOKUP("Q" &amp; A140 &amp; "|" &amp; $M$4,Data!$AX$3:$BA$962,2,FALSE)</f>
        <v>SC.L2-3.13.10</v>
      </c>
      <c r="E140" s="159" t="str">
        <f>VLOOKUP(D140,Data!$AY$3:$AZ$962,2,FALSE)</f>
        <v>SC</v>
      </c>
      <c r="F140" s="159" t="str">
        <f>TRIM(E140) &amp; IFERROR(" - " &amp; VLOOKUP(_xlfn.CONCAT($M$4,TRIM(E140)),Data!$BG$3:$BH$108,2,FALSE),"")</f>
        <v>SC - System and Communications Protection</v>
      </c>
      <c r="G140" s="162">
        <f>VLOOKUP("Q" &amp; A140 &amp; "|" &amp; $M$4,Data!$AX$3:$BA$962,4,FALSE)</f>
        <v>1</v>
      </c>
      <c r="H140" s="163" t="str" cm="1">
        <f t="array" aca="1" ref="H140" ca="1">INDIRECT("Q" &amp;A140&amp;"_Score")</f>
        <v/>
      </c>
      <c r="I140" s="167">
        <f t="shared" ca="1" si="13"/>
        <v>0</v>
      </c>
      <c r="J140" s="163">
        <f t="shared" si="14"/>
        <v>1</v>
      </c>
      <c r="K140" s="160"/>
      <c r="L140" s="163" t="str" cm="1">
        <f t="array" ref="L140">_xlfn.IFS(G140&gt;=0.8,"HIGH",G140&gt;=0.6,"MEDIUM",1=1,"LOW")</f>
        <v>HIGH</v>
      </c>
      <c r="N140" s="150"/>
    </row>
    <row r="141" spans="1:14" s="146" customFormat="1" ht="18.75" hidden="1" customHeight="1" x14ac:dyDescent="0.2">
      <c r="A141" s="156">
        <f t="shared" si="15"/>
        <v>79</v>
      </c>
      <c r="B141" s="157" t="str">
        <f>VLOOKUP("Q" &amp;A141,Data!$AP$3:$AT$122,4,FALSE) &amp; " - " &amp; VLOOKUP("Q" &amp;A141,Data!$AP$3:$AT$122,5,FALSE)</f>
        <v>DPE_2 - Key Management Systems</v>
      </c>
      <c r="C141" s="161"/>
      <c r="D141" s="159" t="str">
        <f>VLOOKUP("Q" &amp; A141 &amp; "|" &amp; $M$4,Data!$AX$3:$BA$962,2,FALSE)</f>
        <v>IR.L2-3.6.1</v>
      </c>
      <c r="E141" s="159" t="str">
        <f>VLOOKUP(D141,Data!$AY$3:$AZ$962,2,FALSE)</f>
        <v>IR</v>
      </c>
      <c r="F141" s="159" t="str">
        <f>TRIM(E141) &amp; IFERROR(" - " &amp; VLOOKUP(_xlfn.CONCAT($M$4,TRIM(E141)),Data!$BG$3:$BH$108,2,FALSE),"")</f>
        <v>IR - Incident Response</v>
      </c>
      <c r="G141" s="162">
        <f>VLOOKUP("Q" &amp; A141 &amp; "|" &amp; $M$4,Data!$AX$3:$BA$962,4,FALSE)</f>
        <v>1</v>
      </c>
      <c r="H141" s="163" t="str" cm="1">
        <f t="array" aca="1" ref="H141" ca="1">INDIRECT("Q" &amp;A141&amp;"_Score")</f>
        <v/>
      </c>
      <c r="I141" s="167">
        <f t="shared" ca="1" si="13"/>
        <v>0</v>
      </c>
      <c r="J141" s="163">
        <f t="shared" si="14"/>
        <v>1</v>
      </c>
      <c r="K141" s="160"/>
      <c r="L141" s="163" t="str" cm="1">
        <f t="array" ref="L141">_xlfn.IFS(G141&gt;=0.8,"HIGH",G141&gt;=0.6,"MEDIUM",1=1,"LOW")</f>
        <v>HIGH</v>
      </c>
      <c r="N141" s="150"/>
    </row>
    <row r="142" spans="1:14" s="146" customFormat="1" ht="18.75" hidden="1" customHeight="1" x14ac:dyDescent="0.2">
      <c r="A142" s="156">
        <f t="shared" si="15"/>
        <v>80</v>
      </c>
      <c r="B142" s="157" t="str">
        <f>VLOOKUP("Q" &amp;A142,Data!$AP$3:$AT$122,4,FALSE) &amp; " - " &amp; VLOOKUP("Q" &amp;A142,Data!$AP$3:$AT$122,5,FALSE)</f>
        <v>DPE_2 - Key Management Systems</v>
      </c>
      <c r="C142" s="161"/>
      <c r="D142" s="159" t="str">
        <f>VLOOKUP("Q" &amp; A142 &amp; "|" &amp; $M$4,Data!$AX$3:$BA$962,2,FALSE)</f>
        <v>SC.L2-3.13.10</v>
      </c>
      <c r="E142" s="159" t="str">
        <f>VLOOKUP(D142,Data!$AY$3:$AZ$962,2,FALSE)</f>
        <v>SC</v>
      </c>
      <c r="F142" s="159" t="str">
        <f>TRIM(E142) &amp; IFERROR(" - " &amp; VLOOKUP(_xlfn.CONCAT($M$4,TRIM(E142)),Data!$BG$3:$BH$108,2,FALSE),"")</f>
        <v>SC - System and Communications Protection</v>
      </c>
      <c r="G142" s="162">
        <f>VLOOKUP("Q" &amp; A142 &amp; "|" &amp; $M$4,Data!$AX$3:$BA$962,4,FALSE)</f>
        <v>1</v>
      </c>
      <c r="H142" s="163" t="str" cm="1">
        <f t="array" aca="1" ref="H142" ca="1">INDIRECT("Q" &amp;A142&amp;"_Score")</f>
        <v/>
      </c>
      <c r="I142" s="167">
        <f t="shared" ca="1" si="13"/>
        <v>0</v>
      </c>
      <c r="J142" s="163">
        <f t="shared" si="14"/>
        <v>1</v>
      </c>
      <c r="K142" s="160"/>
      <c r="L142" s="163" t="str" cm="1">
        <f t="array" ref="L142">_xlfn.IFS(G142&gt;=0.8,"HIGH",G142&gt;=0.6,"MEDIUM",1=1,"LOW")</f>
        <v>HIGH</v>
      </c>
      <c r="N142" s="150"/>
    </row>
    <row r="143" spans="1:14" s="146" customFormat="1" ht="18.75" hidden="1" customHeight="1" x14ac:dyDescent="0.2">
      <c r="A143" s="156">
        <f t="shared" si="15"/>
        <v>81</v>
      </c>
      <c r="B143" s="157" t="str">
        <f>VLOOKUP("Q" &amp;A143,Data!$AP$3:$AT$122,4,FALSE) &amp; " - " &amp; VLOOKUP("Q" &amp;A143,Data!$AP$3:$AT$122,5,FALSE)</f>
        <v>DPE_3 - Data Classification &amp; Handling</v>
      </c>
      <c r="C143" s="161"/>
      <c r="D143" s="159" t="str">
        <f>VLOOKUP("Q" &amp; A143 &amp; "|" &amp; $M$4,Data!$AX$3:$BA$962,2,FALSE)</f>
        <v>MP.L2-3.8.1</v>
      </c>
      <c r="E143" s="159" t="str">
        <f>VLOOKUP(D143,Data!$AY$3:$AZ$962,2,FALSE)</f>
        <v>MP</v>
      </c>
      <c r="F143" s="159" t="str">
        <f>TRIM(E143) &amp; IFERROR(" - " &amp; VLOOKUP(_xlfn.CONCAT($M$4,TRIM(E143)),Data!$BG$3:$BH$108,2,FALSE),"")</f>
        <v>MP - Media Protection</v>
      </c>
      <c r="G143" s="162">
        <f>VLOOKUP("Q" &amp; A143 &amp; "|" &amp; $M$4,Data!$AX$3:$BA$962,4,FALSE)</f>
        <v>1</v>
      </c>
      <c r="H143" s="163" t="str" cm="1">
        <f t="array" aca="1" ref="H143" ca="1">INDIRECT("Q" &amp;A143&amp;"_Score")</f>
        <v/>
      </c>
      <c r="I143" s="167">
        <f t="shared" ca="1" si="13"/>
        <v>0</v>
      </c>
      <c r="J143" s="163">
        <f t="shared" si="14"/>
        <v>1</v>
      </c>
      <c r="K143" s="160"/>
      <c r="L143" s="163" t="str" cm="1">
        <f t="array" ref="L143">_xlfn.IFS(G143&gt;=0.8,"HIGH",G143&gt;=0.6,"MEDIUM",1=1,"LOW")</f>
        <v>HIGH</v>
      </c>
      <c r="N143" s="150"/>
    </row>
    <row r="144" spans="1:14" s="146" customFormat="1" ht="18.75" hidden="1" customHeight="1" x14ac:dyDescent="0.2">
      <c r="A144" s="156">
        <f t="shared" si="15"/>
        <v>82</v>
      </c>
      <c r="B144" s="157" t="str">
        <f>VLOOKUP("Q" &amp;A144,Data!$AP$3:$AT$122,4,FALSE) &amp; " - " &amp; VLOOKUP("Q" &amp;A144,Data!$AP$3:$AT$122,5,FALSE)</f>
        <v>DPE_3 - Data Classification &amp; Handling</v>
      </c>
      <c r="C144" s="161"/>
      <c r="D144" s="159" t="str">
        <f>VLOOKUP("Q" &amp; A144 &amp; "|" &amp; $M$4,Data!$AX$3:$BA$962,2,FALSE)</f>
        <v>MP.L2-3.8.1</v>
      </c>
      <c r="E144" s="159" t="str">
        <f>VLOOKUP(D144,Data!$AY$3:$AZ$962,2,FALSE)</f>
        <v>MP</v>
      </c>
      <c r="F144" s="159" t="str">
        <f>TRIM(E144) &amp; IFERROR(" - " &amp; VLOOKUP(_xlfn.CONCAT($M$4,TRIM(E144)),Data!$BG$3:$BH$108,2,FALSE),"")</f>
        <v>MP - Media Protection</v>
      </c>
      <c r="G144" s="162">
        <f>VLOOKUP("Q" &amp; A144 &amp; "|" &amp; $M$4,Data!$AX$3:$BA$962,4,FALSE)</f>
        <v>0.8</v>
      </c>
      <c r="H144" s="163" t="str" cm="1">
        <f t="array" aca="1" ref="H144" ca="1">INDIRECT("Q" &amp;A144&amp;"_Score")</f>
        <v/>
      </c>
      <c r="I144" s="167">
        <f t="shared" ca="1" si="13"/>
        <v>0</v>
      </c>
      <c r="J144" s="163">
        <f t="shared" si="14"/>
        <v>1</v>
      </c>
      <c r="K144" s="160"/>
      <c r="L144" s="163" t="str" cm="1">
        <f t="array" ref="L144">_xlfn.IFS(G144&gt;=0.8,"HIGH",G144&gt;=0.6,"MEDIUM",1=1,"LOW")</f>
        <v>HIGH</v>
      </c>
      <c r="N144" s="150"/>
    </row>
    <row r="145" spans="1:14" s="146" customFormat="1" ht="18.75" hidden="1" customHeight="1" x14ac:dyDescent="0.2">
      <c r="A145" s="156">
        <f t="shared" si="15"/>
        <v>83</v>
      </c>
      <c r="B145" s="157" t="str">
        <f>VLOOKUP("Q" &amp;A145,Data!$AP$3:$AT$122,4,FALSE) &amp; " - " &amp; VLOOKUP("Q" &amp;A145,Data!$AP$3:$AT$122,5,FALSE)</f>
        <v>DPE_3 - Data Classification &amp; Handling</v>
      </c>
      <c r="C145" s="161"/>
      <c r="D145" s="159" t="str">
        <f>VLOOKUP("Q" &amp; A145 &amp; "|" &amp; $M$4,Data!$AX$3:$BA$962,2,FALSE)</f>
        <v>MP.L2-3.8.2</v>
      </c>
      <c r="E145" s="159" t="str">
        <f>VLOOKUP(D145,Data!$AY$3:$AZ$962,2,FALSE)</f>
        <v>MP</v>
      </c>
      <c r="F145" s="159" t="str">
        <f>TRIM(E145) &amp; IFERROR(" - " &amp; VLOOKUP(_xlfn.CONCAT($M$4,TRIM(E145)),Data!$BG$3:$BH$108,2,FALSE),"")</f>
        <v>MP - Media Protection</v>
      </c>
      <c r="G145" s="162">
        <f>VLOOKUP("Q" &amp; A145 &amp; "|" &amp; $M$4,Data!$AX$3:$BA$962,4,FALSE)</f>
        <v>1</v>
      </c>
      <c r="H145" s="163" t="str" cm="1">
        <f t="array" aca="1" ref="H145" ca="1">INDIRECT("Q" &amp;A145&amp;"_Score")</f>
        <v/>
      </c>
      <c r="I145" s="167">
        <f t="shared" ca="1" si="13"/>
        <v>0</v>
      </c>
      <c r="J145" s="163">
        <f t="shared" si="14"/>
        <v>1</v>
      </c>
      <c r="K145" s="160"/>
      <c r="L145" s="163" t="str" cm="1">
        <f t="array" ref="L145">_xlfn.IFS(G145&gt;=0.8,"HIGH",G145&gt;=0.6,"MEDIUM",1=1,"LOW")</f>
        <v>HIGH</v>
      </c>
      <c r="N145" s="150"/>
    </row>
    <row r="146" spans="1:14" s="146" customFormat="1" ht="18.75" hidden="1" customHeight="1" x14ac:dyDescent="0.2">
      <c r="A146" s="156">
        <f t="shared" si="15"/>
        <v>84</v>
      </c>
      <c r="B146" s="157" t="str">
        <f>VLOOKUP("Q" &amp;A146,Data!$AP$3:$AT$122,4,FALSE) &amp; " - " &amp; VLOOKUP("Q" &amp;A146,Data!$AP$3:$AT$122,5,FALSE)</f>
        <v>DPE_3 - Data Classification &amp; Handling</v>
      </c>
      <c r="C146" s="161"/>
      <c r="D146" s="159" t="str">
        <f>VLOOKUP("Q" &amp; A146 &amp; "|" &amp; $M$4,Data!$AX$3:$BA$962,2,FALSE)</f>
        <v>MP.L2-3.8.3</v>
      </c>
      <c r="E146" s="159" t="str">
        <f>VLOOKUP(D146,Data!$AY$3:$AZ$962,2,FALSE)</f>
        <v>MP</v>
      </c>
      <c r="F146" s="159" t="str">
        <f>TRIM(E146) &amp; IFERROR(" - " &amp; VLOOKUP(_xlfn.CONCAT($M$4,TRIM(E146)),Data!$BG$3:$BH$108,2,FALSE),"")</f>
        <v>MP - Media Protection</v>
      </c>
      <c r="G146" s="162">
        <f>VLOOKUP("Q" &amp; A146 &amp; "|" &amp; $M$4,Data!$AX$3:$BA$962,4,FALSE)</f>
        <v>1</v>
      </c>
      <c r="H146" s="163" t="str" cm="1">
        <f t="array" aca="1" ref="H146" ca="1">INDIRECT("Q" &amp;A146&amp;"_Score")</f>
        <v/>
      </c>
      <c r="I146" s="167">
        <f t="shared" ca="1" si="13"/>
        <v>0</v>
      </c>
      <c r="J146" s="163">
        <f t="shared" si="14"/>
        <v>1</v>
      </c>
      <c r="K146" s="160"/>
      <c r="L146" s="163" t="str" cm="1">
        <f t="array" ref="L146">_xlfn.IFS(G146&gt;=0.8,"HIGH",G146&gt;=0.6,"MEDIUM",1=1,"LOW")</f>
        <v>HIGH</v>
      </c>
      <c r="N146" s="150"/>
    </row>
    <row r="147" spans="1:14" s="146" customFormat="1" ht="18.75" hidden="1" customHeight="1" x14ac:dyDescent="0.2">
      <c r="A147" s="156">
        <f t="shared" si="15"/>
        <v>85</v>
      </c>
      <c r="B147" s="157" t="str">
        <f>VLOOKUP("Q" &amp;A147,Data!$AP$3:$AT$122,4,FALSE) &amp; " - " &amp; VLOOKUP("Q" &amp;A147,Data!$AP$3:$AT$122,5,FALSE)</f>
        <v>DPE_3 - Data Classification &amp; Handling</v>
      </c>
      <c r="C147" s="161"/>
      <c r="D147" s="159" t="str">
        <f>VLOOKUP("Q" &amp; A147 &amp; "|" &amp; $M$4,Data!$AX$3:$BA$962,2,FALSE)</f>
        <v>MP.L2-3.8.1</v>
      </c>
      <c r="E147" s="159" t="str">
        <f>VLOOKUP(D147,Data!$AY$3:$AZ$962,2,FALSE)</f>
        <v>MP</v>
      </c>
      <c r="F147" s="159" t="str">
        <f>TRIM(E147) &amp; IFERROR(" - " &amp; VLOOKUP(_xlfn.CONCAT($M$4,TRIM(E147)),Data!$BG$3:$BH$108,2,FALSE),"")</f>
        <v>MP - Media Protection</v>
      </c>
      <c r="G147" s="162">
        <f>VLOOKUP("Q" &amp; A147 &amp; "|" &amp; $M$4,Data!$AX$3:$BA$962,4,FALSE)</f>
        <v>0.8</v>
      </c>
      <c r="H147" s="163" t="str" cm="1">
        <f t="array" aca="1" ref="H147" ca="1">INDIRECT("Q" &amp;A147&amp;"_Score")</f>
        <v/>
      </c>
      <c r="I147" s="167">
        <f t="shared" ca="1" si="13"/>
        <v>0</v>
      </c>
      <c r="J147" s="163">
        <f t="shared" si="14"/>
        <v>1</v>
      </c>
      <c r="K147" s="160"/>
      <c r="L147" s="163" t="str" cm="1">
        <f t="array" ref="L147">_xlfn.IFS(G147&gt;=0.8,"HIGH",G147&gt;=0.6,"MEDIUM",1=1,"LOW")</f>
        <v>HIGH</v>
      </c>
      <c r="N147" s="150"/>
    </row>
    <row r="148" spans="1:14" s="146" customFormat="1" ht="18.75" hidden="1" customHeight="1" x14ac:dyDescent="0.2">
      <c r="A148" s="156">
        <f t="shared" si="15"/>
        <v>86</v>
      </c>
      <c r="B148" s="157" t="str">
        <f>VLOOKUP("Q" &amp;A148,Data!$AP$3:$AT$122,4,FALSE) &amp; " - " &amp; VLOOKUP("Q" &amp;A148,Data!$AP$3:$AT$122,5,FALSE)</f>
        <v>DPE_3 - Data Classification &amp; Handling</v>
      </c>
      <c r="C148" s="161"/>
      <c r="D148" s="159" t="str">
        <f>VLOOKUP("Q" &amp; A148 &amp; "|" &amp; $M$4,Data!$AX$3:$BA$962,2,FALSE)</f>
        <v>MP.L2-3.8.3</v>
      </c>
      <c r="E148" s="159" t="str">
        <f>VLOOKUP(D148,Data!$AY$3:$AZ$962,2,FALSE)</f>
        <v>MP</v>
      </c>
      <c r="F148" s="159" t="str">
        <f>TRIM(E148) &amp; IFERROR(" - " &amp; VLOOKUP(_xlfn.CONCAT($M$4,TRIM(E148)),Data!$BG$3:$BH$108,2,FALSE),"")</f>
        <v>MP - Media Protection</v>
      </c>
      <c r="G148" s="162">
        <f>VLOOKUP("Q" &amp; A148 &amp; "|" &amp; $M$4,Data!$AX$3:$BA$962,4,FALSE)</f>
        <v>1</v>
      </c>
      <c r="H148" s="163" t="str" cm="1">
        <f t="array" aca="1" ref="H148" ca="1">INDIRECT("Q" &amp;A148&amp;"_Score")</f>
        <v/>
      </c>
      <c r="I148" s="167">
        <f t="shared" ca="1" si="13"/>
        <v>0</v>
      </c>
      <c r="J148" s="163">
        <f t="shared" si="14"/>
        <v>1</v>
      </c>
      <c r="K148" s="160"/>
      <c r="L148" s="163" t="str" cm="1">
        <f t="array" ref="L148">_xlfn.IFS(G148&gt;=0.8,"HIGH",G148&gt;=0.6,"MEDIUM",1=1,"LOW")</f>
        <v>HIGH</v>
      </c>
      <c r="N148" s="150"/>
    </row>
    <row r="149" spans="1:14" s="146" customFormat="1" ht="18.75" hidden="1" customHeight="1" x14ac:dyDescent="0.2">
      <c r="A149" s="156">
        <f t="shared" si="15"/>
        <v>87</v>
      </c>
      <c r="B149" s="157" t="str">
        <f>VLOOKUP("Q" &amp;A149,Data!$AP$3:$AT$122,4,FALSE) &amp; " - " &amp; VLOOKUP("Q" &amp;A149,Data!$AP$3:$AT$122,5,FALSE)</f>
        <v>DPE_3 - Data Classification &amp; Handling</v>
      </c>
      <c r="C149" s="161"/>
      <c r="D149" s="159" t="str">
        <f>VLOOKUP("Q" &amp; A149 &amp; "|" &amp; $M$4,Data!$AX$3:$BA$962,2,FALSE)</f>
        <v>MP.L2-3.8.7</v>
      </c>
      <c r="E149" s="159" t="str">
        <f>VLOOKUP(D149,Data!$AY$3:$AZ$962,2,FALSE)</f>
        <v>MP</v>
      </c>
      <c r="F149" s="159" t="str">
        <f>TRIM(E149) &amp; IFERROR(" - " &amp; VLOOKUP(_xlfn.CONCAT($M$4,TRIM(E149)),Data!$BG$3:$BH$108,2,FALSE),"")</f>
        <v>MP - Media Protection</v>
      </c>
      <c r="G149" s="162">
        <f>VLOOKUP("Q" &amp; A149 &amp; "|" &amp; $M$4,Data!$AX$3:$BA$962,4,FALSE)</f>
        <v>0.8</v>
      </c>
      <c r="H149" s="163" t="str" cm="1">
        <f t="array" aca="1" ref="H149" ca="1">INDIRECT("Q" &amp;A149&amp;"_Score")</f>
        <v/>
      </c>
      <c r="I149" s="167">
        <f t="shared" ca="1" si="13"/>
        <v>0</v>
      </c>
      <c r="J149" s="163">
        <f t="shared" si="14"/>
        <v>1</v>
      </c>
      <c r="K149" s="160"/>
      <c r="L149" s="163" t="str" cm="1">
        <f t="array" ref="L149">_xlfn.IFS(G149&gt;=0.8,"HIGH",G149&gt;=0.6,"MEDIUM",1=1,"LOW")</f>
        <v>HIGH</v>
      </c>
      <c r="N149" s="150"/>
    </row>
    <row r="150" spans="1:14" s="146" customFormat="1" ht="18.75" hidden="1" customHeight="1" x14ac:dyDescent="0.2">
      <c r="A150" s="156">
        <f t="shared" si="15"/>
        <v>88</v>
      </c>
      <c r="B150" s="157" t="str">
        <f>VLOOKUP("Q" &amp;A150,Data!$AP$3:$AT$122,4,FALSE) &amp; " - " &amp; VLOOKUP("Q" &amp;A150,Data!$AP$3:$AT$122,5,FALSE)</f>
        <v>DPE_3 - Data Classification &amp; Handling</v>
      </c>
      <c r="C150" s="161"/>
      <c r="D150" s="159" t="str">
        <f>VLOOKUP("Q" &amp; A150 &amp; "|" &amp; $M$4,Data!$AX$3:$BA$962,2,FALSE)</f>
        <v>SC.L2-3.13.2</v>
      </c>
      <c r="E150" s="159" t="str">
        <f>VLOOKUP(D150,Data!$AY$3:$AZ$962,2,FALSE)</f>
        <v>SC</v>
      </c>
      <c r="F150" s="159" t="str">
        <f>TRIM(E150) &amp; IFERROR(" - " &amp; VLOOKUP(_xlfn.CONCAT($M$4,TRIM(E150)),Data!$BG$3:$BH$108,2,FALSE),"")</f>
        <v>SC - System and Communications Protection</v>
      </c>
      <c r="G150" s="162">
        <f>VLOOKUP("Q" &amp; A150 &amp; "|" &amp; $M$4,Data!$AX$3:$BA$962,4,FALSE)</f>
        <v>1</v>
      </c>
      <c r="H150" s="163" t="str" cm="1">
        <f t="array" aca="1" ref="H150" ca="1">INDIRECT("Q" &amp;A150&amp;"_Score")</f>
        <v/>
      </c>
      <c r="I150" s="167">
        <f t="shared" ca="1" si="13"/>
        <v>0</v>
      </c>
      <c r="J150" s="163">
        <f t="shared" si="14"/>
        <v>1</v>
      </c>
      <c r="K150" s="160"/>
      <c r="L150" s="163" t="str" cm="1">
        <f t="array" ref="L150">_xlfn.IFS(G150&gt;=0.8,"HIGH",G150&gt;=0.6,"MEDIUM",1=1,"LOW")</f>
        <v>HIGH</v>
      </c>
      <c r="N150" s="150"/>
    </row>
    <row r="151" spans="1:14" s="146" customFormat="1" ht="18.75" hidden="1" customHeight="1" x14ac:dyDescent="0.2">
      <c r="A151" s="156">
        <f t="shared" si="15"/>
        <v>89</v>
      </c>
      <c r="B151" s="157" t="str">
        <f>VLOOKUP("Q" &amp;A151,Data!$AP$3:$AT$122,4,FALSE) &amp; " - " &amp; VLOOKUP("Q" &amp;A151,Data!$AP$3:$AT$122,5,FALSE)</f>
        <v>DPE_3 - Data Classification &amp; Handling</v>
      </c>
      <c r="C151" s="161"/>
      <c r="D151" s="159" t="str">
        <f>VLOOKUP("Q" &amp; A151 &amp; "|" &amp; $M$4,Data!$AX$3:$BA$962,2,FALSE)</f>
        <v>MP.L2-3.8.1</v>
      </c>
      <c r="E151" s="159" t="str">
        <f>VLOOKUP(D151,Data!$AY$3:$AZ$962,2,FALSE)</f>
        <v>MP</v>
      </c>
      <c r="F151" s="159" t="str">
        <f>TRIM(E151) &amp; IFERROR(" - " &amp; VLOOKUP(_xlfn.CONCAT($M$4,TRIM(E151)),Data!$BG$3:$BH$108,2,FALSE),"")</f>
        <v>MP - Media Protection</v>
      </c>
      <c r="G151" s="162">
        <f>VLOOKUP("Q" &amp; A151 &amp; "|" &amp; $M$4,Data!$AX$3:$BA$962,4,FALSE)</f>
        <v>0.8</v>
      </c>
      <c r="H151" s="163" t="str" cm="1">
        <f t="array" aca="1" ref="H151" ca="1">INDIRECT("Q" &amp;A151&amp;"_Score")</f>
        <v/>
      </c>
      <c r="I151" s="167">
        <f t="shared" ca="1" si="13"/>
        <v>0</v>
      </c>
      <c r="J151" s="163">
        <f t="shared" si="14"/>
        <v>1</v>
      </c>
      <c r="K151" s="160"/>
      <c r="L151" s="163" t="str" cm="1">
        <f t="array" ref="L151">_xlfn.IFS(G151&gt;=0.8,"HIGH",G151&gt;=0.6,"MEDIUM",1=1,"LOW")</f>
        <v>HIGH</v>
      </c>
      <c r="N151" s="150"/>
    </row>
    <row r="152" spans="1:14" s="146" customFormat="1" ht="18.75" hidden="1" customHeight="1" x14ac:dyDescent="0.2">
      <c r="A152" s="156">
        <f t="shared" si="15"/>
        <v>90</v>
      </c>
      <c r="B152" s="157" t="str">
        <f>VLOOKUP("Q" &amp;A152,Data!$AP$3:$AT$122,4,FALSE) &amp; " - " &amp; VLOOKUP("Q" &amp;A152,Data!$AP$3:$AT$122,5,FALSE)</f>
        <v>DPE_3 - Data Classification &amp; Handling</v>
      </c>
      <c r="C152" s="161"/>
      <c r="D152" s="159" t="str">
        <f>VLOOKUP("Q" &amp; A152 &amp; "|" &amp; $M$4,Data!$AX$3:$BA$962,2,FALSE)</f>
        <v>MP.L2-3.8.7</v>
      </c>
      <c r="E152" s="159" t="str">
        <f>VLOOKUP(D152,Data!$AY$3:$AZ$962,2,FALSE)</f>
        <v>MP</v>
      </c>
      <c r="F152" s="159" t="str">
        <f>TRIM(E152) &amp; IFERROR(" - " &amp; VLOOKUP(_xlfn.CONCAT($M$4,TRIM(E152)),Data!$BG$3:$BH$108,2,FALSE),"")</f>
        <v>MP - Media Protection</v>
      </c>
      <c r="G152" s="162">
        <f>VLOOKUP("Q" &amp; A152 &amp; "|" &amp; $M$4,Data!$AX$3:$BA$962,4,FALSE)</f>
        <v>0.8</v>
      </c>
      <c r="H152" s="163" t="str" cm="1">
        <f t="array" aca="1" ref="H152" ca="1">INDIRECT("Q" &amp;A152&amp;"_Score")</f>
        <v/>
      </c>
      <c r="I152" s="167">
        <f t="shared" ca="1" si="13"/>
        <v>0</v>
      </c>
      <c r="J152" s="163">
        <f t="shared" si="14"/>
        <v>1</v>
      </c>
      <c r="K152" s="160"/>
      <c r="L152" s="163" t="str" cm="1">
        <f t="array" ref="L152">_xlfn.IFS(G152&gt;=0.8,"HIGH",G152&gt;=0.6,"MEDIUM",1=1,"LOW")</f>
        <v>HIGH</v>
      </c>
      <c r="N152" s="150"/>
    </row>
    <row r="153" spans="1:14" s="146" customFormat="1" ht="18.75" hidden="1" customHeight="1" x14ac:dyDescent="0.2">
      <c r="A153" s="156">
        <f t="shared" si="15"/>
        <v>91</v>
      </c>
      <c r="B153" s="157" t="str">
        <f>VLOOKUP("Q" &amp;A153,Data!$AP$3:$AT$122,4,FALSE) &amp; " - " &amp; VLOOKUP("Q" &amp;A153,Data!$AP$3:$AT$122,5,FALSE)</f>
        <v>ITR_1 - Network Security Architecture</v>
      </c>
      <c r="C153" s="161"/>
      <c r="D153" s="159" t="str">
        <f>VLOOKUP("Q" &amp; A153 &amp; "|" &amp; $M$4,Data!$AX$3:$BA$962,2,FALSE)</f>
        <v>SC.L2-3.13.5</v>
      </c>
      <c r="E153" s="159" t="str">
        <f>VLOOKUP(D153,Data!$AY$3:$AZ$962,2,FALSE)</f>
        <v>SC</v>
      </c>
      <c r="F153" s="159" t="str">
        <f>TRIM(E153) &amp; IFERROR(" - " &amp; VLOOKUP(_xlfn.CONCAT($M$4,TRIM(E153)),Data!$BG$3:$BH$108,2,FALSE),"")</f>
        <v>SC - System and Communications Protection</v>
      </c>
      <c r="G153" s="162">
        <f>VLOOKUP("Q" &amp; A153 &amp; "|" &amp; $M$4,Data!$AX$3:$BA$962,4,FALSE)</f>
        <v>1</v>
      </c>
      <c r="H153" s="163" t="str" cm="1">
        <f t="array" aca="1" ref="H153" ca="1">INDIRECT("Q" &amp;A153&amp;"_Score")</f>
        <v/>
      </c>
      <c r="I153" s="167">
        <f t="shared" ca="1" si="13"/>
        <v>0</v>
      </c>
      <c r="J153" s="163">
        <f t="shared" si="14"/>
        <v>1</v>
      </c>
      <c r="K153" s="160"/>
      <c r="L153" s="163" t="str" cm="1">
        <f t="array" ref="L153">_xlfn.IFS(G153&gt;=0.8,"HIGH",G153&gt;=0.6,"MEDIUM",1=1,"LOW")</f>
        <v>HIGH</v>
      </c>
      <c r="N153" s="150"/>
    </row>
    <row r="154" spans="1:14" s="146" customFormat="1" ht="18.75" hidden="1" customHeight="1" x14ac:dyDescent="0.2">
      <c r="A154" s="156">
        <f t="shared" si="15"/>
        <v>92</v>
      </c>
      <c r="B154" s="157" t="str">
        <f>VLOOKUP("Q" &amp;A154,Data!$AP$3:$AT$122,4,FALSE) &amp; " - " &amp; VLOOKUP("Q" &amp;A154,Data!$AP$3:$AT$122,5,FALSE)</f>
        <v>ITR_1 - Network Security Architecture</v>
      </c>
      <c r="C154" s="161"/>
      <c r="D154" s="159" t="str">
        <f>VLOOKUP("Q" &amp; A154 &amp; "|" &amp; $M$4,Data!$AX$3:$BA$962,2,FALSE)</f>
        <v>-</v>
      </c>
      <c r="E154" s="159" t="str">
        <f>VLOOKUP(D154,Data!$AY$3:$AZ$962,2,FALSE)</f>
        <v>-</v>
      </c>
      <c r="F154" s="159" t="str">
        <f>TRIM(E154) &amp; IFERROR(" - " &amp; VLOOKUP(_xlfn.CONCAT($M$4,TRIM(E154)),Data!$BG$3:$BH$108,2,FALSE),"")</f>
        <v>-</v>
      </c>
      <c r="G154" s="162">
        <f>VLOOKUP("Q" &amp; A154 &amp; "|" &amp; $M$4,Data!$AX$3:$BA$962,4,FALSE)</f>
        <v>0</v>
      </c>
      <c r="H154" s="163" t="str" cm="1">
        <f t="array" aca="1" ref="H154" ca="1">INDIRECT("Q" &amp;A154&amp;"_Score")</f>
        <v/>
      </c>
      <c r="I154" s="167">
        <f t="shared" ca="1" si="13"/>
        <v>0</v>
      </c>
      <c r="J154" s="163">
        <f t="shared" si="14"/>
        <v>0</v>
      </c>
      <c r="K154" s="160"/>
      <c r="L154" s="163" t="str" cm="1">
        <f t="array" ref="L154">_xlfn.IFS(G154&gt;=0.8,"HIGH",G154&gt;=0.6,"MEDIUM",1=1,"LOW")</f>
        <v>LOW</v>
      </c>
      <c r="N154" s="150"/>
    </row>
    <row r="155" spans="1:14" s="146" customFormat="1" ht="18.75" hidden="1" customHeight="1" x14ac:dyDescent="0.2">
      <c r="A155" s="156">
        <f t="shared" si="15"/>
        <v>93</v>
      </c>
      <c r="B155" s="157" t="str">
        <f>VLOOKUP("Q" &amp;A155,Data!$AP$3:$AT$122,4,FALSE) &amp; " - " &amp; VLOOKUP("Q" &amp;A155,Data!$AP$3:$AT$122,5,FALSE)</f>
        <v>ITR_1 - Network Security Architecture</v>
      </c>
      <c r="C155" s="161"/>
      <c r="D155" s="159" t="str">
        <f>VLOOKUP("Q" &amp; A155 &amp; "|" &amp; $M$4,Data!$AX$3:$BA$962,2,FALSE)</f>
        <v>-</v>
      </c>
      <c r="E155" s="159" t="str">
        <f>VLOOKUP(D155,Data!$AY$3:$AZ$962,2,FALSE)</f>
        <v>-</v>
      </c>
      <c r="F155" s="159" t="str">
        <f>TRIM(E155) &amp; IFERROR(" - " &amp; VLOOKUP(_xlfn.CONCAT($M$4,TRIM(E155)),Data!$BG$3:$BH$108,2,FALSE),"")</f>
        <v>-</v>
      </c>
      <c r="G155" s="162">
        <f>VLOOKUP("Q" &amp; A155 &amp; "|" &amp; $M$4,Data!$AX$3:$BA$962,4,FALSE)</f>
        <v>0</v>
      </c>
      <c r="H155" s="163" t="str" cm="1">
        <f t="array" aca="1" ref="H155" ca="1">INDIRECT("Q" &amp;A155&amp;"_Score")</f>
        <v/>
      </c>
      <c r="I155" s="167">
        <f t="shared" ca="1" si="13"/>
        <v>0</v>
      </c>
      <c r="J155" s="163">
        <f t="shared" si="14"/>
        <v>0</v>
      </c>
      <c r="K155" s="160"/>
      <c r="L155" s="163" t="str" cm="1">
        <f t="array" ref="L155">_xlfn.IFS(G155&gt;=0.8,"HIGH",G155&gt;=0.6,"MEDIUM",1=1,"LOW")</f>
        <v>LOW</v>
      </c>
      <c r="N155" s="150"/>
    </row>
    <row r="156" spans="1:14" s="146" customFormat="1" ht="18.75" hidden="1" customHeight="1" x14ac:dyDescent="0.2">
      <c r="A156" s="156">
        <f t="shared" si="15"/>
        <v>94</v>
      </c>
      <c r="B156" s="157" t="str">
        <f>VLOOKUP("Q" &amp;A156,Data!$AP$3:$AT$122,4,FALSE) &amp; " - " &amp; VLOOKUP("Q" &amp;A156,Data!$AP$3:$AT$122,5,FALSE)</f>
        <v>ITR_1 - Network Security Architecture</v>
      </c>
      <c r="C156" s="161"/>
      <c r="D156" s="159" t="str">
        <f>VLOOKUP("Q" &amp; A156 &amp; "|" &amp; $M$4,Data!$AX$3:$BA$962,2,FALSE)</f>
        <v>AU.L2-3.3.1</v>
      </c>
      <c r="E156" s="159" t="str">
        <f>VLOOKUP(D156,Data!$AY$3:$AZ$962,2,FALSE)</f>
        <v>AU</v>
      </c>
      <c r="F156" s="159" t="str">
        <f>TRIM(E156) &amp; IFERROR(" - " &amp; VLOOKUP(_xlfn.CONCAT($M$4,TRIM(E156)),Data!$BG$3:$BH$108,2,FALSE),"")</f>
        <v>AU - Audit and Accountability</v>
      </c>
      <c r="G156" s="162">
        <f>VLOOKUP("Q" &amp; A156 &amp; "|" &amp; $M$4,Data!$AX$3:$BA$962,4,FALSE)</f>
        <v>1</v>
      </c>
      <c r="H156" s="163" t="str" cm="1">
        <f t="array" aca="1" ref="H156" ca="1">INDIRECT("Q" &amp;A156&amp;"_Score")</f>
        <v/>
      </c>
      <c r="I156" s="167">
        <f t="shared" ca="1" si="13"/>
        <v>0</v>
      </c>
      <c r="J156" s="163">
        <f t="shared" si="14"/>
        <v>1</v>
      </c>
      <c r="K156" s="160"/>
      <c r="L156" s="163" t="str" cm="1">
        <f t="array" ref="L156">_xlfn.IFS(G156&gt;=0.8,"HIGH",G156&gt;=0.6,"MEDIUM",1=1,"LOW")</f>
        <v>HIGH</v>
      </c>
      <c r="N156" s="150"/>
    </row>
    <row r="157" spans="1:14" s="146" customFormat="1" ht="18.75" hidden="1" customHeight="1" x14ac:dyDescent="0.2">
      <c r="A157" s="156">
        <f t="shared" si="15"/>
        <v>95</v>
      </c>
      <c r="B157" s="157" t="str">
        <f>VLOOKUP("Q" &amp;A157,Data!$AP$3:$AT$122,4,FALSE) &amp; " - " &amp; VLOOKUP("Q" &amp;A157,Data!$AP$3:$AT$122,5,FALSE)</f>
        <v>ITR_1 - Network Security Architecture</v>
      </c>
      <c r="C157" s="161"/>
      <c r="D157" s="159" t="str">
        <f>VLOOKUP("Q" &amp; A157 &amp; "|" &amp; $M$4,Data!$AX$3:$BA$962,2,FALSE)</f>
        <v>SC.L1-b.1.x</v>
      </c>
      <c r="E157" s="159" t="str">
        <f>VLOOKUP(D157,Data!$AY$3:$AZ$962,2,FALSE)</f>
        <v>SC</v>
      </c>
      <c r="F157" s="159" t="str">
        <f>TRIM(E157) &amp; IFERROR(" - " &amp; VLOOKUP(_xlfn.CONCAT($M$4,TRIM(E157)),Data!$BG$3:$BH$108,2,FALSE),"")</f>
        <v>SC - System and Communications Protection</v>
      </c>
      <c r="G157" s="162">
        <f>VLOOKUP("Q" &amp; A157 &amp; "|" &amp; $M$4,Data!$AX$3:$BA$962,4,FALSE)</f>
        <v>1</v>
      </c>
      <c r="H157" s="163" t="str" cm="1">
        <f t="array" aca="1" ref="H157" ca="1">INDIRECT("Q" &amp;A157&amp;"_Score")</f>
        <v/>
      </c>
      <c r="I157" s="167">
        <f t="shared" ca="1" si="13"/>
        <v>0</v>
      </c>
      <c r="J157" s="163">
        <f t="shared" si="14"/>
        <v>1</v>
      </c>
      <c r="K157" s="160"/>
      <c r="L157" s="163" t="str" cm="1">
        <f t="array" ref="L157">_xlfn.IFS(G157&gt;=0.8,"HIGH",G157&gt;=0.6,"MEDIUM",1=1,"LOW")</f>
        <v>HIGH</v>
      </c>
      <c r="N157" s="150"/>
    </row>
    <row r="158" spans="1:14" s="146" customFormat="1" ht="18.75" hidden="1" customHeight="1" x14ac:dyDescent="0.2">
      <c r="A158" s="156">
        <f t="shared" si="15"/>
        <v>96</v>
      </c>
      <c r="B158" s="157" t="str">
        <f>VLOOKUP("Q" &amp;A158,Data!$AP$3:$AT$122,4,FALSE) &amp; " - " &amp; VLOOKUP("Q" &amp;A158,Data!$AP$3:$AT$122,5,FALSE)</f>
        <v>ITR_1 - Network Security Architecture</v>
      </c>
      <c r="C158" s="161"/>
      <c r="D158" s="159" t="str">
        <f>VLOOKUP("Q" &amp; A158 &amp; "|" &amp; $M$4,Data!$AX$3:$BA$962,2,FALSE)</f>
        <v>SI.L2-3.14.6</v>
      </c>
      <c r="E158" s="159" t="str">
        <f>VLOOKUP(D158,Data!$AY$3:$AZ$962,2,FALSE)</f>
        <v>SI</v>
      </c>
      <c r="F158" s="159" t="str">
        <f>TRIM(E158) &amp; IFERROR(" - " &amp; VLOOKUP(_xlfn.CONCAT($M$4,TRIM(E158)),Data!$BG$3:$BH$108,2,FALSE),"")</f>
        <v>SI - System and Information Integrity</v>
      </c>
      <c r="G158" s="162">
        <f>VLOOKUP("Q" &amp; A158 &amp; "|" &amp; $M$4,Data!$AX$3:$BA$962,4,FALSE)</f>
        <v>1</v>
      </c>
      <c r="H158" s="163" t="str" cm="1">
        <f t="array" aca="1" ref="H158" ca="1">INDIRECT("Q" &amp;A158&amp;"_Score")</f>
        <v/>
      </c>
      <c r="I158" s="167">
        <f t="shared" ca="1" si="13"/>
        <v>0</v>
      </c>
      <c r="J158" s="163">
        <f t="shared" si="14"/>
        <v>1</v>
      </c>
      <c r="K158" s="160"/>
      <c r="L158" s="163" t="str" cm="1">
        <f t="array" ref="L158">_xlfn.IFS(G158&gt;=0.8,"HIGH",G158&gt;=0.6,"MEDIUM",1=1,"LOW")</f>
        <v>HIGH</v>
      </c>
      <c r="N158" s="150"/>
    </row>
    <row r="159" spans="1:14" s="146" customFormat="1" ht="18.75" hidden="1" customHeight="1" x14ac:dyDescent="0.2">
      <c r="A159" s="156">
        <f t="shared" si="15"/>
        <v>97</v>
      </c>
      <c r="B159" s="157" t="str">
        <f>VLOOKUP("Q" &amp;A159,Data!$AP$3:$AT$122,4,FALSE) &amp; " - " &amp; VLOOKUP("Q" &amp;A159,Data!$AP$3:$AT$122,5,FALSE)</f>
        <v>ITR_1 - Network Security Architecture</v>
      </c>
      <c r="C159" s="161"/>
      <c r="D159" s="159" t="str">
        <f>VLOOKUP("Q" &amp; A159 &amp; "|" &amp; $M$4,Data!$AX$3:$BA$962,2,FALSE)</f>
        <v>AC.L2-3.1.12</v>
      </c>
      <c r="E159" s="159" t="str">
        <f>VLOOKUP(D159,Data!$AY$3:$AZ$962,2,FALSE)</f>
        <v>AC</v>
      </c>
      <c r="F159" s="159" t="str">
        <f>TRIM(E159) &amp; IFERROR(" - " &amp; VLOOKUP(_xlfn.CONCAT($M$4,TRIM(E159)),Data!$BG$3:$BH$108,2,FALSE),"")</f>
        <v>AC - Access Control</v>
      </c>
      <c r="G159" s="162">
        <f>VLOOKUP("Q" &amp; A159 &amp; "|" &amp; $M$4,Data!$AX$3:$BA$962,4,FALSE)</f>
        <v>1</v>
      </c>
      <c r="H159" s="163" t="str" cm="1">
        <f t="array" aca="1" ref="H159" ca="1">INDIRECT("Q" &amp;A159&amp;"_Score")</f>
        <v/>
      </c>
      <c r="I159" s="167">
        <f t="shared" ref="I159:I182" ca="1" si="16">IFERROR(H159*G159,0)</f>
        <v>0</v>
      </c>
      <c r="J159" s="163">
        <f t="shared" ref="J159:J182" si="17">IF(G159&gt;0,1,0)</f>
        <v>1</v>
      </c>
      <c r="K159" s="160"/>
      <c r="L159" s="163" t="str" cm="1">
        <f t="array" ref="L159">_xlfn.IFS(G159&gt;=0.8,"HIGH",G159&gt;=0.6,"MEDIUM",1=1,"LOW")</f>
        <v>HIGH</v>
      </c>
      <c r="N159" s="150"/>
    </row>
    <row r="160" spans="1:14" s="146" customFormat="1" ht="18.75" hidden="1" customHeight="1" x14ac:dyDescent="0.2">
      <c r="A160" s="156">
        <f t="shared" si="15"/>
        <v>98</v>
      </c>
      <c r="B160" s="157" t="str">
        <f>VLOOKUP("Q" &amp;A160,Data!$AP$3:$AT$122,4,FALSE) &amp; " - " &amp; VLOOKUP("Q" &amp;A160,Data!$AP$3:$AT$122,5,FALSE)</f>
        <v>ITR_1 - Network Security Architecture</v>
      </c>
      <c r="C160" s="161"/>
      <c r="D160" s="159" t="str">
        <f>VLOOKUP("Q" &amp; A160 &amp; "|" &amp; $M$4,Data!$AX$3:$BA$962,2,FALSE)</f>
        <v>SC.L2-3.13.5</v>
      </c>
      <c r="E160" s="159" t="str">
        <f>VLOOKUP(D160,Data!$AY$3:$AZ$962,2,FALSE)</f>
        <v>SC</v>
      </c>
      <c r="F160" s="159" t="str">
        <f>TRIM(E160) &amp; IFERROR(" - " &amp; VLOOKUP(_xlfn.CONCAT($M$4,TRIM(E160)),Data!$BG$3:$BH$108,2,FALSE),"")</f>
        <v>SC - System and Communications Protection</v>
      </c>
      <c r="G160" s="162">
        <f>VLOOKUP("Q" &amp; A160 &amp; "|" &amp; $M$4,Data!$AX$3:$BA$962,4,FALSE)</f>
        <v>0.8</v>
      </c>
      <c r="H160" s="163" t="str" cm="1">
        <f t="array" aca="1" ref="H160" ca="1">INDIRECT("Q" &amp;A160&amp;"_Score")</f>
        <v/>
      </c>
      <c r="I160" s="167">
        <f t="shared" ca="1" si="16"/>
        <v>0</v>
      </c>
      <c r="J160" s="163">
        <f t="shared" si="17"/>
        <v>1</v>
      </c>
      <c r="K160" s="160"/>
      <c r="L160" s="163" t="str" cm="1">
        <f t="array" ref="L160">_xlfn.IFS(G160&gt;=0.8,"HIGH",G160&gt;=0.6,"MEDIUM",1=1,"LOW")</f>
        <v>HIGH</v>
      </c>
      <c r="N160" s="150"/>
    </row>
    <row r="161" spans="1:14" s="146" customFormat="1" ht="18.75" hidden="1" customHeight="1" x14ac:dyDescent="0.2">
      <c r="A161" s="156">
        <f t="shared" si="15"/>
        <v>99</v>
      </c>
      <c r="B161" s="157" t="str">
        <f>VLOOKUP("Q" &amp;A161,Data!$AP$3:$AT$122,4,FALSE) &amp; " - " &amp; VLOOKUP("Q" &amp;A161,Data!$AP$3:$AT$122,5,FALSE)</f>
        <v>ITR_1 - Network Security Architecture</v>
      </c>
      <c r="C161" s="161"/>
      <c r="D161" s="159" t="str">
        <f>VLOOKUP("Q" &amp; A161 &amp; "|" &amp; $M$4,Data!$AX$3:$BA$962,2,FALSE)</f>
        <v>-</v>
      </c>
      <c r="E161" s="159" t="str">
        <f>VLOOKUP(D161,Data!$AY$3:$AZ$962,2,FALSE)</f>
        <v>-</v>
      </c>
      <c r="F161" s="159" t="str">
        <f>TRIM(E161) &amp; IFERROR(" - " &amp; VLOOKUP(_xlfn.CONCAT($M$4,TRIM(E161)),Data!$BG$3:$BH$108,2,FALSE),"")</f>
        <v>-</v>
      </c>
      <c r="G161" s="162">
        <f>VLOOKUP("Q" &amp; A161 &amp; "|" &amp; $M$4,Data!$AX$3:$BA$962,4,FALSE)</f>
        <v>0</v>
      </c>
      <c r="H161" s="163" t="str" cm="1">
        <f t="array" aca="1" ref="H161" ca="1">INDIRECT("Q" &amp;A161&amp;"_Score")</f>
        <v/>
      </c>
      <c r="I161" s="167">
        <f t="shared" ca="1" si="16"/>
        <v>0</v>
      </c>
      <c r="J161" s="163">
        <f t="shared" si="17"/>
        <v>0</v>
      </c>
      <c r="K161" s="160"/>
      <c r="L161" s="163" t="str" cm="1">
        <f t="array" ref="L161">_xlfn.IFS(G161&gt;=0.8,"HIGH",G161&gt;=0.6,"MEDIUM",1=1,"LOW")</f>
        <v>LOW</v>
      </c>
      <c r="N161" s="150"/>
    </row>
    <row r="162" spans="1:14" s="146" customFormat="1" ht="18.75" hidden="1" customHeight="1" x14ac:dyDescent="0.2">
      <c r="A162" s="156">
        <f t="shared" si="15"/>
        <v>100</v>
      </c>
      <c r="B162" s="157" t="str">
        <f>VLOOKUP("Q" &amp;A162,Data!$AP$3:$AT$122,4,FALSE) &amp; " - " &amp; VLOOKUP("Q" &amp;A162,Data!$AP$3:$AT$122,5,FALSE)</f>
        <v>ITR_1 - Network Security Architecture</v>
      </c>
      <c r="C162" s="161"/>
      <c r="D162" s="159" t="str">
        <f>VLOOKUP("Q" &amp; A162 &amp; "|" &amp; $M$4,Data!$AX$3:$BA$962,2,FALSE)</f>
        <v>AC.L1-b.1.i</v>
      </c>
      <c r="E162" s="159" t="str">
        <f>VLOOKUP(D162,Data!$AY$3:$AZ$962,2,FALSE)</f>
        <v>AC</v>
      </c>
      <c r="F162" s="159" t="str">
        <f>TRIM(E162) &amp; IFERROR(" - " &amp; VLOOKUP(_xlfn.CONCAT($M$4,TRIM(E162)),Data!$BG$3:$BH$108,2,FALSE),"")</f>
        <v>AC - Access Control</v>
      </c>
      <c r="G162" s="162">
        <f>VLOOKUP("Q" &amp; A162 &amp; "|" &amp; $M$4,Data!$AX$3:$BA$962,4,FALSE)</f>
        <v>1</v>
      </c>
      <c r="H162" s="163" t="str" cm="1">
        <f t="array" aca="1" ref="H162" ca="1">INDIRECT("Q" &amp;A162&amp;"_Score")</f>
        <v/>
      </c>
      <c r="I162" s="167">
        <f t="shared" ca="1" si="16"/>
        <v>0</v>
      </c>
      <c r="J162" s="163">
        <f t="shared" si="17"/>
        <v>1</v>
      </c>
      <c r="K162" s="160"/>
      <c r="L162" s="163" t="str" cm="1">
        <f t="array" ref="L162">_xlfn.IFS(G162&gt;=0.8,"HIGH",G162&gt;=0.6,"MEDIUM",1=1,"LOW")</f>
        <v>HIGH</v>
      </c>
      <c r="N162" s="150"/>
    </row>
    <row r="163" spans="1:14" s="146" customFormat="1" ht="18.75" hidden="1" customHeight="1" x14ac:dyDescent="0.2">
      <c r="A163" s="156">
        <f t="shared" si="15"/>
        <v>101</v>
      </c>
      <c r="B163" s="157" t="str">
        <f>VLOOKUP("Q" &amp;A163,Data!$AP$3:$AT$122,4,FALSE) &amp; " - " &amp; VLOOKUP("Q" &amp;A163,Data!$AP$3:$AT$122,5,FALSE)</f>
        <v>ITR_2 - System Hardening &amp; Updates</v>
      </c>
      <c r="C163" s="161"/>
      <c r="D163" s="159" t="str">
        <f>VLOOKUP("Q" &amp; A163 &amp; "|" &amp; $M$4,Data!$AX$3:$BA$962,2,FALSE)</f>
        <v>CM.L2-3.4.1</v>
      </c>
      <c r="E163" s="159" t="str">
        <f>VLOOKUP(D163,Data!$AY$3:$AZ$962,2,FALSE)</f>
        <v>CM</v>
      </c>
      <c r="F163" s="159" t="str">
        <f>TRIM(E163) &amp; IFERROR(" - " &amp; VLOOKUP(_xlfn.CONCAT($M$4,TRIM(E163)),Data!$BG$3:$BH$108,2,FALSE),"")</f>
        <v>CM - Configuration Management</v>
      </c>
      <c r="G163" s="162">
        <f>VLOOKUP("Q" &amp; A163 &amp; "|" &amp; $M$4,Data!$AX$3:$BA$962,4,FALSE)</f>
        <v>1</v>
      </c>
      <c r="H163" s="163" t="str" cm="1">
        <f t="array" aca="1" ref="H163" ca="1">INDIRECT("Q" &amp;A163&amp;"_Score")</f>
        <v/>
      </c>
      <c r="I163" s="167">
        <f t="shared" ca="1" si="16"/>
        <v>0</v>
      </c>
      <c r="J163" s="163">
        <f t="shared" si="17"/>
        <v>1</v>
      </c>
      <c r="K163" s="160"/>
      <c r="L163" s="163" t="str" cm="1">
        <f t="array" ref="L163">_xlfn.IFS(G163&gt;=0.8,"HIGH",G163&gt;=0.6,"MEDIUM",1=1,"LOW")</f>
        <v>HIGH</v>
      </c>
      <c r="N163" s="150"/>
    </row>
    <row r="164" spans="1:14" s="146" customFormat="1" ht="18.75" hidden="1" customHeight="1" x14ac:dyDescent="0.2">
      <c r="A164" s="156">
        <f t="shared" si="15"/>
        <v>102</v>
      </c>
      <c r="B164" s="157" t="str">
        <f>VLOOKUP("Q" &amp;A164,Data!$AP$3:$AT$122,4,FALSE) &amp; " - " &amp; VLOOKUP("Q" &amp;A164,Data!$AP$3:$AT$122,5,FALSE)</f>
        <v>ITR_2 - System Hardening &amp; Updates</v>
      </c>
      <c r="C164" s="161"/>
      <c r="D164" s="159" t="str">
        <f>VLOOKUP("Q" &amp; A164 &amp; "|" &amp; $M$4,Data!$AX$3:$BA$962,2,FALSE)</f>
        <v>CM.L2-3.4.1</v>
      </c>
      <c r="E164" s="159" t="str">
        <f>VLOOKUP(D164,Data!$AY$3:$AZ$962,2,FALSE)</f>
        <v>CM</v>
      </c>
      <c r="F164" s="159" t="str">
        <f>TRIM(E164) &amp; IFERROR(" - " &amp; VLOOKUP(_xlfn.CONCAT($M$4,TRIM(E164)),Data!$BG$3:$BH$108,2,FALSE),"")</f>
        <v>CM - Configuration Management</v>
      </c>
      <c r="G164" s="162">
        <f>VLOOKUP("Q" &amp; A164 &amp; "|" &amp; $M$4,Data!$AX$3:$BA$962,4,FALSE)</f>
        <v>1</v>
      </c>
      <c r="H164" s="163" t="str" cm="1">
        <f t="array" aca="1" ref="H164" ca="1">INDIRECT("Q" &amp;A164&amp;"_Score")</f>
        <v/>
      </c>
      <c r="I164" s="167">
        <f t="shared" ca="1" si="16"/>
        <v>0</v>
      </c>
      <c r="J164" s="163">
        <f t="shared" si="17"/>
        <v>1</v>
      </c>
      <c r="K164" s="160"/>
      <c r="L164" s="163" t="str" cm="1">
        <f t="array" ref="L164">_xlfn.IFS(G164&gt;=0.8,"HIGH",G164&gt;=0.6,"MEDIUM",1=1,"LOW")</f>
        <v>HIGH</v>
      </c>
      <c r="N164" s="150"/>
    </row>
    <row r="165" spans="1:14" s="146" customFormat="1" ht="18.75" hidden="1" customHeight="1" x14ac:dyDescent="0.2">
      <c r="A165" s="156">
        <f t="shared" si="15"/>
        <v>103</v>
      </c>
      <c r="B165" s="157" t="str">
        <f>VLOOKUP("Q" &amp;A165,Data!$AP$3:$AT$122,4,FALSE) &amp; " - " &amp; VLOOKUP("Q" &amp;A165,Data!$AP$3:$AT$122,5,FALSE)</f>
        <v>ITR_2 - System Hardening &amp; Updates</v>
      </c>
      <c r="C165" s="161"/>
      <c r="D165" s="159" t="str">
        <f>VLOOKUP("Q" &amp; A165 &amp; "|" &amp; $M$4,Data!$AX$3:$BA$962,2,FALSE)</f>
        <v>SI.L1-b.1.xii</v>
      </c>
      <c r="E165" s="159" t="str">
        <f>VLOOKUP(D165,Data!$AY$3:$AZ$962,2,FALSE)</f>
        <v>SI</v>
      </c>
      <c r="F165" s="159" t="str">
        <f>TRIM(E165) &amp; IFERROR(" - " &amp; VLOOKUP(_xlfn.CONCAT($M$4,TRIM(E165)),Data!$BG$3:$BH$108,2,FALSE),"")</f>
        <v>SI - System and Information Integrity</v>
      </c>
      <c r="G165" s="162">
        <f>VLOOKUP("Q" &amp; A165 &amp; "|" &amp; $M$4,Data!$AX$3:$BA$962,4,FALSE)</f>
        <v>1</v>
      </c>
      <c r="H165" s="163" t="str" cm="1">
        <f t="array" aca="1" ref="H165" ca="1">INDIRECT("Q" &amp;A165&amp;"_Score")</f>
        <v/>
      </c>
      <c r="I165" s="167">
        <f t="shared" ca="1" si="16"/>
        <v>0</v>
      </c>
      <c r="J165" s="163">
        <f t="shared" si="17"/>
        <v>1</v>
      </c>
      <c r="K165" s="160"/>
      <c r="L165" s="163" t="str" cm="1">
        <f t="array" ref="L165">_xlfn.IFS(G165&gt;=0.8,"HIGH",G165&gt;=0.6,"MEDIUM",1=1,"LOW")</f>
        <v>HIGH</v>
      </c>
      <c r="N165" s="150"/>
    </row>
    <row r="166" spans="1:14" s="146" customFormat="1" ht="18.75" hidden="1" customHeight="1" x14ac:dyDescent="0.2">
      <c r="A166" s="156">
        <f t="shared" si="15"/>
        <v>104</v>
      </c>
      <c r="B166" s="157" t="str">
        <f>VLOOKUP("Q" &amp;A166,Data!$AP$3:$AT$122,4,FALSE) &amp; " - " &amp; VLOOKUP("Q" &amp;A166,Data!$AP$3:$AT$122,5,FALSE)</f>
        <v>ITR_2 - System Hardening &amp; Updates</v>
      </c>
      <c r="C166" s="161"/>
      <c r="D166" s="159" t="str">
        <f>VLOOKUP("Q" &amp; A166 &amp; "|" &amp; $M$4,Data!$AX$3:$BA$962,2,FALSE)</f>
        <v>SI.L2-3.14.2</v>
      </c>
      <c r="E166" s="159" t="str">
        <f>VLOOKUP(D166,Data!$AY$3:$AZ$962,2,FALSE)</f>
        <v>SI</v>
      </c>
      <c r="F166" s="159" t="str">
        <f>TRIM(E166) &amp; IFERROR(" - " &amp; VLOOKUP(_xlfn.CONCAT($M$4,TRIM(E166)),Data!$BG$3:$BH$108,2,FALSE),"")</f>
        <v>SI - System and Information Integrity</v>
      </c>
      <c r="G166" s="162">
        <f>VLOOKUP("Q" &amp; A166 &amp; "|" &amp; $M$4,Data!$AX$3:$BA$962,4,FALSE)</f>
        <v>1</v>
      </c>
      <c r="H166" s="163" t="str" cm="1">
        <f t="array" aca="1" ref="H166" ca="1">INDIRECT("Q" &amp;A166&amp;"_Score")</f>
        <v/>
      </c>
      <c r="I166" s="167">
        <f t="shared" ca="1" si="16"/>
        <v>0</v>
      </c>
      <c r="J166" s="163">
        <f t="shared" si="17"/>
        <v>1</v>
      </c>
      <c r="K166" s="160"/>
      <c r="L166" s="163" t="str" cm="1">
        <f t="array" ref="L166">_xlfn.IFS(G166&gt;=0.8,"HIGH",G166&gt;=0.6,"MEDIUM",1=1,"LOW")</f>
        <v>HIGH</v>
      </c>
      <c r="N166" s="150"/>
    </row>
    <row r="167" spans="1:14" s="146" customFormat="1" ht="18.75" hidden="1" customHeight="1" x14ac:dyDescent="0.2">
      <c r="A167" s="156">
        <f t="shared" si="15"/>
        <v>105</v>
      </c>
      <c r="B167" s="157" t="str">
        <f>VLOOKUP("Q" &amp;A167,Data!$AP$3:$AT$122,4,FALSE) &amp; " - " &amp; VLOOKUP("Q" &amp;A167,Data!$AP$3:$AT$122,5,FALSE)</f>
        <v>ITR_2 - System Hardening &amp; Updates</v>
      </c>
      <c r="C167" s="161"/>
      <c r="D167" s="159" t="str">
        <f>VLOOKUP("Q" &amp; A167 &amp; "|" &amp; $M$4,Data!$AX$3:$BA$962,2,FALSE)</f>
        <v>CM.L2-3.4.2</v>
      </c>
      <c r="E167" s="159" t="str">
        <f>VLOOKUP(D167,Data!$AY$3:$AZ$962,2,FALSE)</f>
        <v>CM</v>
      </c>
      <c r="F167" s="159" t="str">
        <f>TRIM(E167) &amp; IFERROR(" - " &amp; VLOOKUP(_xlfn.CONCAT($M$4,TRIM(E167)),Data!$BG$3:$BH$108,2,FALSE),"")</f>
        <v>CM - Configuration Management</v>
      </c>
      <c r="G167" s="162">
        <f>VLOOKUP("Q" &amp; A167 &amp; "|" &amp; $M$4,Data!$AX$3:$BA$962,4,FALSE)</f>
        <v>1</v>
      </c>
      <c r="H167" s="163" t="str" cm="1">
        <f t="array" aca="1" ref="H167" ca="1">INDIRECT("Q" &amp;A167&amp;"_Score")</f>
        <v/>
      </c>
      <c r="I167" s="167">
        <f t="shared" ca="1" si="16"/>
        <v>0</v>
      </c>
      <c r="J167" s="163">
        <f t="shared" si="17"/>
        <v>1</v>
      </c>
      <c r="K167" s="160"/>
      <c r="L167" s="163" t="str" cm="1">
        <f t="array" ref="L167">_xlfn.IFS(G167&gt;=0.8,"HIGH",G167&gt;=0.6,"MEDIUM",1=1,"LOW")</f>
        <v>HIGH</v>
      </c>
      <c r="N167" s="150"/>
    </row>
    <row r="168" spans="1:14" s="146" customFormat="1" ht="18.75" hidden="1" customHeight="1" x14ac:dyDescent="0.2">
      <c r="A168" s="156">
        <f t="shared" si="15"/>
        <v>106</v>
      </c>
      <c r="B168" s="157" t="str">
        <f>VLOOKUP("Q" &amp;A168,Data!$AP$3:$AT$122,4,FALSE) &amp; " - " &amp; VLOOKUP("Q" &amp;A168,Data!$AP$3:$AT$122,5,FALSE)</f>
        <v>ITR_2 - System Hardening &amp; Updates</v>
      </c>
      <c r="C168" s="161"/>
      <c r="D168" s="159" t="str">
        <f>VLOOKUP("Q" &amp; A168 &amp; "|" &amp; $M$4,Data!$AX$3:$BA$962,2,FALSE)</f>
        <v>CM.L2-3.4.6</v>
      </c>
      <c r="E168" s="159" t="str">
        <f>VLOOKUP(D168,Data!$AY$3:$AZ$962,2,FALSE)</f>
        <v>CM</v>
      </c>
      <c r="F168" s="159" t="str">
        <f>TRIM(E168) &amp; IFERROR(" - " &amp; VLOOKUP(_xlfn.CONCAT($M$4,TRIM(E168)),Data!$BG$3:$BH$108,2,FALSE),"")</f>
        <v>CM - Configuration Management</v>
      </c>
      <c r="G168" s="162">
        <f>VLOOKUP("Q" &amp; A168 &amp; "|" &amp; $M$4,Data!$AX$3:$BA$962,4,FALSE)</f>
        <v>1</v>
      </c>
      <c r="H168" s="163" t="str" cm="1">
        <f t="array" aca="1" ref="H168" ca="1">INDIRECT("Q" &amp;A168&amp;"_Score")</f>
        <v/>
      </c>
      <c r="I168" s="167">
        <f t="shared" ca="1" si="16"/>
        <v>0</v>
      </c>
      <c r="J168" s="163">
        <f t="shared" si="17"/>
        <v>1</v>
      </c>
      <c r="K168" s="160"/>
      <c r="L168" s="163" t="str" cm="1">
        <f t="array" ref="L168">_xlfn.IFS(G168&gt;=0.8,"HIGH",G168&gt;=0.6,"MEDIUM",1=1,"LOW")</f>
        <v>HIGH</v>
      </c>
      <c r="N168" s="150"/>
    </row>
    <row r="169" spans="1:14" s="146" customFormat="1" ht="18.75" hidden="1" customHeight="1" x14ac:dyDescent="0.2">
      <c r="A169" s="156">
        <f t="shared" si="15"/>
        <v>107</v>
      </c>
      <c r="B169" s="157" t="str">
        <f>VLOOKUP("Q" &amp;A169,Data!$AP$3:$AT$122,4,FALSE) &amp; " - " &amp; VLOOKUP("Q" &amp;A169,Data!$AP$3:$AT$122,5,FALSE)</f>
        <v>ITR_2 - System Hardening &amp; Updates</v>
      </c>
      <c r="C169" s="161"/>
      <c r="D169" s="159" t="str">
        <f>VLOOKUP("Q" &amp; A169 &amp; "|" &amp; $M$4,Data!$AX$3:$BA$962,2,FALSE)</f>
        <v>IA.L1-b.1.v</v>
      </c>
      <c r="E169" s="159" t="str">
        <f>VLOOKUP(D169,Data!$AY$3:$AZ$962,2,FALSE)</f>
        <v>IA</v>
      </c>
      <c r="F169" s="159" t="str">
        <f>TRIM(E169) &amp; IFERROR(" - " &amp; VLOOKUP(_xlfn.CONCAT($M$4,TRIM(E169)),Data!$BG$3:$BH$108,2,FALSE),"")</f>
        <v>IA - Identification and Authentication</v>
      </c>
      <c r="G169" s="162">
        <f>VLOOKUP("Q" &amp; A169 &amp; "|" &amp; $M$4,Data!$AX$3:$BA$962,4,FALSE)</f>
        <v>1</v>
      </c>
      <c r="H169" s="163" t="str" cm="1">
        <f t="array" aca="1" ref="H169" ca="1">INDIRECT("Q" &amp;A169&amp;"_Score")</f>
        <v/>
      </c>
      <c r="I169" s="167">
        <f t="shared" ca="1" si="16"/>
        <v>0</v>
      </c>
      <c r="J169" s="163">
        <f t="shared" si="17"/>
        <v>1</v>
      </c>
      <c r="K169" s="160"/>
      <c r="L169" s="163" t="str" cm="1">
        <f t="array" ref="L169">_xlfn.IFS(G169&gt;=0.8,"HIGH",G169&gt;=0.6,"MEDIUM",1=1,"LOW")</f>
        <v>HIGH</v>
      </c>
      <c r="N169" s="150"/>
    </row>
    <row r="170" spans="1:14" s="146" customFormat="1" ht="18.75" hidden="1" customHeight="1" x14ac:dyDescent="0.2">
      <c r="A170" s="156">
        <f t="shared" si="15"/>
        <v>108</v>
      </c>
      <c r="B170" s="157" t="str">
        <f>VLOOKUP("Q" &amp;A170,Data!$AP$3:$AT$122,4,FALSE) &amp; " - " &amp; VLOOKUP("Q" &amp;A170,Data!$AP$3:$AT$122,5,FALSE)</f>
        <v>ITR_2 - System Hardening &amp; Updates</v>
      </c>
      <c r="C170" s="161"/>
      <c r="D170" s="159" t="str">
        <f>VLOOKUP("Q" &amp; A170 &amp; "|" &amp; $M$4,Data!$AX$3:$BA$962,2,FALSE)</f>
        <v>AU.L2-3.3.1</v>
      </c>
      <c r="E170" s="159" t="str">
        <f>VLOOKUP(D170,Data!$AY$3:$AZ$962,2,FALSE)</f>
        <v>AU</v>
      </c>
      <c r="F170" s="159" t="str">
        <f>TRIM(E170) &amp; IFERROR(" - " &amp; VLOOKUP(_xlfn.CONCAT($M$4,TRIM(E170)),Data!$BG$3:$BH$108,2,FALSE),"")</f>
        <v>AU - Audit and Accountability</v>
      </c>
      <c r="G170" s="162">
        <f>VLOOKUP("Q" &amp; A170 &amp; "|" &amp; $M$4,Data!$AX$3:$BA$962,4,FALSE)</f>
        <v>1</v>
      </c>
      <c r="H170" s="163" t="str" cm="1">
        <f t="array" aca="1" ref="H170" ca="1">INDIRECT("Q" &amp;A170&amp;"_Score")</f>
        <v/>
      </c>
      <c r="I170" s="167">
        <f t="shared" ca="1" si="16"/>
        <v>0</v>
      </c>
      <c r="J170" s="163">
        <f t="shared" si="17"/>
        <v>1</v>
      </c>
      <c r="K170" s="160"/>
      <c r="L170" s="163" t="str" cm="1">
        <f t="array" ref="L170">_xlfn.IFS(G170&gt;=0.8,"HIGH",G170&gt;=0.6,"MEDIUM",1=1,"LOW")</f>
        <v>HIGH</v>
      </c>
      <c r="N170" s="150"/>
    </row>
    <row r="171" spans="1:14" s="146" customFormat="1" ht="18.75" hidden="1" customHeight="1" x14ac:dyDescent="0.2">
      <c r="A171" s="156">
        <f t="shared" si="15"/>
        <v>109</v>
      </c>
      <c r="B171" s="157" t="str">
        <f>VLOOKUP("Q" &amp;A171,Data!$AP$3:$AT$122,4,FALSE) &amp; " - " &amp; VLOOKUP("Q" &amp;A171,Data!$AP$3:$AT$122,5,FALSE)</f>
        <v>ITR_2 - System Hardening &amp; Updates</v>
      </c>
      <c r="C171" s="161"/>
      <c r="D171" s="159" t="str">
        <f>VLOOKUP("Q" &amp; A171 &amp; "|" &amp; $M$4,Data!$AX$3:$BA$962,2,FALSE)</f>
        <v>CM.L2-3.4.3</v>
      </c>
      <c r="E171" s="159" t="str">
        <f>VLOOKUP(D171,Data!$AY$3:$AZ$962,2,FALSE)</f>
        <v>CM</v>
      </c>
      <c r="F171" s="159" t="str">
        <f>TRIM(E171) &amp; IFERROR(" - " &amp; VLOOKUP(_xlfn.CONCAT($M$4,TRIM(E171)),Data!$BG$3:$BH$108,2,FALSE),"")</f>
        <v>CM - Configuration Management</v>
      </c>
      <c r="G171" s="162">
        <f>VLOOKUP("Q" &amp; A171 &amp; "|" &amp; $M$4,Data!$AX$3:$BA$962,4,FALSE)</f>
        <v>1</v>
      </c>
      <c r="H171" s="163" t="str" cm="1">
        <f t="array" aca="1" ref="H171" ca="1">INDIRECT("Q" &amp;A171&amp;"_Score")</f>
        <v/>
      </c>
      <c r="I171" s="167">
        <f t="shared" ca="1" si="16"/>
        <v>0</v>
      </c>
      <c r="J171" s="163">
        <f t="shared" si="17"/>
        <v>1</v>
      </c>
      <c r="K171" s="160"/>
      <c r="L171" s="163" t="str" cm="1">
        <f t="array" ref="L171">_xlfn.IFS(G171&gt;=0.8,"HIGH",G171&gt;=0.6,"MEDIUM",1=1,"LOW")</f>
        <v>HIGH</v>
      </c>
      <c r="N171" s="150"/>
    </row>
    <row r="172" spans="1:14" s="146" customFormat="1" ht="18.75" hidden="1" customHeight="1" x14ac:dyDescent="0.2">
      <c r="A172" s="156">
        <f t="shared" si="15"/>
        <v>110</v>
      </c>
      <c r="B172" s="157" t="str">
        <f>VLOOKUP("Q" &amp;A172,Data!$AP$3:$AT$122,4,FALSE) &amp; " - " &amp; VLOOKUP("Q" &amp;A172,Data!$AP$3:$AT$122,5,FALSE)</f>
        <v>ITR_2 - System Hardening &amp; Updates</v>
      </c>
      <c r="C172" s="161"/>
      <c r="D172" s="159" t="str">
        <f>VLOOKUP("Q" &amp; A172 &amp; "|" &amp; $M$4,Data!$AX$3:$BA$962,2,FALSE)</f>
        <v>CA.L2-3.12.2</v>
      </c>
      <c r="E172" s="159" t="str">
        <f>VLOOKUP(D172,Data!$AY$3:$AZ$962,2,FALSE)</f>
        <v>CA</v>
      </c>
      <c r="F172" s="159" t="str">
        <f>TRIM(E172) &amp; IFERROR(" - " &amp; VLOOKUP(_xlfn.CONCAT($M$4,TRIM(E172)),Data!$BG$3:$BH$108,2,FALSE),"")</f>
        <v>CA - Security Assessment and Authorization</v>
      </c>
      <c r="G172" s="162">
        <f>VLOOKUP("Q" &amp; A172 &amp; "|" &amp; $M$4,Data!$AX$3:$BA$962,4,FALSE)</f>
        <v>1</v>
      </c>
      <c r="H172" s="163" t="str" cm="1">
        <f t="array" aca="1" ref="H172" ca="1">INDIRECT("Q" &amp;A172&amp;"_Score")</f>
        <v/>
      </c>
      <c r="I172" s="167">
        <f t="shared" ca="1" si="16"/>
        <v>0</v>
      </c>
      <c r="J172" s="163">
        <f t="shared" si="17"/>
        <v>1</v>
      </c>
      <c r="K172" s="160"/>
      <c r="L172" s="163" t="str" cm="1">
        <f t="array" ref="L172">_xlfn.IFS(G172&gt;=0.8,"HIGH",G172&gt;=0.6,"MEDIUM",1=1,"LOW")</f>
        <v>HIGH</v>
      </c>
      <c r="N172" s="150"/>
    </row>
    <row r="173" spans="1:14" s="146" customFormat="1" ht="18.75" hidden="1" customHeight="1" x14ac:dyDescent="0.2">
      <c r="A173" s="156">
        <f t="shared" si="15"/>
        <v>111</v>
      </c>
      <c r="B173" s="157" t="str">
        <f>VLOOKUP("Q" &amp;A173,Data!$AP$3:$AT$122,4,FALSE) &amp; " - " &amp; VLOOKUP("Q" &amp;A173,Data!$AP$3:$AT$122,5,FALSE)</f>
        <v>ITR_3 - Incident Response &amp; Recovery</v>
      </c>
      <c r="C173" s="161"/>
      <c r="D173" s="159" t="str">
        <f>VLOOKUP("Q" &amp; A173 &amp; "|" &amp; $M$4,Data!$AX$3:$BA$962,2,FALSE)</f>
        <v>IR.L2-3.6.1</v>
      </c>
      <c r="E173" s="159" t="str">
        <f>VLOOKUP(D173,Data!$AY$3:$AZ$962,2,FALSE)</f>
        <v>IR</v>
      </c>
      <c r="F173" s="159" t="str">
        <f>TRIM(E173) &amp; IFERROR(" - " &amp; VLOOKUP(_xlfn.CONCAT($M$4,TRIM(E173)),Data!$BG$3:$BH$108,2,FALSE),"")</f>
        <v>IR - Incident Response</v>
      </c>
      <c r="G173" s="162">
        <f>VLOOKUP("Q" &amp; A173 &amp; "|" &amp; $M$4,Data!$AX$3:$BA$962,4,FALSE)</f>
        <v>1</v>
      </c>
      <c r="H173" s="163" t="str" cm="1">
        <f t="array" aca="1" ref="H173" ca="1">INDIRECT("Q" &amp;A173&amp;"_Score")</f>
        <v/>
      </c>
      <c r="I173" s="167">
        <f t="shared" ca="1" si="16"/>
        <v>0</v>
      </c>
      <c r="J173" s="163">
        <f t="shared" si="17"/>
        <v>1</v>
      </c>
      <c r="K173" s="160"/>
      <c r="L173" s="163" t="str" cm="1">
        <f t="array" ref="L173">_xlfn.IFS(G173&gt;=0.8,"HIGH",G173&gt;=0.6,"MEDIUM",1=1,"LOW")</f>
        <v>HIGH</v>
      </c>
      <c r="N173" s="150"/>
    </row>
    <row r="174" spans="1:14" s="146" customFormat="1" ht="18.75" hidden="1" customHeight="1" x14ac:dyDescent="0.2">
      <c r="A174" s="156">
        <f t="shared" si="15"/>
        <v>112</v>
      </c>
      <c r="B174" s="157" t="str">
        <f>VLOOKUP("Q" &amp;A174,Data!$AP$3:$AT$122,4,FALSE) &amp; " - " &amp; VLOOKUP("Q" &amp;A174,Data!$AP$3:$AT$122,5,FALSE)</f>
        <v>ITR_3 - Incident Response &amp; Recovery</v>
      </c>
      <c r="C174" s="161"/>
      <c r="D174" s="159" t="str">
        <f>VLOOKUP("Q" &amp; A174 &amp; "|" &amp; $M$4,Data!$AX$3:$BA$962,2,FALSE)</f>
        <v>IR.L2-3.6.1</v>
      </c>
      <c r="E174" s="159" t="str">
        <f>VLOOKUP(D174,Data!$AY$3:$AZ$962,2,FALSE)</f>
        <v>IR</v>
      </c>
      <c r="F174" s="159" t="str">
        <f>TRIM(E174) &amp; IFERROR(" - " &amp; VLOOKUP(_xlfn.CONCAT($M$4,TRIM(E174)),Data!$BG$3:$BH$108,2,FALSE),"")</f>
        <v>IR - Incident Response</v>
      </c>
      <c r="G174" s="162">
        <f>VLOOKUP("Q" &amp; A174 &amp; "|" &amp; $M$4,Data!$AX$3:$BA$962,4,FALSE)</f>
        <v>1</v>
      </c>
      <c r="H174" s="163" t="str" cm="1">
        <f t="array" aca="1" ref="H174" ca="1">INDIRECT("Q" &amp;A174&amp;"_Score")</f>
        <v/>
      </c>
      <c r="I174" s="167">
        <f t="shared" ca="1" si="16"/>
        <v>0</v>
      </c>
      <c r="J174" s="163">
        <f t="shared" si="17"/>
        <v>1</v>
      </c>
      <c r="K174" s="160"/>
      <c r="L174" s="163" t="str" cm="1">
        <f t="array" ref="L174">_xlfn.IFS(G174&gt;=0.8,"HIGH",G174&gt;=0.6,"MEDIUM",1=1,"LOW")</f>
        <v>HIGH</v>
      </c>
      <c r="N174" s="150"/>
    </row>
    <row r="175" spans="1:14" s="146" customFormat="1" ht="18.75" hidden="1" customHeight="1" x14ac:dyDescent="0.2">
      <c r="A175" s="156">
        <f t="shared" si="15"/>
        <v>113</v>
      </c>
      <c r="B175" s="157" t="str">
        <f>VLOOKUP("Q" &amp;A175,Data!$AP$3:$AT$122,4,FALSE) &amp; " - " &amp; VLOOKUP("Q" &amp;A175,Data!$AP$3:$AT$122,5,FALSE)</f>
        <v>ITR_3 - Incident Response &amp; Recovery</v>
      </c>
      <c r="C175" s="161"/>
      <c r="D175" s="159" t="str">
        <f>VLOOKUP("Q" &amp; A175 &amp; "|" &amp; $M$4,Data!$AX$3:$BA$962,2,FALSE)</f>
        <v>IR.L2-3.6.1</v>
      </c>
      <c r="E175" s="159" t="str">
        <f>VLOOKUP(D175,Data!$AY$3:$AZ$962,2,FALSE)</f>
        <v>IR</v>
      </c>
      <c r="F175" s="159" t="str">
        <f>TRIM(E175) &amp; IFERROR(" - " &amp; VLOOKUP(_xlfn.CONCAT($M$4,TRIM(E175)),Data!$BG$3:$BH$108,2,FALSE),"")</f>
        <v>IR - Incident Response</v>
      </c>
      <c r="G175" s="162">
        <f>VLOOKUP("Q" &amp; A175 &amp; "|" &amp; $M$4,Data!$AX$3:$BA$962,4,FALSE)</f>
        <v>1</v>
      </c>
      <c r="H175" s="163" t="str" cm="1">
        <f t="array" aca="1" ref="H175" ca="1">INDIRECT("Q" &amp;A175&amp;"_Score")</f>
        <v/>
      </c>
      <c r="I175" s="167">
        <f t="shared" ca="1" si="16"/>
        <v>0</v>
      </c>
      <c r="J175" s="163">
        <f t="shared" si="17"/>
        <v>1</v>
      </c>
      <c r="K175" s="160"/>
      <c r="L175" s="163" t="str" cm="1">
        <f t="array" ref="L175">_xlfn.IFS(G175&gt;=0.8,"HIGH",G175&gt;=0.6,"MEDIUM",1=1,"LOW")</f>
        <v>HIGH</v>
      </c>
      <c r="N175" s="150"/>
    </row>
    <row r="176" spans="1:14" s="146" customFormat="1" ht="18.75" hidden="1" customHeight="1" x14ac:dyDescent="0.2">
      <c r="A176" s="156">
        <f t="shared" si="15"/>
        <v>114</v>
      </c>
      <c r="B176" s="157" t="str">
        <f>VLOOKUP("Q" &amp;A176,Data!$AP$3:$AT$122,4,FALSE) &amp; " - " &amp; VLOOKUP("Q" &amp;A176,Data!$AP$3:$AT$122,5,FALSE)</f>
        <v>ITR_3 - Incident Response &amp; Recovery</v>
      </c>
      <c r="C176" s="161"/>
      <c r="D176" s="159" t="str">
        <f>VLOOKUP("Q" &amp; A176 &amp; "|" &amp; $M$4,Data!$AX$3:$BA$962,2,FALSE)</f>
        <v>IR.L2-3.6.2</v>
      </c>
      <c r="E176" s="159" t="str">
        <f>VLOOKUP(D176,Data!$AY$3:$AZ$962,2,FALSE)</f>
        <v>IR</v>
      </c>
      <c r="F176" s="159" t="str">
        <f>TRIM(E176) &amp; IFERROR(" - " &amp; VLOOKUP(_xlfn.CONCAT($M$4,TRIM(E176)),Data!$BG$3:$BH$108,2,FALSE),"")</f>
        <v>IR - Incident Response</v>
      </c>
      <c r="G176" s="162">
        <f>VLOOKUP("Q" &amp; A176 &amp; "|" &amp; $M$4,Data!$AX$3:$BA$962,4,FALSE)</f>
        <v>1</v>
      </c>
      <c r="H176" s="163" t="str" cm="1">
        <f t="array" aca="1" ref="H176" ca="1">INDIRECT("Q" &amp;A176&amp;"_Score")</f>
        <v/>
      </c>
      <c r="I176" s="167">
        <f t="shared" ca="1" si="16"/>
        <v>0</v>
      </c>
      <c r="J176" s="163">
        <f t="shared" si="17"/>
        <v>1</v>
      </c>
      <c r="K176" s="160"/>
      <c r="L176" s="163" t="str" cm="1">
        <f t="array" ref="L176">_xlfn.IFS(G176&gt;=0.8,"HIGH",G176&gt;=0.6,"MEDIUM",1=1,"LOW")</f>
        <v>HIGH</v>
      </c>
      <c r="N176" s="150"/>
    </row>
    <row r="177" spans="1:14" s="146" customFormat="1" ht="18.75" hidden="1" customHeight="1" x14ac:dyDescent="0.2">
      <c r="A177" s="156">
        <f t="shared" si="15"/>
        <v>115</v>
      </c>
      <c r="B177" s="157" t="str">
        <f>VLOOKUP("Q" &amp;A177,Data!$AP$3:$AT$122,4,FALSE) &amp; " - " &amp; VLOOKUP("Q" &amp;A177,Data!$AP$3:$AT$122,5,FALSE)</f>
        <v>ITR_3 - Incident Response &amp; Recovery</v>
      </c>
      <c r="C177" s="161"/>
      <c r="D177" s="159" t="str">
        <f>VLOOKUP("Q" &amp; A177 &amp; "|" &amp; $M$4,Data!$AX$3:$BA$962,2,FALSE)</f>
        <v>IR.L2-3.6.1</v>
      </c>
      <c r="E177" s="159" t="str">
        <f>VLOOKUP(D177,Data!$AY$3:$AZ$962,2,FALSE)</f>
        <v>IR</v>
      </c>
      <c r="F177" s="159" t="str">
        <f>TRIM(E177) &amp; IFERROR(" - " &amp; VLOOKUP(_xlfn.CONCAT($M$4,TRIM(E177)),Data!$BG$3:$BH$108,2,FALSE),"")</f>
        <v>IR - Incident Response</v>
      </c>
      <c r="G177" s="162">
        <f>VLOOKUP("Q" &amp; A177 &amp; "|" &amp; $M$4,Data!$AX$3:$BA$962,4,FALSE)</f>
        <v>1</v>
      </c>
      <c r="H177" s="163" t="str" cm="1">
        <f t="array" aca="1" ref="H177" ca="1">INDIRECT("Q" &amp;A177&amp;"_Score")</f>
        <v/>
      </c>
      <c r="I177" s="167">
        <f t="shared" ca="1" si="16"/>
        <v>0</v>
      </c>
      <c r="J177" s="163">
        <f t="shared" si="17"/>
        <v>1</v>
      </c>
      <c r="K177" s="160"/>
      <c r="L177" s="163" t="str" cm="1">
        <f t="array" ref="L177">_xlfn.IFS(G177&gt;=0.8,"HIGH",G177&gt;=0.6,"MEDIUM",1=1,"LOW")</f>
        <v>HIGH</v>
      </c>
      <c r="N177" s="150"/>
    </row>
    <row r="178" spans="1:14" s="146" customFormat="1" ht="18.75" hidden="1" customHeight="1" x14ac:dyDescent="0.2">
      <c r="A178" s="156">
        <f t="shared" si="15"/>
        <v>116</v>
      </c>
      <c r="B178" s="157" t="str">
        <f>VLOOKUP("Q" &amp;A178,Data!$AP$3:$AT$122,4,FALSE) &amp; " - " &amp; VLOOKUP("Q" &amp;A178,Data!$AP$3:$AT$122,5,FALSE)</f>
        <v>ITR_3 - Incident Response &amp; Recovery</v>
      </c>
      <c r="C178" s="161"/>
      <c r="D178" s="159" t="str">
        <f>VLOOKUP("Q" &amp; A178 &amp; "|" &amp; $M$4,Data!$AX$3:$BA$962,2,FALSE)</f>
        <v>-</v>
      </c>
      <c r="E178" s="159" t="str">
        <f>VLOOKUP(D178,Data!$AY$3:$AZ$962,2,FALSE)</f>
        <v>-</v>
      </c>
      <c r="F178" s="159" t="str">
        <f>TRIM(E178) &amp; IFERROR(" - " &amp; VLOOKUP(_xlfn.CONCAT($M$4,TRIM(E178)),Data!$BG$3:$BH$108,2,FALSE),"")</f>
        <v>-</v>
      </c>
      <c r="G178" s="162">
        <f>VLOOKUP("Q" &amp; A178 &amp; "|" &amp; $M$4,Data!$AX$3:$BA$962,4,FALSE)</f>
        <v>0</v>
      </c>
      <c r="H178" s="163" t="str" cm="1">
        <f t="array" aca="1" ref="H178" ca="1">INDIRECT("Q" &amp;A178&amp;"_Score")</f>
        <v/>
      </c>
      <c r="I178" s="167">
        <f t="shared" ca="1" si="16"/>
        <v>0</v>
      </c>
      <c r="J178" s="163">
        <f t="shared" si="17"/>
        <v>0</v>
      </c>
      <c r="K178" s="160"/>
      <c r="L178" s="163" t="str" cm="1">
        <f t="array" ref="L178">_xlfn.IFS(G178&gt;=0.8,"HIGH",G178&gt;=0.6,"MEDIUM",1=1,"LOW")</f>
        <v>LOW</v>
      </c>
      <c r="N178" s="150"/>
    </row>
    <row r="179" spans="1:14" s="146" customFormat="1" ht="18.75" hidden="1" customHeight="1" x14ac:dyDescent="0.2">
      <c r="A179" s="156">
        <f t="shared" si="15"/>
        <v>117</v>
      </c>
      <c r="B179" s="157" t="str">
        <f>VLOOKUP("Q" &amp;A179,Data!$AP$3:$AT$122,4,FALSE) &amp; " - " &amp; VLOOKUP("Q" &amp;A179,Data!$AP$3:$AT$122,5,FALSE)</f>
        <v>ITR_3 - Incident Response &amp; Recovery</v>
      </c>
      <c r="C179" s="161"/>
      <c r="D179" s="159" t="str">
        <f>VLOOKUP("Q" &amp; A179 &amp; "|" &amp; $M$4,Data!$AX$3:$BA$962,2,FALSE)</f>
        <v>-</v>
      </c>
      <c r="E179" s="159" t="str">
        <f>VLOOKUP(D179,Data!$AY$3:$AZ$962,2,FALSE)</f>
        <v>-</v>
      </c>
      <c r="F179" s="159" t="str">
        <f>TRIM(E179) &amp; IFERROR(" - " &amp; VLOOKUP(_xlfn.CONCAT($M$4,TRIM(E179)),Data!$BG$3:$BH$108,2,FALSE),"")</f>
        <v>-</v>
      </c>
      <c r="G179" s="162">
        <f>VLOOKUP("Q" &amp; A179 &amp; "|" &amp; $M$4,Data!$AX$3:$BA$962,4,FALSE)</f>
        <v>0</v>
      </c>
      <c r="H179" s="163" t="str" cm="1">
        <f t="array" aca="1" ref="H179" ca="1">INDIRECT("Q" &amp;A179&amp;"_Score")</f>
        <v/>
      </c>
      <c r="I179" s="167">
        <f t="shared" ca="1" si="16"/>
        <v>0</v>
      </c>
      <c r="J179" s="163">
        <f t="shared" si="17"/>
        <v>0</v>
      </c>
      <c r="K179" s="160"/>
      <c r="L179" s="163" t="str" cm="1">
        <f t="array" ref="L179">_xlfn.IFS(G179&gt;=0.8,"HIGH",G179&gt;=0.6,"MEDIUM",1=1,"LOW")</f>
        <v>LOW</v>
      </c>
      <c r="N179" s="150"/>
    </row>
    <row r="180" spans="1:14" s="146" customFormat="1" ht="18.75" hidden="1" customHeight="1" x14ac:dyDescent="0.2">
      <c r="A180" s="156">
        <f t="shared" si="15"/>
        <v>118</v>
      </c>
      <c r="B180" s="157" t="str">
        <f>VLOOKUP("Q" &amp;A180,Data!$AP$3:$AT$122,4,FALSE) &amp; " - " &amp; VLOOKUP("Q" &amp;A180,Data!$AP$3:$AT$122,5,FALSE)</f>
        <v>ITR_3 - Incident Response &amp; Recovery</v>
      </c>
      <c r="C180" s="161"/>
      <c r="D180" s="159" t="str">
        <f>VLOOKUP("Q" &amp; A180 &amp; "|" &amp; $M$4,Data!$AX$3:$BA$962,2,FALSE)</f>
        <v>-</v>
      </c>
      <c r="E180" s="159" t="str">
        <f>VLOOKUP(D180,Data!$AY$3:$AZ$962,2,FALSE)</f>
        <v>-</v>
      </c>
      <c r="F180" s="159" t="str">
        <f>TRIM(E180) &amp; IFERROR(" - " &amp; VLOOKUP(_xlfn.CONCAT($M$4,TRIM(E180)),Data!$BG$3:$BH$108,2,FALSE),"")</f>
        <v>-</v>
      </c>
      <c r="G180" s="162">
        <f>VLOOKUP("Q" &amp; A180 &amp; "|" &amp; $M$4,Data!$AX$3:$BA$962,4,FALSE)</f>
        <v>0</v>
      </c>
      <c r="H180" s="163" t="str" cm="1">
        <f t="array" aca="1" ref="H180" ca="1">INDIRECT("Q" &amp;A180&amp;"_Score")</f>
        <v/>
      </c>
      <c r="I180" s="167">
        <f t="shared" ca="1" si="16"/>
        <v>0</v>
      </c>
      <c r="J180" s="163">
        <f t="shared" si="17"/>
        <v>0</v>
      </c>
      <c r="K180" s="160"/>
      <c r="L180" s="163" t="str" cm="1">
        <f t="array" ref="L180">_xlfn.IFS(G180&gt;=0.8,"HIGH",G180&gt;=0.6,"MEDIUM",1=1,"LOW")</f>
        <v>LOW</v>
      </c>
      <c r="N180" s="150"/>
    </row>
    <row r="181" spans="1:14" s="146" customFormat="1" ht="18.75" hidden="1" customHeight="1" x14ac:dyDescent="0.2">
      <c r="A181" s="156">
        <f t="shared" si="15"/>
        <v>119</v>
      </c>
      <c r="B181" s="157" t="str">
        <f>VLOOKUP("Q" &amp;A181,Data!$AP$3:$AT$122,4,FALSE) &amp; " - " &amp; VLOOKUP("Q" &amp;A181,Data!$AP$3:$AT$122,5,FALSE)</f>
        <v>ITR_3 - Incident Response &amp; Recovery</v>
      </c>
      <c r="C181" s="161"/>
      <c r="D181" s="159" t="str">
        <f>VLOOKUP("Q" &amp; A181 &amp; "|" &amp; $M$4,Data!$AX$3:$BA$962,2,FALSE)</f>
        <v>IR.L2-3.6.3</v>
      </c>
      <c r="E181" s="159" t="str">
        <f>VLOOKUP(D181,Data!$AY$3:$AZ$962,2,FALSE)</f>
        <v>IR</v>
      </c>
      <c r="F181" s="159" t="str">
        <f>TRIM(E181) &amp; IFERROR(" - " &amp; VLOOKUP(_xlfn.CONCAT($M$4,TRIM(E181)),Data!$BG$3:$BH$108,2,FALSE),"")</f>
        <v>IR - Incident Response</v>
      </c>
      <c r="G181" s="162">
        <f>VLOOKUP("Q" &amp; A181 &amp; "|" &amp; $M$4,Data!$AX$3:$BA$962,4,FALSE)</f>
        <v>1</v>
      </c>
      <c r="H181" s="163" t="str" cm="1">
        <f t="array" aca="1" ref="H181" ca="1">INDIRECT("Q" &amp;A181&amp;"_Score")</f>
        <v/>
      </c>
      <c r="I181" s="167">
        <f t="shared" ca="1" si="16"/>
        <v>0</v>
      </c>
      <c r="J181" s="163">
        <f t="shared" si="17"/>
        <v>1</v>
      </c>
      <c r="K181" s="160"/>
      <c r="L181" s="163" t="str" cm="1">
        <f t="array" ref="L181">_xlfn.IFS(G181&gt;=0.8,"HIGH",G181&gt;=0.6,"MEDIUM",1=1,"LOW")</f>
        <v>HIGH</v>
      </c>
      <c r="N181" s="150"/>
    </row>
    <row r="182" spans="1:14" s="146" customFormat="1" ht="18.75" hidden="1" customHeight="1" x14ac:dyDescent="0.2">
      <c r="A182" s="156">
        <f t="shared" si="15"/>
        <v>120</v>
      </c>
      <c r="B182" s="157" t="str">
        <f>VLOOKUP("Q" &amp;A182,Data!$AP$3:$AT$122,4,FALSE) &amp; " - " &amp; VLOOKUP("Q" &amp;A182,Data!$AP$3:$AT$122,5,FALSE)</f>
        <v>ITR_3 - Incident Response &amp; Recovery</v>
      </c>
      <c r="C182" s="161"/>
      <c r="D182" s="159" t="str">
        <f>VLOOKUP("Q" &amp; A182 &amp; "|" &amp; $M$4,Data!$AX$3:$BA$962,2,FALSE)</f>
        <v>IR.L2-3.6.1</v>
      </c>
      <c r="E182" s="159" t="str">
        <f>VLOOKUP(D182,Data!$AY$3:$AZ$962,2,FALSE)</f>
        <v>IR</v>
      </c>
      <c r="F182" s="159" t="str">
        <f>TRIM(E182) &amp; IFERROR(" - " &amp; VLOOKUP(_xlfn.CONCAT($M$4,TRIM(E182)),Data!$BG$3:$BH$108,2,FALSE),"")</f>
        <v>IR - Incident Response</v>
      </c>
      <c r="G182" s="162">
        <f>VLOOKUP("Q" &amp; A182 &amp; "|" &amp; $M$4,Data!$AX$3:$BA$962,4,FALSE)</f>
        <v>0.8</v>
      </c>
      <c r="H182" s="163" t="str" cm="1">
        <f t="array" aca="1" ref="H182" ca="1">INDIRECT("Q" &amp;A182&amp;"_Score")</f>
        <v/>
      </c>
      <c r="I182" s="167">
        <f t="shared" ca="1" si="16"/>
        <v>0</v>
      </c>
      <c r="J182" s="163">
        <f t="shared" si="17"/>
        <v>1</v>
      </c>
      <c r="K182" s="160"/>
      <c r="L182" s="163" t="str" cm="1">
        <f t="array" ref="L182">_xlfn.IFS(G182&gt;=0.8,"HIGH",G182&gt;=0.6,"MEDIUM",1=1,"LOW")</f>
        <v>HIGH</v>
      </c>
      <c r="N182" s="150"/>
    </row>
    <row r="183" spans="1:14" s="146" customFormat="1" ht="18.75" hidden="1" customHeight="1" x14ac:dyDescent="0.2">
      <c r="A183" s="145"/>
      <c r="C183" s="147"/>
      <c r="D183" s="148"/>
      <c r="F183" s="149"/>
      <c r="N183" s="150"/>
    </row>
    <row r="184" spans="1:14" s="146" customFormat="1" ht="18.75" hidden="1" customHeight="1" x14ac:dyDescent="0.2">
      <c r="A184" s="145"/>
      <c r="C184" s="147"/>
      <c r="D184" s="148"/>
      <c r="F184" s="149"/>
      <c r="N184" s="150"/>
    </row>
    <row r="185" spans="1:14" s="146" customFormat="1" ht="18.75" hidden="1" customHeight="1" x14ac:dyDescent="0.2">
      <c r="A185" s="145"/>
      <c r="C185" s="147"/>
      <c r="D185" s="148"/>
      <c r="F185" s="149"/>
      <c r="N185" s="150"/>
    </row>
    <row r="186" spans="1:14" s="146" customFormat="1" ht="18.75" hidden="1" customHeight="1" x14ac:dyDescent="0.2">
      <c r="A186" s="145"/>
      <c r="C186" s="147"/>
      <c r="D186" s="148"/>
      <c r="F186" s="149"/>
      <c r="N186" s="150"/>
    </row>
    <row r="187" spans="1:14" s="146" customFormat="1" ht="18.75" hidden="1" customHeight="1" x14ac:dyDescent="0.2">
      <c r="A187" s="145"/>
      <c r="C187" s="147"/>
      <c r="D187" s="148"/>
      <c r="F187" s="149"/>
      <c r="N187" s="150"/>
    </row>
    <row r="188" spans="1:14" s="146" customFormat="1" ht="18.75" hidden="1" customHeight="1" x14ac:dyDescent="0.2">
      <c r="A188" s="145"/>
      <c r="C188" s="147"/>
      <c r="D188" s="148"/>
      <c r="F188" s="149"/>
      <c r="N188" s="150"/>
    </row>
    <row r="189" spans="1:14" s="146" customFormat="1" ht="18.75" hidden="1" customHeight="1" x14ac:dyDescent="0.2">
      <c r="A189" s="145"/>
      <c r="C189" s="147"/>
      <c r="D189" s="148"/>
      <c r="F189" s="149"/>
      <c r="N189" s="150"/>
    </row>
    <row r="190" spans="1:14" s="146" customFormat="1" ht="18.75" hidden="1" customHeight="1" x14ac:dyDescent="0.2">
      <c r="A190" s="145"/>
      <c r="C190" s="147"/>
      <c r="D190" s="148"/>
      <c r="F190" s="149"/>
      <c r="N190" s="150"/>
    </row>
    <row r="191" spans="1:14" s="146" customFormat="1" ht="18.75" hidden="1" customHeight="1" x14ac:dyDescent="0.2">
      <c r="A191" s="145"/>
      <c r="C191" s="147"/>
      <c r="D191" s="148"/>
      <c r="F191" s="149"/>
      <c r="N191" s="150"/>
    </row>
    <row r="192" spans="1:14" s="146" customFormat="1" ht="18.75" hidden="1" customHeight="1" x14ac:dyDescent="0.2">
      <c r="A192" s="145"/>
      <c r="C192" s="147"/>
      <c r="D192" s="148"/>
      <c r="F192" s="149"/>
      <c r="N192" s="150"/>
    </row>
    <row r="193" spans="1:14" s="146" customFormat="1" ht="18.75" hidden="1" customHeight="1" x14ac:dyDescent="0.2">
      <c r="A193" s="145"/>
      <c r="C193" s="147"/>
      <c r="D193" s="148"/>
      <c r="F193" s="149"/>
      <c r="N193" s="150"/>
    </row>
    <row r="194" spans="1:14" s="146" customFormat="1" ht="18.75" hidden="1" customHeight="1" x14ac:dyDescent="0.2">
      <c r="A194" s="145"/>
      <c r="C194" s="147"/>
      <c r="D194" s="148"/>
      <c r="F194" s="149"/>
      <c r="N194" s="150"/>
    </row>
    <row r="195" spans="1:14" s="146" customFormat="1" ht="18.75" hidden="1" customHeight="1" x14ac:dyDescent="0.2">
      <c r="A195" s="145"/>
      <c r="C195" s="147"/>
      <c r="D195" s="148"/>
      <c r="F195" s="149"/>
      <c r="N195" s="150"/>
    </row>
    <row r="196" spans="1:14" s="146" customFormat="1" ht="18.75" hidden="1" customHeight="1" x14ac:dyDescent="0.2">
      <c r="A196" s="145"/>
      <c r="C196" s="147"/>
      <c r="D196" s="148"/>
      <c r="F196" s="149"/>
      <c r="N196" s="150"/>
    </row>
    <row r="197" spans="1:14" s="146" customFormat="1" ht="18.75" hidden="1" customHeight="1" x14ac:dyDescent="0.2">
      <c r="A197" s="145"/>
      <c r="C197" s="147"/>
      <c r="D197" s="148"/>
      <c r="F197" s="149"/>
      <c r="N197" s="150"/>
    </row>
    <row r="198" spans="1:14" s="146" customFormat="1" ht="18.75" hidden="1" customHeight="1" x14ac:dyDescent="0.2">
      <c r="A198" s="145"/>
      <c r="C198" s="147"/>
      <c r="D198" s="148"/>
      <c r="F198" s="149"/>
      <c r="N198" s="150"/>
    </row>
    <row r="199" spans="1:14" s="146" customFormat="1" ht="18.75" hidden="1" customHeight="1" x14ac:dyDescent="0.2">
      <c r="A199" s="145"/>
      <c r="C199" s="147"/>
      <c r="D199" s="148"/>
      <c r="F199" s="149"/>
      <c r="N199" s="150"/>
    </row>
    <row r="200" spans="1:14" s="146" customFormat="1" ht="18.75" hidden="1" customHeight="1" x14ac:dyDescent="0.2">
      <c r="A200" s="145"/>
      <c r="C200" s="147"/>
      <c r="D200" s="148"/>
      <c r="F200" s="149"/>
      <c r="N200" s="150"/>
    </row>
    <row r="201" spans="1:14" s="146" customFormat="1" ht="18.75" hidden="1" customHeight="1" x14ac:dyDescent="0.2">
      <c r="A201" s="145"/>
      <c r="C201" s="147"/>
      <c r="D201" s="148"/>
      <c r="F201" s="149"/>
      <c r="N201" s="150"/>
    </row>
    <row r="202" spans="1:14" s="146" customFormat="1" ht="18.75" hidden="1" customHeight="1" x14ac:dyDescent="0.2">
      <c r="A202" s="145"/>
      <c r="C202" s="147"/>
      <c r="D202" s="148"/>
      <c r="F202" s="149"/>
      <c r="N202" s="150"/>
    </row>
    <row r="203" spans="1:14" s="146" customFormat="1" ht="18.75" hidden="1" customHeight="1" x14ac:dyDescent="0.2">
      <c r="A203" s="145"/>
      <c r="C203" s="147"/>
      <c r="D203" s="148"/>
      <c r="F203" s="149"/>
      <c r="N203" s="150"/>
    </row>
    <row r="204" spans="1:14" s="146" customFormat="1" ht="18.75" hidden="1" customHeight="1" x14ac:dyDescent="0.2">
      <c r="A204" s="145"/>
      <c r="C204" s="147"/>
      <c r="D204" s="148"/>
      <c r="F204" s="149"/>
      <c r="N204" s="150"/>
    </row>
    <row r="205" spans="1:14" s="146" customFormat="1" ht="18.75" hidden="1" customHeight="1" x14ac:dyDescent="0.2">
      <c r="A205" s="145"/>
      <c r="C205" s="147"/>
      <c r="D205" s="148"/>
      <c r="F205" s="149"/>
      <c r="N205" s="150"/>
    </row>
    <row r="206" spans="1:14" s="146" customFormat="1" ht="18.75" hidden="1" customHeight="1" x14ac:dyDescent="0.2">
      <c r="A206" s="145"/>
      <c r="C206" s="147"/>
      <c r="D206" s="148"/>
      <c r="F206" s="149"/>
      <c r="N206" s="150"/>
    </row>
    <row r="207" spans="1:14" s="146" customFormat="1" ht="18.75" hidden="1" customHeight="1" x14ac:dyDescent="0.2">
      <c r="A207" s="145"/>
      <c r="C207" s="147"/>
      <c r="D207" s="148"/>
      <c r="F207" s="149"/>
      <c r="N207" s="150"/>
    </row>
    <row r="208" spans="1:14" s="146" customFormat="1" ht="18.75" hidden="1" customHeight="1" x14ac:dyDescent="0.2">
      <c r="A208" s="145"/>
      <c r="C208" s="147"/>
      <c r="D208" s="148"/>
      <c r="F208" s="149"/>
      <c r="N208" s="150"/>
    </row>
    <row r="209" spans="1:14" s="146" customFormat="1" ht="18.75" hidden="1" customHeight="1" x14ac:dyDescent="0.2">
      <c r="A209" s="145"/>
      <c r="C209" s="147"/>
      <c r="D209" s="148"/>
      <c r="F209" s="149"/>
      <c r="N209" s="150"/>
    </row>
    <row r="210" spans="1:14" s="146" customFormat="1" ht="18.75" hidden="1" customHeight="1" x14ac:dyDescent="0.2">
      <c r="A210" s="145"/>
      <c r="C210" s="147"/>
      <c r="D210" s="148"/>
      <c r="F210" s="149"/>
      <c r="N210" s="150"/>
    </row>
    <row r="211" spans="1:14" s="146" customFormat="1" ht="18.75" hidden="1" customHeight="1" x14ac:dyDescent="0.2">
      <c r="A211" s="145"/>
      <c r="C211" s="147"/>
      <c r="D211" s="148"/>
      <c r="F211" s="149"/>
      <c r="N211" s="150"/>
    </row>
    <row r="212" spans="1:14" s="146" customFormat="1" ht="18.75" hidden="1" customHeight="1" x14ac:dyDescent="0.2">
      <c r="A212" s="145"/>
      <c r="C212" s="147"/>
      <c r="D212" s="148"/>
      <c r="F212" s="149"/>
      <c r="N212" s="150"/>
    </row>
    <row r="213" spans="1:14" s="146" customFormat="1" ht="18.75" hidden="1" customHeight="1" x14ac:dyDescent="0.2">
      <c r="A213" s="145"/>
      <c r="C213" s="147"/>
      <c r="D213" s="148"/>
      <c r="F213" s="149"/>
      <c r="N213" s="150"/>
    </row>
    <row r="214" spans="1:14" s="146" customFormat="1" ht="18.75" hidden="1" customHeight="1" x14ac:dyDescent="0.2">
      <c r="A214" s="145"/>
      <c r="C214" s="147"/>
      <c r="D214" s="148"/>
      <c r="F214" s="149"/>
      <c r="N214" s="150"/>
    </row>
    <row r="215" spans="1:14" s="146" customFormat="1" ht="18.75" hidden="1" customHeight="1" x14ac:dyDescent="0.2">
      <c r="A215" s="145"/>
      <c r="C215" s="147"/>
      <c r="D215" s="148"/>
      <c r="F215" s="149"/>
      <c r="N215" s="150"/>
    </row>
    <row r="216" spans="1:14" s="146" customFormat="1" ht="18.75" hidden="1" customHeight="1" x14ac:dyDescent="0.2">
      <c r="A216" s="145"/>
      <c r="C216" s="147"/>
      <c r="D216" s="148"/>
      <c r="F216" s="149"/>
      <c r="N216" s="150"/>
    </row>
    <row r="217" spans="1:14" s="146" customFormat="1" ht="18.75" hidden="1" customHeight="1" x14ac:dyDescent="0.2">
      <c r="A217" s="145"/>
      <c r="C217" s="147"/>
      <c r="D217" s="148"/>
      <c r="F217" s="149"/>
      <c r="N217" s="150"/>
    </row>
    <row r="218" spans="1:14" s="146" customFormat="1" ht="18.75" hidden="1" customHeight="1" x14ac:dyDescent="0.2">
      <c r="A218" s="145"/>
      <c r="C218" s="147"/>
      <c r="D218" s="148"/>
      <c r="F218" s="149"/>
      <c r="N218" s="150"/>
    </row>
    <row r="219" spans="1:14" s="146" customFormat="1" ht="18.75" hidden="1" customHeight="1" x14ac:dyDescent="0.2">
      <c r="A219" s="145"/>
      <c r="C219" s="147"/>
      <c r="D219" s="148"/>
      <c r="F219" s="149"/>
      <c r="N219" s="150"/>
    </row>
    <row r="220" spans="1:14" s="146" customFormat="1" ht="18.75" hidden="1" customHeight="1" x14ac:dyDescent="0.2">
      <c r="A220" s="145"/>
      <c r="C220" s="147"/>
      <c r="D220" s="148"/>
      <c r="F220" s="149"/>
      <c r="N220" s="150"/>
    </row>
    <row r="221" spans="1:14" s="146" customFormat="1" ht="18.75" hidden="1" customHeight="1" x14ac:dyDescent="0.2">
      <c r="A221" s="145"/>
      <c r="C221" s="147"/>
      <c r="D221" s="148"/>
      <c r="F221" s="149"/>
      <c r="N221" s="150"/>
    </row>
    <row r="222" spans="1:14" s="146" customFormat="1" ht="18.75" hidden="1" customHeight="1" x14ac:dyDescent="0.2">
      <c r="A222" s="145"/>
      <c r="C222" s="147"/>
      <c r="D222" s="148"/>
      <c r="F222" s="149"/>
      <c r="N222" s="150"/>
    </row>
    <row r="223" spans="1:14" s="146" customFormat="1" ht="18.75" hidden="1" customHeight="1" x14ac:dyDescent="0.2">
      <c r="A223" s="145"/>
      <c r="C223" s="147"/>
      <c r="D223" s="148"/>
      <c r="F223" s="149"/>
      <c r="N223" s="150"/>
    </row>
    <row r="224" spans="1:14" s="146" customFormat="1" ht="18.75" hidden="1" customHeight="1" x14ac:dyDescent="0.2">
      <c r="A224" s="145"/>
      <c r="C224" s="147"/>
      <c r="D224" s="148"/>
      <c r="F224" s="149"/>
      <c r="N224" s="150"/>
    </row>
    <row r="225" spans="1:14" s="146" customFormat="1" ht="18.75" hidden="1" customHeight="1" x14ac:dyDescent="0.2">
      <c r="A225" s="145"/>
      <c r="C225" s="147"/>
      <c r="D225" s="148"/>
      <c r="F225" s="149"/>
      <c r="N225" s="150"/>
    </row>
    <row r="226" spans="1:14" s="146" customFormat="1" ht="18.75" hidden="1" customHeight="1" x14ac:dyDescent="0.2">
      <c r="A226" s="145"/>
      <c r="C226" s="147"/>
      <c r="D226" s="148"/>
      <c r="F226" s="149"/>
      <c r="N226" s="150"/>
    </row>
    <row r="227" spans="1:14" s="146" customFormat="1" ht="18.75" hidden="1" customHeight="1" x14ac:dyDescent="0.2">
      <c r="A227" s="145"/>
      <c r="C227" s="147"/>
      <c r="D227" s="148"/>
      <c r="F227" s="149"/>
      <c r="N227" s="150"/>
    </row>
    <row r="228" spans="1:14" s="146" customFormat="1" ht="18.75" hidden="1" customHeight="1" x14ac:dyDescent="0.2">
      <c r="A228" s="145"/>
      <c r="C228" s="147"/>
      <c r="D228" s="148"/>
      <c r="F228" s="149"/>
      <c r="N228" s="150"/>
    </row>
    <row r="229" spans="1:14" s="146" customFormat="1" ht="18.75" hidden="1" customHeight="1" x14ac:dyDescent="0.2">
      <c r="A229" s="145"/>
      <c r="C229" s="147"/>
      <c r="D229" s="148"/>
      <c r="F229" s="149"/>
      <c r="N229" s="150"/>
    </row>
    <row r="230" spans="1:14" s="146" customFormat="1" ht="18.75" hidden="1" customHeight="1" x14ac:dyDescent="0.2">
      <c r="A230" s="145"/>
      <c r="C230" s="147"/>
      <c r="D230" s="148"/>
      <c r="F230" s="149"/>
      <c r="N230" s="150"/>
    </row>
    <row r="231" spans="1:14" s="146" customFormat="1" ht="18.75" hidden="1" customHeight="1" x14ac:dyDescent="0.2">
      <c r="A231" s="145"/>
      <c r="C231" s="147"/>
      <c r="D231" s="148"/>
      <c r="F231" s="149"/>
      <c r="N231" s="150"/>
    </row>
    <row r="232" spans="1:14" s="146" customFormat="1" ht="18.75" hidden="1" customHeight="1" x14ac:dyDescent="0.2">
      <c r="A232" s="145"/>
      <c r="C232" s="147"/>
      <c r="D232" s="148"/>
      <c r="F232" s="149"/>
      <c r="N232" s="150"/>
    </row>
    <row r="233" spans="1:14" s="146" customFormat="1" ht="18.75" hidden="1" customHeight="1" x14ac:dyDescent="0.2">
      <c r="A233" s="145"/>
      <c r="C233" s="147"/>
      <c r="D233" s="148"/>
      <c r="F233" s="149"/>
      <c r="N233" s="150"/>
    </row>
    <row r="234" spans="1:14" s="146" customFormat="1" ht="18.75" hidden="1" customHeight="1" x14ac:dyDescent="0.2">
      <c r="A234" s="145"/>
      <c r="C234" s="147"/>
      <c r="D234" s="148"/>
      <c r="F234" s="149"/>
      <c r="N234" s="150"/>
    </row>
    <row r="235" spans="1:14" s="146" customFormat="1" ht="18.75" hidden="1" customHeight="1" x14ac:dyDescent="0.2">
      <c r="A235" s="145"/>
      <c r="C235" s="147"/>
      <c r="D235" s="148"/>
      <c r="F235" s="149"/>
      <c r="N235" s="150"/>
    </row>
    <row r="236" spans="1:14" s="146" customFormat="1" ht="18.75" hidden="1" customHeight="1" x14ac:dyDescent="0.2">
      <c r="A236" s="145"/>
      <c r="C236" s="147"/>
      <c r="D236" s="148"/>
      <c r="F236" s="149"/>
      <c r="N236" s="150"/>
    </row>
    <row r="237" spans="1:14" s="146" customFormat="1" ht="18.75" hidden="1" customHeight="1" x14ac:dyDescent="0.2">
      <c r="A237" s="145"/>
      <c r="C237" s="147"/>
      <c r="D237" s="148"/>
      <c r="F237" s="149"/>
      <c r="N237" s="150"/>
    </row>
    <row r="238" spans="1:14" s="146" customFormat="1" ht="18.75" hidden="1" customHeight="1" x14ac:dyDescent="0.2">
      <c r="A238" s="145"/>
      <c r="C238" s="147"/>
      <c r="D238" s="148"/>
      <c r="F238" s="149"/>
      <c r="N238" s="150"/>
    </row>
    <row r="239" spans="1:14" s="146" customFormat="1" ht="18.75" hidden="1" customHeight="1" x14ac:dyDescent="0.2">
      <c r="A239" s="145"/>
      <c r="C239" s="147"/>
      <c r="D239" s="148"/>
      <c r="F239" s="149"/>
      <c r="N239" s="150"/>
    </row>
    <row r="240" spans="1:14" s="146" customFormat="1" ht="18.75" hidden="1" customHeight="1" x14ac:dyDescent="0.2">
      <c r="A240" s="145"/>
      <c r="C240" s="147"/>
      <c r="D240" s="148"/>
      <c r="F240" s="149"/>
      <c r="N240" s="150"/>
    </row>
    <row r="241" spans="1:14" s="146" customFormat="1" ht="18.75" hidden="1" customHeight="1" x14ac:dyDescent="0.2">
      <c r="A241" s="145"/>
      <c r="C241" s="147"/>
      <c r="D241" s="148"/>
      <c r="F241" s="149"/>
      <c r="N241" s="150"/>
    </row>
    <row r="242" spans="1:14" s="146" customFormat="1" ht="18.75" hidden="1" customHeight="1" x14ac:dyDescent="0.2">
      <c r="A242" s="145"/>
      <c r="C242" s="147"/>
      <c r="D242" s="148"/>
      <c r="F242" s="149"/>
      <c r="N242" s="150"/>
    </row>
    <row r="243" spans="1:14" s="146" customFormat="1" ht="18.75" hidden="1" customHeight="1" x14ac:dyDescent="0.2">
      <c r="A243" s="145"/>
      <c r="C243" s="147"/>
      <c r="D243" s="148"/>
      <c r="F243" s="149"/>
      <c r="N243" s="150"/>
    </row>
    <row r="244" spans="1:14" s="146" customFormat="1" ht="18.75" hidden="1" customHeight="1" x14ac:dyDescent="0.2">
      <c r="A244" s="145"/>
      <c r="C244" s="147"/>
      <c r="D244" s="148"/>
      <c r="F244" s="149"/>
      <c r="N244" s="150"/>
    </row>
    <row r="245" spans="1:14" s="146" customFormat="1" ht="18.75" hidden="1" customHeight="1" x14ac:dyDescent="0.2">
      <c r="A245" s="145"/>
      <c r="C245" s="147"/>
      <c r="D245" s="148"/>
      <c r="F245" s="149"/>
      <c r="N245" s="150"/>
    </row>
    <row r="246" spans="1:14" s="146" customFormat="1" ht="18.75" hidden="1" customHeight="1" x14ac:dyDescent="0.2">
      <c r="A246" s="145"/>
      <c r="C246" s="147"/>
      <c r="D246" s="148"/>
      <c r="F246" s="149"/>
      <c r="N246" s="150"/>
    </row>
    <row r="247" spans="1:14" s="146" customFormat="1" ht="18.75" hidden="1" customHeight="1" x14ac:dyDescent="0.2">
      <c r="A247" s="145"/>
      <c r="C247" s="147"/>
      <c r="D247" s="148"/>
      <c r="F247" s="149"/>
      <c r="N247" s="150"/>
    </row>
    <row r="248" spans="1:14" s="146" customFormat="1" ht="18.75" hidden="1" customHeight="1" x14ac:dyDescent="0.2">
      <c r="A248" s="145"/>
      <c r="C248" s="147"/>
      <c r="D248" s="148"/>
      <c r="F248" s="149"/>
      <c r="N248" s="150"/>
    </row>
    <row r="249" spans="1:14" s="146" customFormat="1" ht="18.75" hidden="1" customHeight="1" x14ac:dyDescent="0.2">
      <c r="A249" s="145"/>
      <c r="C249" s="147"/>
      <c r="D249" s="148"/>
      <c r="F249" s="149"/>
      <c r="N249" s="150"/>
    </row>
    <row r="250" spans="1:14" s="146" customFormat="1" ht="18.75" hidden="1" customHeight="1" x14ac:dyDescent="0.2">
      <c r="A250" s="145"/>
      <c r="C250" s="147"/>
      <c r="D250" s="148"/>
      <c r="F250" s="149"/>
      <c r="N250" s="150"/>
    </row>
    <row r="251" spans="1:14" s="146" customFormat="1" ht="18.75" hidden="1" customHeight="1" x14ac:dyDescent="0.2">
      <c r="A251" s="145"/>
      <c r="C251" s="147"/>
      <c r="D251" s="148"/>
      <c r="F251" s="149"/>
      <c r="N251" s="150"/>
    </row>
    <row r="252" spans="1:14" s="146" customFormat="1" ht="18.75" hidden="1" customHeight="1" x14ac:dyDescent="0.2">
      <c r="A252" s="145"/>
      <c r="C252" s="147"/>
      <c r="D252" s="148"/>
      <c r="F252" s="149"/>
      <c r="N252" s="150"/>
    </row>
    <row r="253" spans="1:14" s="146" customFormat="1" ht="18.75" hidden="1" customHeight="1" x14ac:dyDescent="0.2">
      <c r="A253" s="145"/>
      <c r="C253" s="147"/>
      <c r="D253" s="148"/>
      <c r="F253" s="149"/>
      <c r="N253" s="150"/>
    </row>
    <row r="254" spans="1:14" s="146" customFormat="1" ht="18.75" hidden="1" customHeight="1" x14ac:dyDescent="0.2">
      <c r="A254" s="145"/>
      <c r="C254" s="147"/>
      <c r="D254" s="148"/>
      <c r="F254" s="149"/>
      <c r="N254" s="150"/>
    </row>
    <row r="255" spans="1:14" s="146" customFormat="1" ht="18.75" hidden="1" customHeight="1" x14ac:dyDescent="0.2">
      <c r="A255" s="145"/>
      <c r="C255" s="147"/>
      <c r="D255" s="148"/>
      <c r="F255" s="149"/>
      <c r="N255" s="150"/>
    </row>
    <row r="256" spans="1:14" s="146" customFormat="1" ht="18.75" hidden="1" customHeight="1" x14ac:dyDescent="0.2">
      <c r="A256" s="145"/>
      <c r="C256" s="147"/>
      <c r="D256" s="148"/>
      <c r="F256" s="149"/>
      <c r="N256" s="150"/>
    </row>
    <row r="257" spans="1:14" s="146" customFormat="1" ht="18.75" hidden="1" customHeight="1" x14ac:dyDescent="0.2">
      <c r="A257" s="145"/>
      <c r="C257" s="147"/>
      <c r="D257" s="148"/>
      <c r="F257" s="149"/>
      <c r="N257" s="150"/>
    </row>
    <row r="258" spans="1:14" s="146" customFormat="1" ht="18.75" hidden="1" customHeight="1" x14ac:dyDescent="0.2">
      <c r="A258" s="145"/>
      <c r="C258" s="147"/>
      <c r="D258" s="148"/>
      <c r="F258" s="149"/>
      <c r="N258" s="150"/>
    </row>
    <row r="259" spans="1:14" s="146" customFormat="1" ht="18.75" hidden="1" customHeight="1" x14ac:dyDescent="0.2">
      <c r="A259" s="145"/>
      <c r="C259" s="147"/>
      <c r="D259" s="148"/>
      <c r="F259" s="149"/>
      <c r="N259" s="150"/>
    </row>
    <row r="260" spans="1:14" s="146" customFormat="1" ht="18.75" hidden="1" customHeight="1" x14ac:dyDescent="0.2">
      <c r="A260" s="145"/>
      <c r="C260" s="147"/>
      <c r="D260" s="148"/>
      <c r="F260" s="149"/>
      <c r="N260" s="150"/>
    </row>
    <row r="261" spans="1:14" s="146" customFormat="1" ht="18.75" hidden="1" customHeight="1" x14ac:dyDescent="0.2">
      <c r="A261" s="145"/>
      <c r="C261" s="147"/>
      <c r="D261" s="148"/>
      <c r="F261" s="149"/>
      <c r="N261" s="150"/>
    </row>
    <row r="262" spans="1:14" s="146" customFormat="1" ht="18.75" hidden="1" customHeight="1" x14ac:dyDescent="0.2">
      <c r="A262" s="145"/>
      <c r="C262" s="147"/>
      <c r="D262" s="148"/>
      <c r="F262" s="149"/>
      <c r="N262" s="150"/>
    </row>
    <row r="263" spans="1:14" s="146" customFormat="1" ht="18.75" hidden="1" customHeight="1" x14ac:dyDescent="0.2">
      <c r="A263" s="145"/>
      <c r="C263" s="147"/>
      <c r="D263" s="148"/>
      <c r="F263" s="149"/>
      <c r="N263" s="150"/>
    </row>
    <row r="264" spans="1:14" s="146" customFormat="1" ht="18.75" hidden="1" customHeight="1" x14ac:dyDescent="0.2">
      <c r="A264" s="145"/>
      <c r="C264" s="147"/>
      <c r="D264" s="148"/>
      <c r="F264" s="149"/>
      <c r="N264" s="150"/>
    </row>
    <row r="265" spans="1:14" s="146" customFormat="1" ht="18.75" hidden="1" customHeight="1" x14ac:dyDescent="0.2">
      <c r="A265" s="145"/>
      <c r="C265" s="147"/>
      <c r="D265" s="148"/>
      <c r="F265" s="149"/>
      <c r="N265" s="150"/>
    </row>
    <row r="266" spans="1:14" s="146" customFormat="1" ht="18.75" hidden="1" customHeight="1" x14ac:dyDescent="0.2">
      <c r="A266" s="145"/>
      <c r="C266" s="147"/>
      <c r="D266" s="148"/>
      <c r="F266" s="149"/>
      <c r="N266" s="150"/>
    </row>
    <row r="267" spans="1:14" s="146" customFormat="1" ht="18.75" hidden="1" customHeight="1" x14ac:dyDescent="0.2">
      <c r="A267" s="145"/>
      <c r="C267" s="147"/>
      <c r="D267" s="148"/>
      <c r="F267" s="149"/>
      <c r="N267" s="150"/>
    </row>
    <row r="268" spans="1:14" s="146" customFormat="1" ht="18.75" hidden="1" customHeight="1" x14ac:dyDescent="0.2">
      <c r="A268" s="145"/>
      <c r="C268" s="147"/>
      <c r="D268" s="148"/>
      <c r="F268" s="149"/>
      <c r="N268" s="150"/>
    </row>
    <row r="269" spans="1:14" s="146" customFormat="1" ht="18.75" hidden="1" customHeight="1" x14ac:dyDescent="0.2">
      <c r="A269" s="145"/>
      <c r="C269" s="147"/>
      <c r="D269" s="148"/>
      <c r="F269" s="149"/>
      <c r="N269" s="150"/>
    </row>
    <row r="270" spans="1:14" s="146" customFormat="1" ht="18.75" hidden="1" customHeight="1" x14ac:dyDescent="0.2">
      <c r="A270" s="145"/>
      <c r="C270" s="147"/>
      <c r="D270" s="148"/>
      <c r="F270" s="149"/>
      <c r="N270" s="150"/>
    </row>
    <row r="271" spans="1:14" s="146" customFormat="1" ht="18.75" hidden="1" customHeight="1" x14ac:dyDescent="0.2">
      <c r="A271" s="145"/>
      <c r="C271" s="147"/>
      <c r="D271" s="148"/>
      <c r="F271" s="149"/>
      <c r="N271" s="150"/>
    </row>
    <row r="272" spans="1:14" s="146" customFormat="1" ht="18.75" hidden="1" customHeight="1" x14ac:dyDescent="0.2">
      <c r="A272" s="145"/>
      <c r="C272" s="147"/>
      <c r="D272" s="148"/>
      <c r="F272" s="149"/>
      <c r="N272" s="150"/>
    </row>
    <row r="273" spans="1:14" s="146" customFormat="1" ht="18.75" hidden="1" customHeight="1" x14ac:dyDescent="0.2">
      <c r="A273" s="145"/>
      <c r="C273" s="147"/>
      <c r="D273" s="148"/>
      <c r="F273" s="149"/>
      <c r="N273" s="150"/>
    </row>
    <row r="274" spans="1:14" s="146" customFormat="1" ht="18.75" hidden="1" customHeight="1" x14ac:dyDescent="0.2">
      <c r="A274" s="145"/>
      <c r="C274" s="147"/>
      <c r="D274" s="148"/>
      <c r="F274" s="149"/>
      <c r="N274" s="150"/>
    </row>
    <row r="275" spans="1:14" s="146" customFormat="1" ht="18.75" hidden="1" customHeight="1" x14ac:dyDescent="0.2">
      <c r="A275" s="145"/>
      <c r="C275" s="147"/>
      <c r="D275" s="148"/>
      <c r="F275" s="149"/>
      <c r="N275" s="150"/>
    </row>
    <row r="276" spans="1:14" s="146" customFormat="1" ht="18.75" hidden="1" customHeight="1" x14ac:dyDescent="0.2">
      <c r="A276" s="145"/>
      <c r="C276" s="147"/>
      <c r="D276" s="148"/>
      <c r="F276" s="149"/>
      <c r="N276" s="150"/>
    </row>
    <row r="277" spans="1:14" s="146" customFormat="1" ht="18.75" hidden="1" customHeight="1" x14ac:dyDescent="0.2">
      <c r="A277" s="145"/>
      <c r="C277" s="147"/>
      <c r="D277" s="148"/>
      <c r="F277" s="149"/>
      <c r="N277" s="150"/>
    </row>
    <row r="278" spans="1:14" s="146" customFormat="1" ht="18.75" hidden="1" customHeight="1" x14ac:dyDescent="0.2">
      <c r="A278" s="145"/>
      <c r="C278" s="147"/>
      <c r="D278" s="148"/>
      <c r="F278" s="149"/>
      <c r="N278" s="150"/>
    </row>
    <row r="279" spans="1:14" s="146" customFormat="1" ht="18.75" hidden="1" customHeight="1" x14ac:dyDescent="0.2">
      <c r="A279" s="145"/>
      <c r="C279" s="147"/>
      <c r="D279" s="148"/>
      <c r="F279" s="149"/>
      <c r="N279" s="150"/>
    </row>
    <row r="280" spans="1:14" s="146" customFormat="1" ht="18.75" hidden="1" customHeight="1" x14ac:dyDescent="0.2">
      <c r="A280" s="145"/>
      <c r="C280" s="147"/>
      <c r="D280" s="148"/>
      <c r="F280" s="149"/>
      <c r="N280" s="150"/>
    </row>
    <row r="281" spans="1:14" s="146" customFormat="1" ht="18.75" hidden="1" customHeight="1" x14ac:dyDescent="0.2">
      <c r="A281" s="145"/>
      <c r="C281" s="147"/>
      <c r="D281" s="148"/>
      <c r="F281" s="149"/>
      <c r="N281" s="150"/>
    </row>
    <row r="282" spans="1:14" s="146" customFormat="1" ht="18.75" hidden="1" customHeight="1" x14ac:dyDescent="0.2">
      <c r="A282" s="145"/>
      <c r="C282" s="147"/>
      <c r="D282" s="148"/>
      <c r="F282" s="149"/>
      <c r="N282" s="150"/>
    </row>
    <row r="283" spans="1:14" s="146" customFormat="1" ht="18.75" hidden="1" customHeight="1" x14ac:dyDescent="0.2">
      <c r="A283" s="145"/>
      <c r="C283" s="147"/>
      <c r="D283" s="148"/>
      <c r="F283" s="149"/>
      <c r="N283" s="150"/>
    </row>
    <row r="284" spans="1:14" s="146" customFormat="1" ht="18.75" hidden="1" customHeight="1" x14ac:dyDescent="0.2">
      <c r="A284" s="145"/>
      <c r="C284" s="147"/>
      <c r="D284" s="148"/>
      <c r="F284" s="149"/>
      <c r="N284" s="150"/>
    </row>
    <row r="285" spans="1:14" s="146" customFormat="1" ht="18.75" hidden="1" customHeight="1" x14ac:dyDescent="0.2">
      <c r="A285" s="145"/>
      <c r="C285" s="147"/>
      <c r="D285" s="148"/>
      <c r="F285" s="149"/>
      <c r="N285" s="150"/>
    </row>
    <row r="286" spans="1:14" s="146" customFormat="1" ht="18.75" hidden="1" customHeight="1" x14ac:dyDescent="0.2">
      <c r="A286" s="145"/>
      <c r="C286" s="147"/>
      <c r="D286" s="148"/>
      <c r="F286" s="149"/>
      <c r="N286" s="150"/>
    </row>
    <row r="287" spans="1:14" s="146" customFormat="1" ht="18.75" hidden="1" customHeight="1" x14ac:dyDescent="0.2">
      <c r="A287" s="145"/>
      <c r="C287" s="147"/>
      <c r="D287" s="148"/>
      <c r="F287" s="149"/>
      <c r="N287" s="150"/>
    </row>
    <row r="288" spans="1:14" s="146" customFormat="1" ht="18.75" hidden="1" customHeight="1" x14ac:dyDescent="0.2">
      <c r="A288" s="145"/>
      <c r="C288" s="147"/>
      <c r="D288" s="148"/>
      <c r="F288" s="149"/>
      <c r="N288" s="150"/>
    </row>
    <row r="289" spans="1:14" s="146" customFormat="1" ht="18.75" hidden="1" customHeight="1" x14ac:dyDescent="0.2">
      <c r="A289" s="145"/>
      <c r="C289" s="147"/>
      <c r="D289" s="148"/>
      <c r="F289" s="149"/>
      <c r="N289" s="150"/>
    </row>
    <row r="290" spans="1:14" s="146" customFormat="1" ht="18.75" hidden="1" customHeight="1" x14ac:dyDescent="0.2">
      <c r="A290" s="145"/>
      <c r="C290" s="147"/>
      <c r="D290" s="148"/>
      <c r="F290" s="149"/>
      <c r="N290" s="150"/>
    </row>
    <row r="291" spans="1:14" s="146" customFormat="1" ht="18.75" hidden="1" customHeight="1" x14ac:dyDescent="0.2">
      <c r="A291" s="145"/>
      <c r="C291" s="147"/>
      <c r="D291" s="148"/>
      <c r="F291" s="149"/>
      <c r="N291" s="150"/>
    </row>
    <row r="292" spans="1:14" s="146" customFormat="1" ht="18.75" hidden="1" customHeight="1" x14ac:dyDescent="0.2">
      <c r="A292" s="145"/>
      <c r="C292" s="147"/>
      <c r="D292" s="148"/>
      <c r="F292" s="149"/>
      <c r="N292" s="150"/>
    </row>
    <row r="293" spans="1:14" s="146" customFormat="1" ht="18.75" hidden="1" customHeight="1" x14ac:dyDescent="0.2">
      <c r="A293" s="145"/>
      <c r="C293" s="147"/>
      <c r="D293" s="148"/>
      <c r="F293" s="149"/>
      <c r="N293" s="150"/>
    </row>
    <row r="294" spans="1:14" s="146" customFormat="1" ht="18.75" hidden="1" customHeight="1" x14ac:dyDescent="0.2">
      <c r="A294" s="145"/>
      <c r="C294" s="147"/>
      <c r="D294" s="148"/>
      <c r="F294" s="149"/>
      <c r="N294" s="150"/>
    </row>
    <row r="295" spans="1:14" s="146" customFormat="1" ht="18.75" hidden="1" customHeight="1" x14ac:dyDescent="0.2">
      <c r="A295" s="145"/>
      <c r="C295" s="147"/>
      <c r="D295" s="148"/>
      <c r="F295" s="149"/>
      <c r="N295" s="150"/>
    </row>
    <row r="296" spans="1:14" s="146" customFormat="1" ht="18.75" hidden="1" customHeight="1" x14ac:dyDescent="0.2">
      <c r="A296" s="145"/>
      <c r="C296" s="147"/>
      <c r="D296" s="148"/>
      <c r="F296" s="149"/>
      <c r="N296" s="150"/>
    </row>
    <row r="297" spans="1:14" s="146" customFormat="1" ht="18.75" hidden="1" customHeight="1" x14ac:dyDescent="0.2">
      <c r="A297" s="145"/>
      <c r="C297" s="147"/>
      <c r="D297" s="148"/>
      <c r="F297" s="149"/>
      <c r="N297" s="150"/>
    </row>
    <row r="298" spans="1:14" s="146" customFormat="1" ht="18.75" hidden="1" customHeight="1" x14ac:dyDescent="0.2">
      <c r="A298" s="145"/>
      <c r="C298" s="147"/>
      <c r="D298" s="148"/>
      <c r="F298" s="149"/>
      <c r="N298" s="150"/>
    </row>
    <row r="299" spans="1:14" s="146" customFormat="1" ht="18.75" hidden="1" customHeight="1" x14ac:dyDescent="0.2">
      <c r="A299" s="145"/>
      <c r="C299" s="147"/>
      <c r="D299" s="148"/>
      <c r="F299" s="149"/>
      <c r="N299" s="150"/>
    </row>
    <row r="300" spans="1:14" s="146" customFormat="1" ht="18.75" hidden="1" customHeight="1" x14ac:dyDescent="0.2">
      <c r="A300" s="145"/>
      <c r="C300" s="147"/>
      <c r="D300" s="148"/>
      <c r="F300" s="149"/>
      <c r="N300" s="150"/>
    </row>
    <row r="301" spans="1:14" s="146" customFormat="1" ht="18.75" hidden="1" customHeight="1" x14ac:dyDescent="0.2">
      <c r="A301" s="145"/>
      <c r="C301" s="147"/>
      <c r="D301" s="148"/>
      <c r="F301" s="149"/>
      <c r="N301" s="150"/>
    </row>
    <row r="302" spans="1:14" s="146" customFormat="1" ht="18.75" hidden="1" customHeight="1" x14ac:dyDescent="0.2">
      <c r="A302" s="145"/>
      <c r="C302" s="147"/>
      <c r="D302" s="148"/>
      <c r="F302" s="149"/>
      <c r="N302" s="150"/>
    </row>
    <row r="303" spans="1:14" s="146" customFormat="1" ht="18.75" hidden="1" customHeight="1" x14ac:dyDescent="0.2">
      <c r="A303" s="145"/>
      <c r="C303" s="147"/>
      <c r="D303" s="148"/>
      <c r="F303" s="149"/>
      <c r="N303" s="150"/>
    </row>
    <row r="304" spans="1:14" s="146" customFormat="1" ht="18.75" hidden="1" customHeight="1" x14ac:dyDescent="0.2">
      <c r="A304" s="145"/>
      <c r="C304" s="147"/>
      <c r="D304" s="148"/>
      <c r="F304" s="149"/>
      <c r="N304" s="150"/>
    </row>
    <row r="305" spans="1:14" s="146" customFormat="1" ht="18.75" hidden="1" customHeight="1" x14ac:dyDescent="0.2">
      <c r="A305" s="145"/>
      <c r="C305" s="147"/>
      <c r="D305" s="148"/>
      <c r="F305" s="149"/>
      <c r="N305" s="150"/>
    </row>
    <row r="306" spans="1:14" s="146" customFormat="1" ht="18.75" hidden="1" customHeight="1" x14ac:dyDescent="0.2">
      <c r="A306" s="145"/>
      <c r="C306" s="147"/>
      <c r="D306" s="148"/>
      <c r="F306" s="149"/>
      <c r="N306" s="150"/>
    </row>
    <row r="307" spans="1:14" s="146" customFormat="1" ht="18.75" hidden="1" customHeight="1" x14ac:dyDescent="0.2">
      <c r="A307" s="145"/>
      <c r="C307" s="147"/>
      <c r="D307" s="148"/>
      <c r="F307" s="149"/>
      <c r="N307" s="150"/>
    </row>
    <row r="308" spans="1:14" s="146" customFormat="1" ht="18.75" hidden="1" customHeight="1" x14ac:dyDescent="0.2">
      <c r="A308" s="145"/>
      <c r="C308" s="147"/>
      <c r="D308" s="148"/>
      <c r="F308" s="149"/>
      <c r="N308" s="150"/>
    </row>
    <row r="309" spans="1:14" s="146" customFormat="1" ht="18.75" hidden="1" customHeight="1" x14ac:dyDescent="0.2">
      <c r="A309" s="145"/>
      <c r="C309" s="147"/>
      <c r="D309" s="148"/>
      <c r="F309" s="149"/>
      <c r="N309" s="150"/>
    </row>
    <row r="310" spans="1:14" s="146" customFormat="1" ht="18.75" hidden="1" customHeight="1" x14ac:dyDescent="0.2">
      <c r="A310" s="145"/>
      <c r="C310" s="147"/>
      <c r="D310" s="148"/>
      <c r="F310" s="149"/>
      <c r="N310" s="150"/>
    </row>
    <row r="311" spans="1:14" s="146" customFormat="1" ht="18.75" hidden="1" customHeight="1" x14ac:dyDescent="0.2">
      <c r="A311" s="145"/>
      <c r="C311" s="147"/>
      <c r="D311" s="148"/>
      <c r="F311" s="149"/>
      <c r="N311" s="150"/>
    </row>
    <row r="312" spans="1:14" s="146" customFormat="1" ht="18.75" hidden="1" customHeight="1" x14ac:dyDescent="0.2">
      <c r="A312" s="145"/>
      <c r="C312" s="147"/>
      <c r="D312" s="148"/>
      <c r="F312" s="149"/>
      <c r="N312" s="150"/>
    </row>
    <row r="313" spans="1:14" s="146" customFormat="1" ht="18.75" hidden="1" customHeight="1" x14ac:dyDescent="0.2">
      <c r="A313" s="145"/>
      <c r="C313" s="147"/>
      <c r="D313" s="148"/>
      <c r="F313" s="149"/>
      <c r="N313" s="150"/>
    </row>
    <row r="314" spans="1:14" s="146" customFormat="1" ht="18.75" hidden="1" customHeight="1" x14ac:dyDescent="0.2">
      <c r="A314" s="145"/>
      <c r="C314" s="147"/>
      <c r="D314" s="148"/>
      <c r="F314" s="149"/>
      <c r="N314" s="150"/>
    </row>
    <row r="315" spans="1:14" s="146" customFormat="1" ht="18.75" hidden="1" customHeight="1" x14ac:dyDescent="0.2">
      <c r="A315" s="145"/>
      <c r="C315" s="147"/>
      <c r="D315" s="148"/>
      <c r="F315" s="149"/>
      <c r="N315" s="150"/>
    </row>
    <row r="316" spans="1:14" s="146" customFormat="1" ht="18.75" hidden="1" customHeight="1" x14ac:dyDescent="0.2">
      <c r="A316" s="145"/>
      <c r="C316" s="147"/>
      <c r="D316" s="148"/>
      <c r="F316" s="149"/>
      <c r="N316" s="150"/>
    </row>
    <row r="317" spans="1:14" s="146" customFormat="1" ht="18.75" hidden="1" customHeight="1" x14ac:dyDescent="0.2">
      <c r="A317" s="145"/>
      <c r="C317" s="147"/>
      <c r="D317" s="148"/>
      <c r="F317" s="149"/>
      <c r="N317" s="150"/>
    </row>
    <row r="318" spans="1:14" s="146" customFormat="1" ht="18.75" hidden="1" customHeight="1" x14ac:dyDescent="0.2">
      <c r="A318" s="145"/>
      <c r="C318" s="147"/>
      <c r="D318" s="148"/>
      <c r="F318" s="149"/>
      <c r="N318" s="150"/>
    </row>
    <row r="319" spans="1:14" s="146" customFormat="1" ht="18.75" hidden="1" customHeight="1" x14ac:dyDescent="0.2">
      <c r="A319" s="145"/>
      <c r="C319" s="147"/>
      <c r="D319" s="148"/>
      <c r="F319" s="149"/>
      <c r="N319" s="150"/>
    </row>
    <row r="320" spans="1:14" s="146" customFormat="1" ht="18.75" hidden="1" customHeight="1" x14ac:dyDescent="0.2">
      <c r="A320" s="145"/>
      <c r="C320" s="147"/>
      <c r="D320" s="148"/>
      <c r="F320" s="149"/>
      <c r="N320" s="150"/>
    </row>
    <row r="321" spans="1:14" s="146" customFormat="1" ht="18.75" hidden="1" customHeight="1" x14ac:dyDescent="0.2">
      <c r="A321" s="145"/>
      <c r="C321" s="147"/>
      <c r="D321" s="148"/>
      <c r="F321" s="149"/>
      <c r="N321" s="150"/>
    </row>
    <row r="322" spans="1:14" s="146" customFormat="1" ht="18.75" hidden="1" customHeight="1" x14ac:dyDescent="0.2">
      <c r="A322" s="145"/>
      <c r="C322" s="147"/>
      <c r="D322" s="148"/>
      <c r="F322" s="149"/>
      <c r="N322" s="150"/>
    </row>
    <row r="323" spans="1:14" s="146" customFormat="1" ht="18.75" hidden="1" customHeight="1" x14ac:dyDescent="0.2">
      <c r="A323" s="145"/>
      <c r="C323" s="147"/>
      <c r="D323" s="148"/>
      <c r="F323" s="149"/>
      <c r="N323" s="150"/>
    </row>
    <row r="324" spans="1:14" s="146" customFormat="1" ht="18.75" hidden="1" customHeight="1" x14ac:dyDescent="0.2">
      <c r="A324" s="145"/>
      <c r="C324" s="147"/>
      <c r="D324" s="148"/>
      <c r="F324" s="149"/>
      <c r="N324" s="150"/>
    </row>
    <row r="325" spans="1:14" s="146" customFormat="1" ht="18.75" hidden="1" customHeight="1" x14ac:dyDescent="0.2">
      <c r="A325" s="145"/>
      <c r="C325" s="147"/>
      <c r="D325" s="148"/>
      <c r="F325" s="149"/>
      <c r="N325" s="150"/>
    </row>
    <row r="326" spans="1:14" s="146" customFormat="1" ht="18.75" hidden="1" customHeight="1" x14ac:dyDescent="0.2">
      <c r="A326" s="145"/>
      <c r="C326" s="147"/>
      <c r="D326" s="148"/>
      <c r="F326" s="149"/>
      <c r="N326" s="150"/>
    </row>
    <row r="327" spans="1:14" s="146" customFormat="1" ht="18.75" hidden="1" customHeight="1" x14ac:dyDescent="0.2">
      <c r="A327" s="145"/>
      <c r="C327" s="147"/>
      <c r="D327" s="148"/>
      <c r="F327" s="149"/>
      <c r="N327" s="150"/>
    </row>
    <row r="328" spans="1:14" s="146" customFormat="1" ht="18.75" hidden="1" customHeight="1" x14ac:dyDescent="0.2">
      <c r="A328" s="145"/>
      <c r="C328" s="147"/>
      <c r="D328" s="148"/>
      <c r="F328" s="149"/>
      <c r="N328" s="150"/>
    </row>
    <row r="329" spans="1:14" s="146" customFormat="1" ht="18.75" hidden="1" customHeight="1" x14ac:dyDescent="0.2">
      <c r="A329" s="145"/>
      <c r="C329" s="147"/>
      <c r="D329" s="148"/>
      <c r="F329" s="149"/>
      <c r="N329" s="150"/>
    </row>
    <row r="330" spans="1:14" s="146" customFormat="1" ht="18.75" hidden="1" customHeight="1" x14ac:dyDescent="0.2">
      <c r="A330" s="145"/>
      <c r="C330" s="147"/>
      <c r="D330" s="148"/>
      <c r="F330" s="149"/>
      <c r="N330" s="150"/>
    </row>
    <row r="331" spans="1:14" s="146" customFormat="1" ht="18.75" hidden="1" customHeight="1" x14ac:dyDescent="0.2">
      <c r="A331" s="145"/>
      <c r="C331" s="147"/>
      <c r="D331" s="148"/>
      <c r="F331" s="149"/>
      <c r="N331" s="150"/>
    </row>
    <row r="332" spans="1:14" s="146" customFormat="1" ht="18.75" hidden="1" customHeight="1" x14ac:dyDescent="0.2">
      <c r="A332" s="145"/>
      <c r="C332" s="147"/>
      <c r="D332" s="148"/>
      <c r="F332" s="149"/>
      <c r="N332" s="150"/>
    </row>
    <row r="333" spans="1:14" s="146" customFormat="1" ht="18.75" hidden="1" customHeight="1" x14ac:dyDescent="0.2">
      <c r="A333" s="145"/>
      <c r="C333" s="147"/>
      <c r="D333" s="148"/>
      <c r="F333" s="149"/>
      <c r="N333" s="150"/>
    </row>
    <row r="334" spans="1:14" s="146" customFormat="1" ht="18.75" hidden="1" customHeight="1" x14ac:dyDescent="0.2">
      <c r="A334" s="145"/>
      <c r="C334" s="147"/>
      <c r="D334" s="148"/>
      <c r="F334" s="149"/>
      <c r="N334" s="150"/>
    </row>
    <row r="335" spans="1:14" s="146" customFormat="1" ht="18.75" hidden="1" customHeight="1" x14ac:dyDescent="0.2">
      <c r="A335" s="145"/>
      <c r="C335" s="147"/>
      <c r="D335" s="148"/>
      <c r="F335" s="149"/>
      <c r="N335" s="150"/>
    </row>
    <row r="336" spans="1:14" s="146" customFormat="1" ht="18.75" hidden="1" customHeight="1" x14ac:dyDescent="0.2">
      <c r="A336" s="145"/>
      <c r="C336" s="147"/>
      <c r="D336" s="148"/>
      <c r="F336" s="149"/>
      <c r="N336" s="150"/>
    </row>
    <row r="337" spans="1:14" s="146" customFormat="1" ht="18.75" hidden="1" customHeight="1" x14ac:dyDescent="0.2">
      <c r="A337" s="145"/>
      <c r="C337" s="147"/>
      <c r="D337" s="148"/>
      <c r="F337" s="149"/>
      <c r="N337" s="150"/>
    </row>
    <row r="338" spans="1:14" s="146" customFormat="1" ht="18.75" hidden="1" customHeight="1" x14ac:dyDescent="0.2">
      <c r="A338" s="145"/>
      <c r="C338" s="147"/>
      <c r="D338" s="148"/>
      <c r="F338" s="149"/>
      <c r="N338" s="150"/>
    </row>
    <row r="339" spans="1:14" s="146" customFormat="1" ht="18.75" hidden="1" customHeight="1" x14ac:dyDescent="0.2">
      <c r="A339" s="145"/>
      <c r="C339" s="147"/>
      <c r="D339" s="148"/>
      <c r="F339" s="149"/>
      <c r="N339" s="150"/>
    </row>
    <row r="340" spans="1:14" s="146" customFormat="1" ht="18.75" hidden="1" customHeight="1" x14ac:dyDescent="0.2">
      <c r="A340" s="145"/>
      <c r="C340" s="147"/>
      <c r="D340" s="148"/>
      <c r="F340" s="149"/>
      <c r="N340" s="150"/>
    </row>
    <row r="341" spans="1:14" s="146" customFormat="1" ht="18.75" hidden="1" customHeight="1" x14ac:dyDescent="0.2">
      <c r="A341" s="145"/>
      <c r="C341" s="147"/>
      <c r="D341" s="148"/>
      <c r="F341" s="149"/>
      <c r="N341" s="150"/>
    </row>
    <row r="342" spans="1:14" s="146" customFormat="1" ht="18.75" hidden="1" customHeight="1" x14ac:dyDescent="0.2">
      <c r="A342" s="145"/>
      <c r="C342" s="147"/>
      <c r="D342" s="148"/>
      <c r="F342" s="149"/>
      <c r="N342" s="150"/>
    </row>
    <row r="343" spans="1:14" s="146" customFormat="1" ht="18.75" hidden="1" customHeight="1" x14ac:dyDescent="0.2">
      <c r="A343" s="145"/>
      <c r="C343" s="147"/>
      <c r="D343" s="148"/>
      <c r="F343" s="149"/>
      <c r="N343" s="150"/>
    </row>
    <row r="344" spans="1:14" s="146" customFormat="1" ht="18.75" hidden="1" customHeight="1" x14ac:dyDescent="0.2">
      <c r="A344" s="145"/>
      <c r="C344" s="147"/>
      <c r="D344" s="148"/>
      <c r="F344" s="149"/>
      <c r="N344" s="150"/>
    </row>
    <row r="345" spans="1:14" s="146" customFormat="1" ht="18.75" hidden="1" customHeight="1" x14ac:dyDescent="0.2">
      <c r="A345" s="145"/>
      <c r="C345" s="147"/>
      <c r="D345" s="148"/>
      <c r="F345" s="149"/>
      <c r="N345" s="150"/>
    </row>
    <row r="346" spans="1:14" s="146" customFormat="1" ht="18.75" hidden="1" customHeight="1" x14ac:dyDescent="0.2">
      <c r="A346" s="145"/>
      <c r="C346" s="147"/>
      <c r="D346" s="148"/>
      <c r="F346" s="149"/>
      <c r="N346" s="150"/>
    </row>
    <row r="347" spans="1:14" s="146" customFormat="1" ht="18.75" hidden="1" customHeight="1" x14ac:dyDescent="0.2">
      <c r="A347" s="145"/>
      <c r="C347" s="147"/>
      <c r="D347" s="148"/>
      <c r="F347" s="149"/>
      <c r="N347" s="150"/>
    </row>
    <row r="348" spans="1:14" s="146" customFormat="1" ht="18.75" hidden="1" customHeight="1" x14ac:dyDescent="0.2">
      <c r="A348" s="145"/>
      <c r="C348" s="147"/>
      <c r="D348" s="148"/>
      <c r="F348" s="149"/>
      <c r="N348" s="150"/>
    </row>
    <row r="349" spans="1:14" s="146" customFormat="1" ht="18.75" hidden="1" customHeight="1" x14ac:dyDescent="0.2">
      <c r="A349" s="145"/>
      <c r="C349" s="147"/>
      <c r="D349" s="148"/>
      <c r="F349" s="149"/>
      <c r="N349" s="150"/>
    </row>
    <row r="350" spans="1:14" s="146" customFormat="1" ht="18.75" hidden="1" customHeight="1" x14ac:dyDescent="0.2">
      <c r="A350" s="145"/>
      <c r="C350" s="147"/>
      <c r="D350" s="148"/>
      <c r="F350" s="149"/>
      <c r="N350" s="150"/>
    </row>
    <row r="351" spans="1:14" s="146" customFormat="1" ht="18.75" hidden="1" customHeight="1" x14ac:dyDescent="0.2">
      <c r="A351" s="145"/>
      <c r="C351" s="147"/>
      <c r="D351" s="148"/>
      <c r="F351" s="149"/>
      <c r="N351" s="150"/>
    </row>
    <row r="352" spans="1:14" s="146" customFormat="1" ht="18.75" hidden="1" customHeight="1" x14ac:dyDescent="0.2">
      <c r="A352" s="145"/>
      <c r="C352" s="147"/>
      <c r="D352" s="148"/>
      <c r="F352" s="149"/>
      <c r="N352" s="150"/>
    </row>
    <row r="353" spans="1:14" s="146" customFormat="1" ht="18.75" hidden="1" customHeight="1" x14ac:dyDescent="0.2">
      <c r="A353" s="145"/>
      <c r="C353" s="147"/>
      <c r="D353" s="148"/>
      <c r="F353" s="149"/>
      <c r="N353" s="150"/>
    </row>
    <row r="354" spans="1:14" s="146" customFormat="1" ht="18.75" hidden="1" customHeight="1" x14ac:dyDescent="0.2">
      <c r="A354" s="145"/>
      <c r="C354" s="147"/>
      <c r="D354" s="148"/>
      <c r="F354" s="149"/>
      <c r="N354" s="150"/>
    </row>
    <row r="355" spans="1:14" s="146" customFormat="1" ht="18.75" hidden="1" customHeight="1" x14ac:dyDescent="0.2">
      <c r="A355" s="145"/>
      <c r="C355" s="147"/>
      <c r="D355" s="148"/>
      <c r="F355" s="149"/>
      <c r="N355" s="150"/>
    </row>
    <row r="356" spans="1:14" s="146" customFormat="1" ht="18.75" hidden="1" customHeight="1" x14ac:dyDescent="0.2">
      <c r="A356" s="145"/>
      <c r="C356" s="147"/>
      <c r="D356" s="148"/>
      <c r="F356" s="149"/>
      <c r="N356" s="150"/>
    </row>
    <row r="357" spans="1:14" s="146" customFormat="1" ht="18.75" hidden="1" customHeight="1" x14ac:dyDescent="0.2">
      <c r="A357" s="145"/>
      <c r="C357" s="147"/>
      <c r="D357" s="148"/>
      <c r="F357" s="149"/>
      <c r="N357" s="150"/>
    </row>
    <row r="358" spans="1:14" s="146" customFormat="1" ht="18.75" hidden="1" customHeight="1" x14ac:dyDescent="0.2">
      <c r="A358" s="145"/>
      <c r="C358" s="147"/>
      <c r="D358" s="148"/>
      <c r="F358" s="149"/>
      <c r="N358" s="150"/>
    </row>
    <row r="359" spans="1:14" s="146" customFormat="1" ht="18.75" hidden="1" customHeight="1" x14ac:dyDescent="0.2">
      <c r="A359" s="145"/>
      <c r="C359" s="147"/>
      <c r="D359" s="148"/>
      <c r="F359" s="149"/>
      <c r="N359" s="150"/>
    </row>
    <row r="360" spans="1:14" s="146" customFormat="1" ht="18.75" hidden="1" customHeight="1" x14ac:dyDescent="0.2">
      <c r="A360" s="145"/>
      <c r="C360" s="147"/>
      <c r="D360" s="148"/>
      <c r="F360" s="149"/>
      <c r="N360" s="150"/>
    </row>
    <row r="361" spans="1:14" s="146" customFormat="1" ht="18.75" hidden="1" customHeight="1" x14ac:dyDescent="0.2">
      <c r="A361" s="145"/>
      <c r="C361" s="147"/>
      <c r="D361" s="148"/>
      <c r="F361" s="149"/>
      <c r="N361" s="150"/>
    </row>
    <row r="362" spans="1:14" s="146" customFormat="1" ht="18.75" hidden="1" customHeight="1" x14ac:dyDescent="0.2">
      <c r="A362" s="145"/>
      <c r="C362" s="147"/>
      <c r="D362" s="148"/>
      <c r="F362" s="149"/>
      <c r="N362" s="150"/>
    </row>
    <row r="363" spans="1:14" s="146" customFormat="1" ht="18.75" hidden="1" customHeight="1" x14ac:dyDescent="0.2">
      <c r="A363" s="145"/>
      <c r="C363" s="147"/>
      <c r="D363" s="148"/>
      <c r="F363" s="149"/>
      <c r="N363" s="150"/>
    </row>
    <row r="364" spans="1:14" s="146" customFormat="1" ht="18.75" hidden="1" customHeight="1" x14ac:dyDescent="0.2">
      <c r="A364" s="145"/>
      <c r="C364" s="147"/>
      <c r="D364" s="148"/>
      <c r="F364" s="149"/>
      <c r="N364" s="150"/>
    </row>
    <row r="365" spans="1:14" ht="27.75" hidden="1" customHeight="1" x14ac:dyDescent="0.2">
      <c r="A365" s="48"/>
      <c r="D365" s="59"/>
      <c r="N365" s="123"/>
    </row>
    <row r="366" spans="1:14" s="74" customFormat="1" ht="27.75" hidden="1" customHeight="1" x14ac:dyDescent="0.2">
      <c r="E366" s="89"/>
      <c r="G366" s="89"/>
      <c r="I366" s="89"/>
      <c r="K366" s="89"/>
    </row>
    <row r="367" spans="1:14" ht="27.75" hidden="1" customHeight="1" x14ac:dyDescent="0.2">
      <c r="A367" s="48"/>
      <c r="D367" s="59"/>
    </row>
    <row r="368" spans="1: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4" ht="27.75" hidden="1" customHeight="1" x14ac:dyDescent="0.2">
      <c r="A561" s="48"/>
      <c r="D561" s="59"/>
    </row>
    <row r="562" spans="1:4" ht="27.75" hidden="1" customHeight="1" x14ac:dyDescent="0.2">
      <c r="A562" s="48"/>
      <c r="D562" s="59"/>
    </row>
    <row r="563" spans="1:4" ht="27.75" hidden="1" customHeight="1" x14ac:dyDescent="0.2">
      <c r="A563" s="48"/>
      <c r="D563" s="59"/>
    </row>
    <row r="564" spans="1:4" ht="27.75" hidden="1" customHeight="1" x14ac:dyDescent="0.2">
      <c r="A564" s="48"/>
      <c r="D564" s="59"/>
    </row>
    <row r="565" spans="1:4" ht="27.75" hidden="1" customHeight="1" x14ac:dyDescent="0.2">
      <c r="A565" s="48"/>
      <c r="D565" s="59"/>
    </row>
    <row r="566" spans="1:4" ht="27.75" hidden="1" customHeight="1" x14ac:dyDescent="0.2">
      <c r="A566" s="48"/>
      <c r="D566" s="59"/>
    </row>
    <row r="567" spans="1:4" ht="27.75" hidden="1" customHeight="1" x14ac:dyDescent="0.2">
      <c r="A567" s="48"/>
      <c r="D567" s="59"/>
    </row>
    <row r="568" spans="1:4" ht="27.75" hidden="1" customHeight="1" x14ac:dyDescent="0.2">
      <c r="A568" s="48"/>
      <c r="D568" s="59"/>
    </row>
    <row r="569" spans="1:4" ht="27.75" hidden="1" customHeight="1" x14ac:dyDescent="0.2">
      <c r="A569" s="48"/>
      <c r="D569" s="59"/>
    </row>
    <row r="570" spans="1:4" ht="27.75" hidden="1" customHeight="1" x14ac:dyDescent="0.2">
      <c r="A570" s="48"/>
      <c r="D570" s="59"/>
    </row>
    <row r="571" spans="1:4" ht="27.75" hidden="1" customHeight="1" x14ac:dyDescent="0.2">
      <c r="A571" s="48"/>
      <c r="D571" s="59"/>
    </row>
    <row r="572" spans="1:4" ht="27.75" hidden="1" customHeight="1" x14ac:dyDescent="0.2">
      <c r="A572" s="48"/>
      <c r="D572" s="59"/>
    </row>
    <row r="573" spans="1:4" ht="27.75" hidden="1" customHeight="1" x14ac:dyDescent="0.2">
      <c r="A573" s="48"/>
      <c r="D573" s="59"/>
    </row>
    <row r="574" spans="1:4" ht="27.75" hidden="1" customHeight="1" x14ac:dyDescent="0.2">
      <c r="A574" s="48"/>
      <c r="D574" s="59"/>
    </row>
    <row r="575" spans="1:4" ht="27.75" hidden="1" customHeight="1" x14ac:dyDescent="0.2">
      <c r="A575" s="48"/>
      <c r="D575" s="59"/>
    </row>
    <row r="576" spans="1:4" ht="27.75" hidden="1" customHeight="1" x14ac:dyDescent="0.2">
      <c r="A576" s="48"/>
      <c r="D576" s="59"/>
    </row>
    <row r="577" spans="1:4" ht="27.75" hidden="1" customHeight="1" x14ac:dyDescent="0.2">
      <c r="A577" s="48"/>
      <c r="D577" s="59"/>
    </row>
    <row r="578" spans="1:4" ht="27.75" hidden="1" customHeight="1" x14ac:dyDescent="0.2">
      <c r="A578" s="48"/>
      <c r="D578" s="59"/>
    </row>
    <row r="579" spans="1:4" ht="27.75" hidden="1" customHeight="1" x14ac:dyDescent="0.2">
      <c r="A579" s="48"/>
      <c r="D579" s="59"/>
    </row>
    <row r="580" spans="1:4" ht="27.75" hidden="1" customHeight="1" x14ac:dyDescent="0.2">
      <c r="A580" s="48"/>
      <c r="D580" s="59"/>
    </row>
    <row r="581" spans="1:4" ht="27.75" hidden="1" customHeight="1" x14ac:dyDescent="0.2">
      <c r="A581" s="48"/>
      <c r="D581" s="59"/>
    </row>
    <row r="582" spans="1:4" ht="27.75" hidden="1" customHeight="1" x14ac:dyDescent="0.2">
      <c r="A582" s="48"/>
      <c r="D582" s="59"/>
    </row>
    <row r="583" spans="1:4" ht="27.75" hidden="1" customHeight="1" x14ac:dyDescent="0.2">
      <c r="A583" s="48"/>
      <c r="D583" s="59"/>
    </row>
    <row r="584" spans="1:4" ht="27.75" hidden="1" customHeight="1" x14ac:dyDescent="0.2">
      <c r="A584" s="48"/>
      <c r="D584" s="59"/>
    </row>
    <row r="585" spans="1:4" ht="27.75" hidden="1" customHeight="1" x14ac:dyDescent="0.2">
      <c r="A585" s="48"/>
      <c r="D585" s="59"/>
    </row>
    <row r="586" spans="1:4" ht="27.75" hidden="1" customHeight="1" x14ac:dyDescent="0.2">
      <c r="A586" s="48"/>
      <c r="D586" s="59"/>
    </row>
    <row r="587" spans="1:4" ht="27.75" hidden="1" customHeight="1" x14ac:dyDescent="0.2">
      <c r="A587" s="48"/>
      <c r="D587" s="59"/>
    </row>
    <row r="588" spans="1:4" ht="27.75" hidden="1" customHeight="1" x14ac:dyDescent="0.2">
      <c r="A588" s="48"/>
      <c r="D588" s="59"/>
    </row>
    <row r="589" spans="1:4" ht="27.75" hidden="1" customHeight="1" x14ac:dyDescent="0.2">
      <c r="A589" s="48"/>
      <c r="D589" s="59"/>
    </row>
    <row r="590" spans="1:4" ht="27.75" hidden="1" customHeight="1" x14ac:dyDescent="0.2">
      <c r="A590" s="48"/>
      <c r="D590" s="59"/>
    </row>
    <row r="591" spans="1:4" ht="27.75" hidden="1" customHeight="1" x14ac:dyDescent="0.2">
      <c r="A591" s="48"/>
      <c r="D591" s="59"/>
    </row>
    <row r="592" spans="1:4" ht="27.75" hidden="1" customHeight="1" x14ac:dyDescent="0.2">
      <c r="A592" s="48"/>
      <c r="D592" s="59"/>
    </row>
    <row r="593" spans="1:4" ht="27.75" hidden="1" customHeight="1" x14ac:dyDescent="0.2">
      <c r="A593" s="48"/>
      <c r="D593" s="59"/>
    </row>
    <row r="594" spans="1:4" ht="27.75" hidden="1" customHeight="1" x14ac:dyDescent="0.2">
      <c r="A594" s="48"/>
      <c r="D594" s="59"/>
    </row>
    <row r="595" spans="1:4" ht="27.75" hidden="1" customHeight="1" x14ac:dyDescent="0.2">
      <c r="A595" s="48"/>
      <c r="D595" s="59"/>
    </row>
    <row r="596" spans="1:4" ht="27.75" hidden="1" customHeight="1" x14ac:dyDescent="0.2">
      <c r="A596" s="48"/>
      <c r="D596" s="59"/>
    </row>
    <row r="597" spans="1:4" ht="27.75" hidden="1" customHeight="1" x14ac:dyDescent="0.2">
      <c r="A597" s="48"/>
      <c r="D597" s="59"/>
    </row>
    <row r="598" spans="1:4" ht="27.75" hidden="1" customHeight="1" x14ac:dyDescent="0.2">
      <c r="A598" s="48"/>
      <c r="D598" s="59"/>
    </row>
    <row r="599" spans="1:4" ht="27.75" hidden="1" customHeight="1" x14ac:dyDescent="0.2">
      <c r="A599" s="48"/>
      <c r="D599" s="59"/>
    </row>
    <row r="600" spans="1:4" ht="27.75" hidden="1" customHeight="1" x14ac:dyDescent="0.2">
      <c r="A600" s="48"/>
      <c r="D600" s="59"/>
    </row>
    <row r="601" spans="1:4" ht="27.75" hidden="1" customHeight="1" x14ac:dyDescent="0.2">
      <c r="A601" s="48"/>
      <c r="D601" s="59"/>
    </row>
    <row r="602" spans="1:4" ht="27.75" hidden="1" customHeight="1" x14ac:dyDescent="0.2">
      <c r="A602" s="48"/>
      <c r="D602" s="59"/>
    </row>
    <row r="603" spans="1:4" ht="27.75" hidden="1" customHeight="1" x14ac:dyDescent="0.2">
      <c r="A603" s="48"/>
      <c r="D603" s="59"/>
    </row>
    <row r="604" spans="1:4" ht="27.75" hidden="1" customHeight="1" x14ac:dyDescent="0.2">
      <c r="A604" s="48"/>
      <c r="D604" s="59"/>
    </row>
    <row r="605" spans="1:4" ht="27.75" hidden="1" customHeight="1" x14ac:dyDescent="0.2">
      <c r="A605" s="48"/>
      <c r="D605" s="59"/>
    </row>
    <row r="606" spans="1:4" ht="27.75" hidden="1" customHeight="1" x14ac:dyDescent="0.2">
      <c r="A606" s="48"/>
      <c r="D606" s="59"/>
    </row>
    <row r="607" spans="1:4" ht="27.75" hidden="1" customHeight="1" x14ac:dyDescent="0.2">
      <c r="A607" s="48"/>
      <c r="D607" s="59"/>
    </row>
    <row r="608" spans="1:4" ht="27.75" hidden="1" customHeight="1" x14ac:dyDescent="0.2">
      <c r="A608" s="48"/>
      <c r="D608" s="59"/>
    </row>
    <row r="609" spans="1:4" ht="27.75" hidden="1" customHeight="1" x14ac:dyDescent="0.2">
      <c r="A609" s="48"/>
      <c r="D609" s="59"/>
    </row>
    <row r="610" spans="1:4" ht="27.75" hidden="1" customHeight="1" x14ac:dyDescent="0.2">
      <c r="A610" s="48"/>
      <c r="D610" s="59"/>
    </row>
    <row r="611" spans="1:4" ht="27.75" hidden="1" customHeight="1" x14ac:dyDescent="0.2">
      <c r="A611" s="48"/>
      <c r="D611" s="59"/>
    </row>
    <row r="612" spans="1:4" ht="27.75" hidden="1" customHeight="1" x14ac:dyDescent="0.2">
      <c r="A612" s="48"/>
      <c r="D612" s="59"/>
    </row>
    <row r="613" spans="1:4" ht="27.75" hidden="1" customHeight="1" x14ac:dyDescent="0.2">
      <c r="A613" s="48"/>
      <c r="D613" s="59"/>
    </row>
    <row r="614" spans="1:4" ht="27.75" hidden="1" customHeight="1" x14ac:dyDescent="0.2">
      <c r="A614" s="48"/>
      <c r="D614" s="59"/>
    </row>
    <row r="615" spans="1:4" ht="27.75" hidden="1" customHeight="1" x14ac:dyDescent="0.2">
      <c r="A615" s="48"/>
      <c r="D615" s="59"/>
    </row>
    <row r="616" spans="1:4" ht="27.75" hidden="1" customHeight="1" x14ac:dyDescent="0.2">
      <c r="A616" s="48"/>
      <c r="D616" s="59"/>
    </row>
    <row r="617" spans="1:4" ht="27.75" hidden="1" customHeight="1" x14ac:dyDescent="0.2">
      <c r="A617" s="48"/>
      <c r="D617" s="59"/>
    </row>
    <row r="618" spans="1:4" ht="27.75" hidden="1" customHeight="1" x14ac:dyDescent="0.2">
      <c r="A618" s="48"/>
      <c r="D618" s="59"/>
    </row>
    <row r="619" spans="1:4" ht="27.75" hidden="1" customHeight="1" x14ac:dyDescent="0.2">
      <c r="A619" s="48"/>
      <c r="D619" s="59"/>
    </row>
    <row r="620" spans="1:4" ht="27.75" hidden="1" customHeight="1" x14ac:dyDescent="0.2">
      <c r="A620" s="48"/>
      <c r="D620" s="59"/>
    </row>
    <row r="621" spans="1:4" ht="27.75" hidden="1" customHeight="1" x14ac:dyDescent="0.2">
      <c r="A621" s="48"/>
      <c r="D621" s="59"/>
    </row>
    <row r="622" spans="1:4" ht="27.75" hidden="1" customHeight="1" x14ac:dyDescent="0.2">
      <c r="A622" s="48"/>
      <c r="D622" s="59"/>
    </row>
    <row r="623" spans="1:4" ht="27.75" hidden="1" customHeight="1" x14ac:dyDescent="0.2">
      <c r="A623" s="48"/>
      <c r="D623" s="59"/>
    </row>
    <row r="624" spans="1:4" ht="27.75" hidden="1" customHeight="1" x14ac:dyDescent="0.2">
      <c r="A624" s="48"/>
      <c r="D624" s="59"/>
    </row>
    <row r="625" spans="1:4" ht="27.75" hidden="1" customHeight="1" x14ac:dyDescent="0.2">
      <c r="A625" s="48"/>
      <c r="D625" s="59"/>
    </row>
    <row r="626" spans="1:4" ht="27.75" hidden="1" customHeight="1" x14ac:dyDescent="0.2">
      <c r="A626" s="48"/>
      <c r="D626" s="59"/>
    </row>
    <row r="627" spans="1:4" ht="27.75" hidden="1" customHeight="1" x14ac:dyDescent="0.2">
      <c r="A627" s="48"/>
      <c r="D627" s="59"/>
    </row>
    <row r="628" spans="1:4" ht="27.75" hidden="1" customHeight="1" x14ac:dyDescent="0.2">
      <c r="A628" s="48"/>
      <c r="D628" s="59"/>
    </row>
    <row r="629" spans="1:4" ht="27.75" hidden="1" customHeight="1" x14ac:dyDescent="0.2">
      <c r="A629" s="48"/>
      <c r="D629" s="59"/>
    </row>
    <row r="630" spans="1:4" ht="27.75" hidden="1" customHeight="1" x14ac:dyDescent="0.2">
      <c r="A630" s="48"/>
      <c r="D630" s="59"/>
    </row>
    <row r="631" spans="1:4" ht="27.75" hidden="1" customHeight="1" x14ac:dyDescent="0.2">
      <c r="A631" s="48"/>
      <c r="D631" s="59"/>
    </row>
    <row r="632" spans="1:4" ht="27.75" hidden="1" customHeight="1" x14ac:dyDescent="0.2">
      <c r="A632" s="48"/>
      <c r="D632" s="59"/>
    </row>
    <row r="633" spans="1:4" ht="27.75" hidden="1" customHeight="1" x14ac:dyDescent="0.2">
      <c r="A633" s="48"/>
      <c r="D633" s="59"/>
    </row>
    <row r="634" spans="1:4" ht="27.75" hidden="1" customHeight="1" x14ac:dyDescent="0.2">
      <c r="A634" s="48"/>
      <c r="D634" s="59"/>
    </row>
    <row r="635" spans="1:4" ht="27.75" hidden="1" customHeight="1" x14ac:dyDescent="0.2">
      <c r="A635" s="48"/>
      <c r="D635" s="59"/>
    </row>
    <row r="636" spans="1:4" ht="27.75" hidden="1" customHeight="1" x14ac:dyDescent="0.2">
      <c r="A636" s="48"/>
      <c r="D636" s="59"/>
    </row>
    <row r="637" spans="1:4" ht="27.75" hidden="1" customHeight="1" x14ac:dyDescent="0.2">
      <c r="A637" s="48"/>
      <c r="D637" s="59"/>
    </row>
    <row r="638" spans="1:4" ht="27.75" hidden="1" customHeight="1" x14ac:dyDescent="0.2">
      <c r="A638" s="48"/>
      <c r="D638" s="59"/>
    </row>
    <row r="639" spans="1:4" ht="27.75" hidden="1" customHeight="1" x14ac:dyDescent="0.2">
      <c r="A639" s="48"/>
      <c r="D639" s="59"/>
    </row>
    <row r="640" spans="1:4" ht="27.75" hidden="1" customHeight="1" x14ac:dyDescent="0.2">
      <c r="A640" s="48"/>
      <c r="D640" s="59"/>
    </row>
    <row r="641" spans="1:4" ht="27.75" hidden="1" customHeight="1" x14ac:dyDescent="0.2">
      <c r="A641" s="48"/>
      <c r="D641" s="59"/>
    </row>
    <row r="642" spans="1:4" ht="27.75" hidden="1" customHeight="1" x14ac:dyDescent="0.2">
      <c r="A642" s="48"/>
      <c r="D642" s="59"/>
    </row>
    <row r="643" spans="1:4" ht="27.75" hidden="1" customHeight="1" x14ac:dyDescent="0.2">
      <c r="A643" s="48"/>
      <c r="D643" s="59"/>
    </row>
    <row r="644" spans="1:4" ht="27.75" hidden="1" customHeight="1" x14ac:dyDescent="0.2">
      <c r="A644" s="48"/>
      <c r="D644" s="59"/>
    </row>
    <row r="645" spans="1:4" ht="27.75" hidden="1" customHeight="1" x14ac:dyDescent="0.2">
      <c r="A645" s="48"/>
      <c r="D645" s="59"/>
    </row>
    <row r="646" spans="1:4" ht="27.75" hidden="1" customHeight="1" x14ac:dyDescent="0.2">
      <c r="A646" s="48"/>
      <c r="D646" s="59"/>
    </row>
    <row r="647" spans="1:4" ht="27.75" hidden="1" customHeight="1" x14ac:dyDescent="0.2">
      <c r="A647" s="48"/>
      <c r="D647" s="59"/>
    </row>
    <row r="648" spans="1:4" ht="27.75" hidden="1" customHeight="1" x14ac:dyDescent="0.2">
      <c r="A648" s="48"/>
      <c r="D648" s="59"/>
    </row>
    <row r="649" spans="1:4" ht="27.75" hidden="1" customHeight="1" x14ac:dyDescent="0.2">
      <c r="A649" s="48"/>
      <c r="D649" s="59"/>
    </row>
    <row r="650" spans="1:4" ht="27.75" hidden="1" customHeight="1" x14ac:dyDescent="0.2">
      <c r="A650" s="48"/>
      <c r="D650" s="59"/>
    </row>
    <row r="651" spans="1:4" ht="27.75" hidden="1" customHeight="1" x14ac:dyDescent="0.2">
      <c r="A651" s="48"/>
      <c r="D651" s="59"/>
    </row>
    <row r="652" spans="1:4" ht="27.75" hidden="1" customHeight="1" x14ac:dyDescent="0.2">
      <c r="A652" s="48"/>
      <c r="D652" s="59"/>
    </row>
    <row r="653" spans="1:4" ht="27.75" hidden="1" customHeight="1" x14ac:dyDescent="0.2">
      <c r="A653" s="48"/>
      <c r="D653" s="59"/>
    </row>
    <row r="654" spans="1:4" ht="27.75" hidden="1" customHeight="1" x14ac:dyDescent="0.2">
      <c r="A654" s="48"/>
      <c r="D654" s="59"/>
    </row>
    <row r="655" spans="1:4" ht="27.75" hidden="1" customHeight="1" x14ac:dyDescent="0.2">
      <c r="A655" s="48"/>
      <c r="D655" s="59"/>
    </row>
    <row r="656" spans="1:4" ht="27.75" hidden="1" customHeight="1" x14ac:dyDescent="0.2">
      <c r="A656" s="48"/>
      <c r="D656" s="59"/>
    </row>
    <row r="657" spans="1:4" ht="27.75" hidden="1" customHeight="1" x14ac:dyDescent="0.2">
      <c r="A657" s="48"/>
      <c r="D657" s="59"/>
    </row>
    <row r="658" spans="1:4" ht="27.75" hidden="1" customHeight="1" x14ac:dyDescent="0.2">
      <c r="A658" s="48"/>
      <c r="D658" s="59"/>
    </row>
    <row r="659" spans="1:4" ht="27.75" hidden="1" customHeight="1" x14ac:dyDescent="0.2">
      <c r="A659" s="48"/>
      <c r="D659" s="59"/>
    </row>
    <row r="660" spans="1:4" ht="27.75" hidden="1" customHeight="1" x14ac:dyDescent="0.2">
      <c r="A660" s="48"/>
      <c r="D660" s="59"/>
    </row>
    <row r="661" spans="1:4" ht="27.75" hidden="1" customHeight="1" x14ac:dyDescent="0.2">
      <c r="A661" s="48"/>
      <c r="D661" s="59"/>
    </row>
    <row r="662" spans="1:4" ht="27.75" hidden="1" customHeight="1" x14ac:dyDescent="0.2">
      <c r="A662" s="48"/>
      <c r="D662" s="59"/>
    </row>
    <row r="663" spans="1:4" ht="27.75" hidden="1" customHeight="1" x14ac:dyDescent="0.2">
      <c r="A663" s="48"/>
      <c r="D663" s="59"/>
    </row>
    <row r="664" spans="1:4" ht="27.75" hidden="1" customHeight="1" x14ac:dyDescent="0.2">
      <c r="A664" s="48"/>
      <c r="D664" s="59"/>
    </row>
    <row r="665" spans="1:4" ht="27.75" hidden="1" customHeight="1" x14ac:dyDescent="0.2">
      <c r="A665" s="48"/>
      <c r="D665" s="59"/>
    </row>
    <row r="666" spans="1:4" ht="27.75" hidden="1" customHeight="1" x14ac:dyDescent="0.2">
      <c r="A666" s="48"/>
      <c r="D666" s="59"/>
    </row>
    <row r="667" spans="1:4" ht="27.75" hidden="1" customHeight="1" x14ac:dyDescent="0.2">
      <c r="A667" s="48"/>
      <c r="D667" s="59"/>
    </row>
    <row r="668" spans="1:4" ht="27.75" hidden="1" customHeight="1" x14ac:dyDescent="0.2">
      <c r="A668" s="48"/>
      <c r="D668" s="59"/>
    </row>
    <row r="669" spans="1:4" ht="27.75" hidden="1" customHeight="1" x14ac:dyDescent="0.2">
      <c r="A669" s="48"/>
      <c r="D669" s="59"/>
    </row>
    <row r="670" spans="1:4" ht="27.75" hidden="1" customHeight="1" x14ac:dyDescent="0.2">
      <c r="A670" s="48"/>
      <c r="D670" s="59"/>
    </row>
    <row r="671" spans="1:4" ht="27.75" hidden="1" customHeight="1" x14ac:dyDescent="0.2">
      <c r="A671" s="48"/>
      <c r="D671" s="59"/>
    </row>
    <row r="672" spans="1:4" ht="27.75" hidden="1" customHeight="1" x14ac:dyDescent="0.2">
      <c r="A672" s="48"/>
      <c r="D672" s="59"/>
    </row>
    <row r="673" spans="1:4" ht="27.75" hidden="1" customHeight="1" x14ac:dyDescent="0.2">
      <c r="A673" s="48"/>
      <c r="D673" s="59"/>
    </row>
    <row r="674" spans="1:4" ht="27.75" hidden="1" customHeight="1" x14ac:dyDescent="0.2">
      <c r="A674" s="48"/>
      <c r="D674" s="59"/>
    </row>
    <row r="675" spans="1:4" ht="27.75" hidden="1" customHeight="1" x14ac:dyDescent="0.2">
      <c r="A675" s="48"/>
      <c r="D675" s="59"/>
    </row>
    <row r="676" spans="1:4" ht="27.75" hidden="1" customHeight="1" x14ac:dyDescent="0.2">
      <c r="A676" s="48"/>
      <c r="D676" s="59"/>
    </row>
    <row r="677" spans="1:4" ht="27.75" hidden="1" customHeight="1" x14ac:dyDescent="0.2">
      <c r="A677" s="48"/>
      <c r="D677" s="59"/>
    </row>
    <row r="678" spans="1:4" ht="27.75" hidden="1" customHeight="1" x14ac:dyDescent="0.2">
      <c r="A678" s="48"/>
      <c r="D678" s="59"/>
    </row>
    <row r="679" spans="1:4" ht="27.75" hidden="1" customHeight="1" x14ac:dyDescent="0.2">
      <c r="A679" s="48"/>
      <c r="D679" s="59"/>
    </row>
    <row r="680" spans="1:4" ht="27.75" hidden="1" customHeight="1" x14ac:dyDescent="0.2">
      <c r="A680" s="48"/>
      <c r="D680" s="59"/>
    </row>
    <row r="681" spans="1:4" ht="27.75" hidden="1" customHeight="1" x14ac:dyDescent="0.2">
      <c r="A681" s="48"/>
      <c r="D681" s="59"/>
    </row>
    <row r="682" spans="1:4" ht="27.75" hidden="1" customHeight="1" x14ac:dyDescent="0.2">
      <c r="A682" s="48"/>
      <c r="D682" s="59"/>
    </row>
    <row r="683" spans="1:4" ht="27.75" hidden="1" customHeight="1" x14ac:dyDescent="0.2">
      <c r="A683" s="48"/>
      <c r="D683" s="59"/>
    </row>
    <row r="684" spans="1:4" ht="27.75" hidden="1" customHeight="1" x14ac:dyDescent="0.2">
      <c r="A684" s="48"/>
      <c r="D684" s="59"/>
    </row>
    <row r="685" spans="1:4" ht="27.75" hidden="1" customHeight="1" x14ac:dyDescent="0.2">
      <c r="A685" s="48"/>
      <c r="D685" s="59"/>
    </row>
    <row r="686" spans="1:4" ht="27.75" hidden="1" customHeight="1" x14ac:dyDescent="0.2">
      <c r="A686" s="48"/>
      <c r="D686" s="59"/>
    </row>
    <row r="687" spans="1:4" ht="27.75" hidden="1" customHeight="1" x14ac:dyDescent="0.2">
      <c r="A687" s="48"/>
      <c r="D687" s="59"/>
    </row>
    <row r="688" spans="1:4" ht="27.75" hidden="1" customHeight="1" x14ac:dyDescent="0.2">
      <c r="A688" s="48"/>
      <c r="D688" s="59"/>
    </row>
    <row r="689" spans="1:4" ht="27.75" hidden="1" customHeight="1" x14ac:dyDescent="0.2">
      <c r="A689" s="48"/>
      <c r="D689" s="59"/>
    </row>
    <row r="690" spans="1:4" ht="27.75" hidden="1" customHeight="1" x14ac:dyDescent="0.2">
      <c r="A690" s="48"/>
      <c r="D690" s="59"/>
    </row>
    <row r="691" spans="1:4" ht="27.75" hidden="1" customHeight="1" x14ac:dyDescent="0.2">
      <c r="A691" s="48"/>
      <c r="D691" s="59"/>
    </row>
    <row r="692" spans="1:4" ht="27.75" hidden="1" customHeight="1" x14ac:dyDescent="0.2">
      <c r="A692" s="48"/>
      <c r="D692" s="59"/>
    </row>
    <row r="693" spans="1:4" ht="27.75" hidden="1" customHeight="1" x14ac:dyDescent="0.2">
      <c r="A693" s="48"/>
      <c r="D693" s="59"/>
    </row>
    <row r="694" spans="1:4" ht="27.75" hidden="1" customHeight="1" x14ac:dyDescent="0.2">
      <c r="A694" s="48"/>
      <c r="D694" s="59"/>
    </row>
    <row r="695" spans="1:4" ht="27.75" hidden="1" customHeight="1" x14ac:dyDescent="0.2">
      <c r="A695" s="48"/>
      <c r="D695" s="59"/>
    </row>
    <row r="696" spans="1:4" ht="27.75" hidden="1" customHeight="1" x14ac:dyDescent="0.2">
      <c r="A696" s="48"/>
      <c r="D696" s="59"/>
    </row>
    <row r="697" spans="1:4" ht="27.75" hidden="1" customHeight="1" x14ac:dyDescent="0.2">
      <c r="A697" s="48"/>
      <c r="D697" s="59"/>
    </row>
    <row r="698" spans="1:4" ht="27.75" hidden="1" customHeight="1" x14ac:dyDescent="0.2">
      <c r="A698" s="48"/>
      <c r="D698" s="59"/>
    </row>
    <row r="699" spans="1:4" ht="27.75" hidden="1" customHeight="1" x14ac:dyDescent="0.2">
      <c r="A699" s="48"/>
      <c r="D699" s="59"/>
    </row>
    <row r="700" spans="1:4" ht="27.75" hidden="1" customHeight="1" x14ac:dyDescent="0.2">
      <c r="A700" s="48"/>
      <c r="D700" s="59"/>
    </row>
    <row r="701" spans="1:4" ht="27.75" hidden="1" customHeight="1" x14ac:dyDescent="0.2">
      <c r="A701" s="48"/>
      <c r="D701" s="59"/>
    </row>
    <row r="702" spans="1:4" ht="27.75" hidden="1" customHeight="1" x14ac:dyDescent="0.2">
      <c r="A702" s="48"/>
      <c r="D702" s="59"/>
    </row>
    <row r="703" spans="1:4" ht="27.75" hidden="1" customHeight="1" x14ac:dyDescent="0.2">
      <c r="A703" s="48"/>
      <c r="D703" s="59"/>
    </row>
    <row r="704" spans="1:4" ht="27.75" hidden="1" customHeight="1" x14ac:dyDescent="0.2">
      <c r="A704" s="48"/>
      <c r="D704" s="59"/>
    </row>
    <row r="705" spans="1:4" ht="27.75" hidden="1" customHeight="1" x14ac:dyDescent="0.2">
      <c r="A705" s="48"/>
      <c r="D705" s="59"/>
    </row>
    <row r="706" spans="1:4" ht="27.75" hidden="1" customHeight="1" x14ac:dyDescent="0.2">
      <c r="A706" s="48"/>
      <c r="D706" s="59"/>
    </row>
    <row r="707" spans="1:4" ht="27.75" hidden="1" customHeight="1" x14ac:dyDescent="0.2">
      <c r="A707" s="48"/>
      <c r="D707" s="59"/>
    </row>
    <row r="708" spans="1:4" ht="27.75" hidden="1" customHeight="1" x14ac:dyDescent="0.2">
      <c r="A708" s="48"/>
      <c r="D708" s="59"/>
    </row>
    <row r="709" spans="1:4" ht="27.75" hidden="1" customHeight="1" x14ac:dyDescent="0.2">
      <c r="A709" s="48"/>
      <c r="D709" s="59"/>
    </row>
    <row r="710" spans="1:4" ht="27.75" hidden="1" customHeight="1" x14ac:dyDescent="0.2">
      <c r="A710" s="48"/>
      <c r="D710" s="59"/>
    </row>
    <row r="711" spans="1:4" ht="27.75" hidden="1" customHeight="1" x14ac:dyDescent="0.2">
      <c r="A711" s="48"/>
      <c r="D711" s="59"/>
    </row>
    <row r="712" spans="1:4" ht="27.75" hidden="1" customHeight="1" x14ac:dyDescent="0.2">
      <c r="A712" s="48"/>
      <c r="D712" s="59"/>
    </row>
    <row r="713" spans="1:4" ht="27.75" hidden="1" customHeight="1" x14ac:dyDescent="0.2">
      <c r="A713" s="48"/>
      <c r="D713" s="59"/>
    </row>
    <row r="714" spans="1:4" ht="27.75" hidden="1" customHeight="1" x14ac:dyDescent="0.2">
      <c r="A714" s="48"/>
      <c r="D714" s="59"/>
    </row>
    <row r="715" spans="1:4" ht="27.75" hidden="1" customHeight="1" x14ac:dyDescent="0.2">
      <c r="A715" s="48"/>
      <c r="D715" s="59"/>
    </row>
    <row r="716" spans="1:4" ht="27.75" hidden="1" customHeight="1" x14ac:dyDescent="0.2">
      <c r="A716" s="48"/>
      <c r="D716" s="59"/>
    </row>
    <row r="717" spans="1:4" ht="27.75" hidden="1" customHeight="1" x14ac:dyDescent="0.2">
      <c r="A717" s="48"/>
      <c r="D717" s="59"/>
    </row>
    <row r="718" spans="1:4" ht="27.75" hidden="1" customHeight="1" x14ac:dyDescent="0.2">
      <c r="A718" s="48"/>
      <c r="D718" s="59"/>
    </row>
    <row r="719" spans="1:4" ht="27.75" hidden="1" customHeight="1" x14ac:dyDescent="0.2">
      <c r="A719" s="48"/>
      <c r="D719" s="59"/>
    </row>
    <row r="720" spans="1:4" ht="27.75" hidden="1" customHeight="1" x14ac:dyDescent="0.2">
      <c r="A720" s="48"/>
      <c r="D720" s="59"/>
    </row>
    <row r="721" spans="1:4" ht="27.75" hidden="1" customHeight="1" x14ac:dyDescent="0.2">
      <c r="A721" s="48"/>
      <c r="D721" s="59"/>
    </row>
    <row r="722" spans="1:4" ht="27.75" hidden="1" customHeight="1" x14ac:dyDescent="0.2">
      <c r="A722" s="48"/>
      <c r="D722" s="59"/>
    </row>
    <row r="723" spans="1:4" ht="27.75" hidden="1" customHeight="1" x14ac:dyDescent="0.2">
      <c r="A723" s="48"/>
      <c r="D723" s="59"/>
    </row>
    <row r="724" spans="1:4" ht="27.75" hidden="1" customHeight="1" x14ac:dyDescent="0.2">
      <c r="A724" s="48"/>
      <c r="D724" s="59"/>
    </row>
    <row r="725" spans="1:4" ht="27.75" hidden="1" customHeight="1" x14ac:dyDescent="0.2">
      <c r="A725" s="48"/>
      <c r="D725" s="59"/>
    </row>
    <row r="726" spans="1:4" ht="27.75" hidden="1" customHeight="1" x14ac:dyDescent="0.2">
      <c r="A726" s="48"/>
      <c r="D726" s="59"/>
    </row>
    <row r="727" spans="1:4" ht="27.75" hidden="1" customHeight="1" x14ac:dyDescent="0.2">
      <c r="A727" s="48"/>
      <c r="D727" s="59"/>
    </row>
    <row r="728" spans="1:4" ht="27.75" hidden="1" customHeight="1" x14ac:dyDescent="0.2">
      <c r="A728" s="48"/>
      <c r="D728" s="59"/>
    </row>
    <row r="729" spans="1:4" ht="27.75" hidden="1" customHeight="1" x14ac:dyDescent="0.2">
      <c r="A729" s="48"/>
      <c r="D729" s="59"/>
    </row>
    <row r="730" spans="1:4" ht="27.75" hidden="1" customHeight="1" x14ac:dyDescent="0.2">
      <c r="A730" s="48"/>
      <c r="D730" s="59"/>
    </row>
    <row r="731" spans="1:4" ht="27.75" hidden="1" customHeight="1" x14ac:dyDescent="0.2">
      <c r="A731" s="48"/>
      <c r="D731" s="59"/>
    </row>
    <row r="732" spans="1:4" ht="27.75" hidden="1" customHeight="1" x14ac:dyDescent="0.2">
      <c r="A732" s="48"/>
      <c r="D732" s="59"/>
    </row>
    <row r="733" spans="1:4" ht="27.75" hidden="1" customHeight="1" x14ac:dyDescent="0.2">
      <c r="A733" s="48"/>
      <c r="D733" s="59"/>
    </row>
    <row r="734" spans="1:4" ht="27.75" hidden="1" customHeight="1" x14ac:dyDescent="0.2">
      <c r="A734" s="48"/>
      <c r="D734" s="59"/>
    </row>
    <row r="735" spans="1:4" ht="27.75" hidden="1" customHeight="1" x14ac:dyDescent="0.2">
      <c r="A735" s="48"/>
      <c r="D735" s="59"/>
    </row>
    <row r="736" spans="1:4" ht="27.75" hidden="1" customHeight="1" x14ac:dyDescent="0.2">
      <c r="A736" s="48"/>
      <c r="D736" s="59"/>
    </row>
    <row r="737" spans="1:4" ht="27.75" hidden="1" customHeight="1" x14ac:dyDescent="0.2">
      <c r="A737" s="48"/>
      <c r="D737" s="59"/>
    </row>
    <row r="738" spans="1:4" ht="27.75" hidden="1" customHeight="1" x14ac:dyDescent="0.2">
      <c r="A738" s="48"/>
      <c r="D738" s="59"/>
    </row>
    <row r="739" spans="1:4" ht="27.75" hidden="1" customHeight="1" x14ac:dyDescent="0.2">
      <c r="A739" s="48"/>
      <c r="D739" s="59"/>
    </row>
    <row r="740" spans="1:4" ht="27.75" hidden="1" customHeight="1" x14ac:dyDescent="0.2">
      <c r="A740" s="48"/>
      <c r="D740" s="59"/>
    </row>
    <row r="741" spans="1:4" ht="27.75" hidden="1" customHeight="1" x14ac:dyDescent="0.2">
      <c r="A741" s="48"/>
      <c r="D741" s="59"/>
    </row>
    <row r="742" spans="1:4" ht="27.75" hidden="1" customHeight="1" x14ac:dyDescent="0.2">
      <c r="A742" s="48"/>
      <c r="D742" s="59"/>
    </row>
    <row r="743" spans="1:4" ht="27.75" hidden="1" customHeight="1" x14ac:dyDescent="0.2">
      <c r="A743" s="48"/>
      <c r="D743" s="59"/>
    </row>
    <row r="744" spans="1:4" ht="27.75" hidden="1" customHeight="1" x14ac:dyDescent="0.2">
      <c r="A744" s="48"/>
      <c r="D744" s="59"/>
    </row>
    <row r="745" spans="1:4" ht="27.75" hidden="1" customHeight="1" x14ac:dyDescent="0.2">
      <c r="A745" s="48"/>
      <c r="D745" s="59"/>
    </row>
    <row r="746" spans="1:4" ht="27.75" hidden="1" customHeight="1" x14ac:dyDescent="0.2">
      <c r="A746" s="48"/>
      <c r="D746" s="59"/>
    </row>
    <row r="747" spans="1:4" ht="27.75" hidden="1" customHeight="1" x14ac:dyDescent="0.2">
      <c r="A747" s="48"/>
      <c r="D747" s="59"/>
    </row>
    <row r="748" spans="1:4" ht="27.75" hidden="1" customHeight="1" x14ac:dyDescent="0.2">
      <c r="A748" s="48"/>
      <c r="D748" s="59"/>
    </row>
    <row r="749" spans="1:4" ht="27.75" hidden="1" customHeight="1" x14ac:dyDescent="0.2">
      <c r="A749" s="48"/>
      <c r="D749" s="59"/>
    </row>
    <row r="750" spans="1:4" ht="27.75" hidden="1" customHeight="1" x14ac:dyDescent="0.2">
      <c r="A750" s="48"/>
      <c r="D750" s="59"/>
    </row>
    <row r="751" spans="1:4" ht="27.75" hidden="1" customHeight="1" x14ac:dyDescent="0.2">
      <c r="A751" s="48"/>
      <c r="D751" s="59"/>
    </row>
    <row r="752" spans="1:4" ht="27.75" hidden="1" customHeight="1" x14ac:dyDescent="0.2">
      <c r="A752" s="48"/>
      <c r="D752" s="59"/>
    </row>
    <row r="753" spans="1:4" ht="27.75" hidden="1" customHeight="1" x14ac:dyDescent="0.2">
      <c r="A753" s="48"/>
      <c r="D753" s="59"/>
    </row>
    <row r="754" spans="1:4" ht="27.75" hidden="1" customHeight="1" x14ac:dyDescent="0.2">
      <c r="A754" s="48"/>
      <c r="D754" s="59"/>
    </row>
    <row r="755" spans="1:4" ht="27.75" hidden="1" customHeight="1" x14ac:dyDescent="0.2">
      <c r="A755" s="48"/>
      <c r="D755" s="59"/>
    </row>
    <row r="756" spans="1:4" ht="27.75" hidden="1" customHeight="1" x14ac:dyDescent="0.2">
      <c r="A756" s="48"/>
      <c r="D756" s="59"/>
    </row>
    <row r="757" spans="1:4" ht="27.75" hidden="1" customHeight="1" x14ac:dyDescent="0.2">
      <c r="A757" s="48"/>
      <c r="D757" s="59"/>
    </row>
    <row r="758" spans="1:4" ht="27.75" hidden="1" customHeight="1" x14ac:dyDescent="0.2">
      <c r="A758" s="48"/>
      <c r="D758" s="59"/>
    </row>
    <row r="759" spans="1:4" ht="27.75" hidden="1" customHeight="1" x14ac:dyDescent="0.2">
      <c r="A759" s="48"/>
      <c r="D759" s="59"/>
    </row>
    <row r="760" spans="1:4" ht="27.75" hidden="1" customHeight="1" x14ac:dyDescent="0.2">
      <c r="A760" s="48"/>
      <c r="D760" s="59"/>
    </row>
    <row r="761" spans="1:4" ht="27.75" hidden="1" customHeight="1" x14ac:dyDescent="0.2">
      <c r="A761" s="48"/>
      <c r="D761" s="59"/>
    </row>
    <row r="762" spans="1:4" ht="27.75" hidden="1" customHeight="1" x14ac:dyDescent="0.2">
      <c r="A762" s="48"/>
      <c r="D762" s="59"/>
    </row>
    <row r="763" spans="1:4" ht="27.75" hidden="1" customHeight="1" x14ac:dyDescent="0.2">
      <c r="A763" s="48"/>
      <c r="D763" s="59"/>
    </row>
    <row r="764" spans="1:4" ht="27.75" hidden="1" customHeight="1" x14ac:dyDescent="0.2">
      <c r="A764" s="48"/>
      <c r="D764" s="59"/>
    </row>
    <row r="765" spans="1:4" ht="27.75" hidden="1" customHeight="1" x14ac:dyDescent="0.2">
      <c r="A765" s="48"/>
      <c r="D765" s="59"/>
    </row>
    <row r="766" spans="1:4" ht="27.75" hidden="1" customHeight="1" x14ac:dyDescent="0.2">
      <c r="A766" s="48"/>
      <c r="D766" s="59"/>
    </row>
    <row r="767" spans="1:4" ht="27.75" hidden="1" customHeight="1" x14ac:dyDescent="0.2">
      <c r="A767" s="48"/>
      <c r="D767" s="59"/>
    </row>
    <row r="768" spans="1:4" ht="27.75" hidden="1" customHeight="1" x14ac:dyDescent="0.2">
      <c r="A768" s="48"/>
      <c r="D768" s="59"/>
    </row>
    <row r="769" spans="1:4" ht="27.75" hidden="1" customHeight="1" x14ac:dyDescent="0.2">
      <c r="A769" s="48"/>
      <c r="D769" s="59"/>
    </row>
    <row r="770" spans="1:4" ht="27.75" hidden="1" customHeight="1" x14ac:dyDescent="0.2">
      <c r="A770" s="48"/>
      <c r="D770" s="59"/>
    </row>
    <row r="771" spans="1:4" ht="27.75" hidden="1" customHeight="1" x14ac:dyDescent="0.2">
      <c r="A771" s="48"/>
      <c r="D771" s="59"/>
    </row>
    <row r="772" spans="1:4" ht="27.75" hidden="1" customHeight="1" x14ac:dyDescent="0.2">
      <c r="A772" s="48"/>
      <c r="D772" s="59"/>
    </row>
    <row r="773" spans="1:4" ht="27.75" hidden="1" customHeight="1" x14ac:dyDescent="0.2">
      <c r="A773" s="48"/>
      <c r="D773" s="59"/>
    </row>
    <row r="774" spans="1:4" ht="27.75" hidden="1" customHeight="1" x14ac:dyDescent="0.2">
      <c r="A774" s="48"/>
      <c r="D774" s="59"/>
    </row>
    <row r="775" spans="1:4" ht="27.75" hidden="1" customHeight="1" x14ac:dyDescent="0.2">
      <c r="A775" s="48"/>
      <c r="D775" s="59"/>
    </row>
    <row r="776" spans="1:4" ht="27.75" hidden="1" customHeight="1" x14ac:dyDescent="0.2">
      <c r="A776" s="48"/>
      <c r="D776" s="59"/>
    </row>
    <row r="777" spans="1:4" ht="27.75" hidden="1" customHeight="1" x14ac:dyDescent="0.2">
      <c r="A777" s="48"/>
      <c r="D777" s="59"/>
    </row>
    <row r="778" spans="1:4" ht="27.75" hidden="1" customHeight="1" x14ac:dyDescent="0.2">
      <c r="A778" s="48"/>
      <c r="D778" s="59"/>
    </row>
    <row r="779" spans="1:4" ht="27.75" hidden="1" customHeight="1" x14ac:dyDescent="0.2">
      <c r="A779" s="48"/>
      <c r="D779" s="59"/>
    </row>
    <row r="780" spans="1:4" ht="27.75" hidden="1" customHeight="1" x14ac:dyDescent="0.2">
      <c r="A780" s="48"/>
      <c r="D780" s="59"/>
    </row>
    <row r="781" spans="1:4" ht="27.75" hidden="1" customHeight="1" x14ac:dyDescent="0.2">
      <c r="A781" s="48"/>
      <c r="D781" s="59"/>
    </row>
    <row r="782" spans="1:4" ht="27.75" hidden="1" customHeight="1" x14ac:dyDescent="0.2">
      <c r="A782" s="48"/>
      <c r="D782" s="59"/>
    </row>
    <row r="783" spans="1:4" ht="27.75" hidden="1" customHeight="1" x14ac:dyDescent="0.2">
      <c r="A783" s="48"/>
      <c r="D783" s="59"/>
    </row>
    <row r="784" spans="1:4" ht="27.75" hidden="1" customHeight="1" x14ac:dyDescent="0.2">
      <c r="A784" s="48"/>
      <c r="D784" s="59"/>
    </row>
    <row r="785" spans="1:4" ht="27.75" hidden="1" customHeight="1" x14ac:dyDescent="0.2">
      <c r="A785" s="48"/>
      <c r="D785" s="59"/>
    </row>
    <row r="786" spans="1:4" ht="27.75" hidden="1" customHeight="1" x14ac:dyDescent="0.2">
      <c r="A786" s="48"/>
      <c r="D786" s="59"/>
    </row>
    <row r="787" spans="1:4" ht="27.75" hidden="1" customHeight="1" x14ac:dyDescent="0.2">
      <c r="A787" s="48"/>
      <c r="D787" s="59"/>
    </row>
    <row r="788" spans="1:4" ht="27.75" hidden="1" customHeight="1" x14ac:dyDescent="0.2">
      <c r="A788" s="48"/>
      <c r="D788" s="59"/>
    </row>
    <row r="789" spans="1:4" ht="27.75" hidden="1" customHeight="1" x14ac:dyDescent="0.2">
      <c r="A789" s="48"/>
      <c r="D789" s="59"/>
    </row>
    <row r="790" spans="1:4" ht="27.75" hidden="1" customHeight="1" x14ac:dyDescent="0.2">
      <c r="A790" s="48"/>
      <c r="D790" s="59"/>
    </row>
    <row r="791" spans="1:4" ht="27.75" hidden="1" customHeight="1" x14ac:dyDescent="0.2">
      <c r="A791" s="48"/>
      <c r="D791" s="59"/>
    </row>
    <row r="792" spans="1:4" ht="27.75" hidden="1" customHeight="1" x14ac:dyDescent="0.2">
      <c r="A792" s="48"/>
      <c r="D792" s="59"/>
    </row>
    <row r="793" spans="1:4" ht="27.75" hidden="1" customHeight="1" x14ac:dyDescent="0.2">
      <c r="A793" s="48"/>
      <c r="D793" s="59"/>
    </row>
    <row r="794" spans="1:4" ht="27.75" hidden="1" customHeight="1" x14ac:dyDescent="0.2">
      <c r="A794" s="48"/>
      <c r="D794" s="59"/>
    </row>
    <row r="795" spans="1:4" ht="27.75" hidden="1" customHeight="1" x14ac:dyDescent="0.2">
      <c r="A795" s="48"/>
      <c r="D795" s="59"/>
    </row>
    <row r="796" spans="1:4" ht="27.75" hidden="1" customHeight="1" x14ac:dyDescent="0.2">
      <c r="A796" s="48"/>
      <c r="D796" s="59"/>
    </row>
    <row r="797" spans="1:4" ht="27.75" hidden="1" customHeight="1" x14ac:dyDescent="0.2">
      <c r="A797" s="48"/>
      <c r="D797" s="59"/>
    </row>
    <row r="798" spans="1:4" ht="27.75" hidden="1" customHeight="1" x14ac:dyDescent="0.2">
      <c r="A798" s="48"/>
      <c r="D798" s="59"/>
    </row>
    <row r="799" spans="1:4" ht="27.75" hidden="1" customHeight="1" x14ac:dyDescent="0.2">
      <c r="A799" s="48"/>
      <c r="D799" s="59"/>
    </row>
    <row r="800" spans="1:4" ht="27.75" hidden="1" customHeight="1" x14ac:dyDescent="0.2">
      <c r="A800" s="48"/>
      <c r="D800" s="59"/>
    </row>
    <row r="801" spans="1:4" ht="27.75" hidden="1" customHeight="1" x14ac:dyDescent="0.2">
      <c r="A801" s="48"/>
      <c r="D801" s="59"/>
    </row>
    <row r="802" spans="1:4" ht="27.75" hidden="1" customHeight="1" x14ac:dyDescent="0.2">
      <c r="A802" s="48"/>
      <c r="D802" s="59"/>
    </row>
    <row r="803" spans="1:4" ht="27.75" hidden="1" customHeight="1" x14ac:dyDescent="0.2">
      <c r="A803" s="48"/>
      <c r="D803" s="59"/>
    </row>
    <row r="804" spans="1:4" ht="27.75" hidden="1" customHeight="1" x14ac:dyDescent="0.2">
      <c r="A804" s="48"/>
      <c r="D804" s="59"/>
    </row>
    <row r="805" spans="1:4" ht="27.75" hidden="1" customHeight="1" x14ac:dyDescent="0.2">
      <c r="A805" s="48"/>
      <c r="D805" s="59"/>
    </row>
    <row r="806" spans="1:4" ht="27.75" hidden="1" customHeight="1" x14ac:dyDescent="0.2">
      <c r="A806" s="48"/>
      <c r="D806" s="59"/>
    </row>
    <row r="807" spans="1:4" ht="27.75" hidden="1" customHeight="1" x14ac:dyDescent="0.2">
      <c r="A807" s="48"/>
      <c r="D807" s="59"/>
    </row>
    <row r="808" spans="1:4" ht="27.75" hidden="1" customHeight="1" x14ac:dyDescent="0.2">
      <c r="A808" s="48"/>
      <c r="D808" s="59"/>
    </row>
    <row r="809" spans="1:4" ht="27.75" hidden="1" customHeight="1" x14ac:dyDescent="0.2">
      <c r="A809" s="48"/>
      <c r="D809" s="59"/>
    </row>
    <row r="810" spans="1:4" ht="27.75" hidden="1" customHeight="1" x14ac:dyDescent="0.2">
      <c r="A810" s="48"/>
      <c r="D810" s="59"/>
    </row>
    <row r="811" spans="1:4" ht="27.75" hidden="1" customHeight="1" x14ac:dyDescent="0.2">
      <c r="A811" s="48"/>
      <c r="D811" s="59"/>
    </row>
    <row r="812" spans="1:4" ht="27.75" hidden="1" customHeight="1" x14ac:dyDescent="0.2">
      <c r="A812" s="48"/>
      <c r="D812" s="59"/>
    </row>
    <row r="813" spans="1:4" ht="27.75" hidden="1" customHeight="1" x14ac:dyDescent="0.2">
      <c r="A813" s="48"/>
      <c r="D813" s="59"/>
    </row>
    <row r="814" spans="1:4" ht="27.75" hidden="1" customHeight="1" x14ac:dyDescent="0.2">
      <c r="A814" s="48"/>
      <c r="D814" s="59"/>
    </row>
    <row r="815" spans="1:4" ht="27.75" hidden="1" customHeight="1" x14ac:dyDescent="0.2">
      <c r="A815" s="48"/>
      <c r="D815" s="59"/>
    </row>
    <row r="816" spans="1:4" ht="27.75" hidden="1" customHeight="1" x14ac:dyDescent="0.2">
      <c r="A816" s="48"/>
      <c r="D816" s="59"/>
    </row>
    <row r="817" spans="1:4" ht="27.75" hidden="1" customHeight="1" x14ac:dyDescent="0.2">
      <c r="A817" s="48"/>
      <c r="D817" s="59"/>
    </row>
    <row r="818" spans="1:4" ht="27.75" hidden="1" customHeight="1" x14ac:dyDescent="0.2">
      <c r="A818" s="48"/>
      <c r="D818" s="59"/>
    </row>
    <row r="819" spans="1:4" ht="27.75" hidden="1" customHeight="1" x14ac:dyDescent="0.2">
      <c r="A819" s="48"/>
      <c r="D819" s="59"/>
    </row>
    <row r="820" spans="1:4" ht="27.75" hidden="1" customHeight="1" x14ac:dyDescent="0.2">
      <c r="A820" s="48"/>
      <c r="D820" s="59"/>
    </row>
    <row r="821" spans="1:4" ht="27.75" hidden="1" customHeight="1" x14ac:dyDescent="0.2">
      <c r="A821" s="48"/>
      <c r="D821" s="59"/>
    </row>
    <row r="822" spans="1:4" ht="27.75" hidden="1" customHeight="1" x14ac:dyDescent="0.2">
      <c r="A822" s="48"/>
      <c r="D822" s="59"/>
    </row>
    <row r="823" spans="1:4" ht="27.75" hidden="1" customHeight="1" x14ac:dyDescent="0.2">
      <c r="A823" s="48"/>
      <c r="D823" s="59"/>
    </row>
    <row r="824" spans="1:4" ht="27.75" hidden="1" customHeight="1" x14ac:dyDescent="0.2">
      <c r="A824" s="48"/>
      <c r="D824" s="59"/>
    </row>
    <row r="825" spans="1:4" ht="27.75" hidden="1" customHeight="1" x14ac:dyDescent="0.2">
      <c r="A825" s="48"/>
      <c r="D825" s="59"/>
    </row>
    <row r="826" spans="1:4" ht="27.75" hidden="1" customHeight="1" x14ac:dyDescent="0.2">
      <c r="A826" s="48"/>
      <c r="D826" s="59"/>
    </row>
    <row r="827" spans="1:4" ht="27.75" hidden="1" customHeight="1" x14ac:dyDescent="0.2">
      <c r="A827" s="48"/>
      <c r="D827" s="59"/>
    </row>
    <row r="828" spans="1:4" ht="27.75" hidden="1" customHeight="1" x14ac:dyDescent="0.2">
      <c r="A828" s="48"/>
      <c r="D828" s="59"/>
    </row>
    <row r="829" spans="1:4" ht="27.75" hidden="1" customHeight="1" x14ac:dyDescent="0.2">
      <c r="A829" s="48"/>
      <c r="D829" s="59"/>
    </row>
    <row r="830" spans="1:4" ht="27.75" hidden="1" customHeight="1" x14ac:dyDescent="0.2">
      <c r="A830" s="48"/>
      <c r="D830" s="59"/>
    </row>
    <row r="831" spans="1:4" ht="27.75" hidden="1" customHeight="1" x14ac:dyDescent="0.2">
      <c r="A831" s="48"/>
      <c r="D831" s="59"/>
    </row>
    <row r="832" spans="1:4" ht="27.75" hidden="1" customHeight="1" x14ac:dyDescent="0.2">
      <c r="A832" s="48"/>
      <c r="D832" s="59"/>
    </row>
    <row r="833" spans="1:4" ht="27.75" hidden="1" customHeight="1" x14ac:dyDescent="0.2">
      <c r="A833" s="48"/>
      <c r="D833" s="59"/>
    </row>
    <row r="834" spans="1:4" ht="27.75" hidden="1" customHeight="1" x14ac:dyDescent="0.2">
      <c r="A834" s="48"/>
      <c r="D834" s="59"/>
    </row>
    <row r="835" spans="1:4" ht="27.75" hidden="1" customHeight="1" x14ac:dyDescent="0.2">
      <c r="A835" s="48"/>
      <c r="D835" s="59"/>
    </row>
    <row r="836" spans="1:4" ht="27.75" hidden="1" customHeight="1" x14ac:dyDescent="0.2">
      <c r="A836" s="48"/>
      <c r="D836" s="59"/>
    </row>
    <row r="837" spans="1:4" ht="27.75" hidden="1" customHeight="1" x14ac:dyDescent="0.2">
      <c r="A837" s="48"/>
      <c r="D837" s="59"/>
    </row>
    <row r="838" spans="1:4" ht="27.75" hidden="1" customHeight="1" x14ac:dyDescent="0.2">
      <c r="A838" s="48"/>
      <c r="D838" s="59"/>
    </row>
    <row r="839" spans="1:4" ht="27.75" hidden="1" customHeight="1" x14ac:dyDescent="0.2">
      <c r="A839" s="48"/>
      <c r="D839" s="59"/>
    </row>
    <row r="840" spans="1:4" ht="27.75" hidden="1" customHeight="1" x14ac:dyDescent="0.2">
      <c r="A840" s="48"/>
      <c r="D840" s="59"/>
    </row>
    <row r="841" spans="1:4" ht="27.75" hidden="1" customHeight="1" x14ac:dyDescent="0.2">
      <c r="A841" s="48"/>
      <c r="D841" s="59"/>
    </row>
    <row r="842" spans="1:4" ht="27.75" hidden="1" customHeight="1" x14ac:dyDescent="0.2">
      <c r="A842" s="48"/>
      <c r="D842" s="59"/>
    </row>
    <row r="843" spans="1:4" ht="27.75" hidden="1" customHeight="1" x14ac:dyDescent="0.2">
      <c r="A843" s="48"/>
      <c r="D843" s="59"/>
    </row>
    <row r="844" spans="1:4" ht="27.75" hidden="1" customHeight="1" x14ac:dyDescent="0.2">
      <c r="A844" s="48"/>
      <c r="D844" s="59"/>
    </row>
    <row r="845" spans="1:4" ht="27.75" hidden="1" customHeight="1" x14ac:dyDescent="0.2">
      <c r="A845" s="48"/>
      <c r="D845" s="59"/>
    </row>
    <row r="846" spans="1:4" ht="27.75" hidden="1" customHeight="1" x14ac:dyDescent="0.2">
      <c r="A846" s="48"/>
      <c r="D846" s="59"/>
    </row>
    <row r="847" spans="1:4" ht="27.75" hidden="1" customHeight="1" x14ac:dyDescent="0.2">
      <c r="A847" s="48"/>
      <c r="D847" s="59"/>
    </row>
    <row r="848" spans="1:4" ht="27.75" hidden="1" customHeight="1" x14ac:dyDescent="0.2">
      <c r="A848" s="48"/>
      <c r="D848" s="59"/>
    </row>
    <row r="849" spans="1:14" ht="27.75" hidden="1" customHeight="1" x14ac:dyDescent="0.2">
      <c r="A849" s="48"/>
      <c r="D849" s="59"/>
    </row>
    <row r="850" spans="1:14" ht="27.75" hidden="1" customHeight="1" x14ac:dyDescent="0.2">
      <c r="A850" s="48"/>
      <c r="D850" s="59"/>
    </row>
    <row r="851" spans="1:14" ht="27.75" hidden="1" customHeight="1" x14ac:dyDescent="0.2">
      <c r="A851" s="48"/>
      <c r="D851" s="59"/>
    </row>
    <row r="852" spans="1:14" ht="27.75" hidden="1" customHeight="1" x14ac:dyDescent="0.2">
      <c r="A852" s="48"/>
      <c r="D852" s="59"/>
    </row>
    <row r="853" spans="1:14" ht="27.75" hidden="1" customHeight="1" x14ac:dyDescent="0.2">
      <c r="A853" s="48"/>
      <c r="D853" s="59"/>
    </row>
    <row r="854" spans="1:14" ht="27.75" hidden="1" customHeight="1" x14ac:dyDescent="0.2">
      <c r="A854" s="48"/>
      <c r="D854" s="59"/>
    </row>
    <row r="855" spans="1:14" hidden="1" x14ac:dyDescent="0.2">
      <c r="A855" s="48"/>
      <c r="D855" s="59"/>
    </row>
    <row r="856" spans="1:14" s="74" customFormat="1" ht="29.25" hidden="1" customHeight="1" x14ac:dyDescent="0.2">
      <c r="A856" s="48"/>
      <c r="B856" s="14"/>
      <c r="C856" s="14"/>
      <c r="D856" s="59"/>
      <c r="E856" s="14"/>
      <c r="F856" s="45"/>
      <c r="G856" s="14"/>
      <c r="H856" s="14"/>
      <c r="I856" s="14"/>
      <c r="J856" s="14"/>
      <c r="K856" s="14"/>
      <c r="L856" s="14"/>
      <c r="M856" s="14"/>
      <c r="N856" s="14"/>
    </row>
    <row r="857" spans="1:14" hidden="1" x14ac:dyDescent="0.2">
      <c r="A857" s="48"/>
      <c r="D857" s="59"/>
      <c r="N857" s="74"/>
    </row>
    <row r="858" spans="1:14" hidden="1" x14ac:dyDescent="0.2">
      <c r="A858" s="48"/>
      <c r="D858" s="59"/>
    </row>
    <row r="859" spans="1:14" hidden="1" x14ac:dyDescent="0.2">
      <c r="A859" s="48"/>
      <c r="D859" s="59"/>
    </row>
    <row r="860" spans="1:14" hidden="1" x14ac:dyDescent="0.2">
      <c r="A860" s="48"/>
      <c r="D860" s="59"/>
    </row>
    <row r="861" spans="1:14" hidden="1" x14ac:dyDescent="0.2">
      <c r="M861" s="74"/>
    </row>
    <row r="862" spans="1:14" hidden="1" x14ac:dyDescent="0.2">
      <c r="A862" s="74"/>
      <c r="B862" s="74"/>
      <c r="C862" s="74"/>
      <c r="D862" s="74"/>
      <c r="E862" s="74"/>
      <c r="F862" s="90"/>
      <c r="G862" s="74"/>
      <c r="H862" s="74"/>
      <c r="I862" s="74"/>
      <c r="J862" s="74"/>
      <c r="K862" s="74"/>
      <c r="L862" s="74"/>
    </row>
    <row r="1400" ht="14.25" hidden="1" customHeight="1" x14ac:dyDescent="0.2"/>
    <row r="1401" ht="14.25" hidden="1" customHeight="1" x14ac:dyDescent="0.2"/>
    <row r="1402" ht="14.25" hidden="1" customHeight="1" x14ac:dyDescent="0.2"/>
    <row r="1403" ht="14.25" hidden="1" customHeight="1" x14ac:dyDescent="0.2"/>
    <row r="1404" ht="14.25" hidden="1" customHeight="1" x14ac:dyDescent="0.2"/>
    <row r="1405" ht="14.25" hidden="1" customHeight="1" x14ac:dyDescent="0.2"/>
    <row r="1406" ht="14.25" hidden="1" customHeight="1" x14ac:dyDescent="0.2"/>
    <row r="1407" ht="14.25" hidden="1" customHeight="1" x14ac:dyDescent="0.2"/>
    <row r="1408" ht="14.25" hidden="1" customHeight="1" x14ac:dyDescent="0.2"/>
    <row r="1409" ht="14.25" hidden="1" customHeight="1" x14ac:dyDescent="0.2"/>
    <row r="1410" ht="14.25" hidden="1" customHeight="1" x14ac:dyDescent="0.2"/>
    <row r="1411" ht="14.25" hidden="1" customHeight="1" x14ac:dyDescent="0.2"/>
    <row r="1412" ht="14.25" hidden="1" customHeight="1" x14ac:dyDescent="0.2"/>
    <row r="1413" ht="14.25" hidden="1" customHeight="1" x14ac:dyDescent="0.2"/>
    <row r="1414" ht="14.25" hidden="1" customHeight="1" x14ac:dyDescent="0.2"/>
    <row r="1415" ht="14.25" hidden="1" customHeight="1" x14ac:dyDescent="0.2"/>
    <row r="1416" ht="14.25" hidden="1" customHeight="1" x14ac:dyDescent="0.2"/>
    <row r="1417" ht="14.25" hidden="1" customHeight="1" x14ac:dyDescent="0.2"/>
    <row r="1418" ht="14.25" hidden="1" customHeight="1" x14ac:dyDescent="0.2"/>
    <row r="1419" ht="14.25" hidden="1" customHeight="1" x14ac:dyDescent="0.2"/>
    <row r="1420" ht="14.25" hidden="1" customHeight="1" x14ac:dyDescent="0.2"/>
    <row r="1421" ht="14.25" hidden="1" customHeight="1" x14ac:dyDescent="0.2"/>
    <row r="1422" ht="14.25" hidden="1" customHeight="1" x14ac:dyDescent="0.2"/>
    <row r="1423" ht="14.25" hidden="1" customHeight="1" x14ac:dyDescent="0.2"/>
    <row r="1424" ht="14.25" hidden="1" customHeight="1" x14ac:dyDescent="0.2"/>
    <row r="1425" ht="14.25" hidden="1" customHeight="1" x14ac:dyDescent="0.2"/>
    <row r="1426" ht="14.25" hidden="1" customHeight="1" x14ac:dyDescent="0.2"/>
    <row r="1427" ht="14.25" hidden="1" customHeight="1" x14ac:dyDescent="0.2"/>
    <row r="1428" ht="14.25" hidden="1" customHeight="1" x14ac:dyDescent="0.2"/>
    <row r="1429" ht="14.25" hidden="1" customHeight="1" x14ac:dyDescent="0.2"/>
    <row r="1430" ht="14.25" hidden="1" customHeight="1" x14ac:dyDescent="0.2"/>
    <row r="1431" ht="14.25" hidden="1" customHeight="1" x14ac:dyDescent="0.2"/>
    <row r="1432" ht="14.25" hidden="1" customHeight="1" x14ac:dyDescent="0.2"/>
    <row r="1433" ht="14.25" hidden="1" customHeight="1" x14ac:dyDescent="0.2"/>
    <row r="1434" ht="14.25" hidden="1" customHeight="1" x14ac:dyDescent="0.2"/>
    <row r="1435" ht="14.25" hidden="1" customHeight="1" x14ac:dyDescent="0.2"/>
    <row r="1436" ht="14.25" hidden="1" customHeight="1" x14ac:dyDescent="0.2"/>
    <row r="1437" ht="14.25" hidden="1" customHeight="1" x14ac:dyDescent="0.2"/>
    <row r="1438" ht="14.25" hidden="1" customHeight="1" x14ac:dyDescent="0.2"/>
    <row r="1439" ht="14.25" hidden="1" customHeight="1" x14ac:dyDescent="0.2"/>
    <row r="1440" ht="14.25" hidden="1" customHeight="1" x14ac:dyDescent="0.2"/>
    <row r="1441" ht="14.25" hidden="1" customHeight="1" x14ac:dyDescent="0.2"/>
    <row r="1442" ht="14.25" hidden="1" customHeight="1" x14ac:dyDescent="0.2"/>
    <row r="1443" ht="14.25" hidden="1" customHeight="1" x14ac:dyDescent="0.2"/>
    <row r="1444" ht="14.25" hidden="1" customHeight="1" x14ac:dyDescent="0.2"/>
    <row r="1445" ht="14.25" hidden="1" customHeight="1" x14ac:dyDescent="0.2"/>
    <row r="1446" ht="14.25" hidden="1" customHeight="1" x14ac:dyDescent="0.2"/>
    <row r="1447" ht="14.25" hidden="1" customHeight="1" x14ac:dyDescent="0.2"/>
    <row r="1448" ht="14.25" hidden="1" customHeight="1" x14ac:dyDescent="0.2"/>
    <row r="1449" ht="14.25" hidden="1" customHeight="1" x14ac:dyDescent="0.2"/>
    <row r="1450" ht="14.25" hidden="1" customHeight="1" x14ac:dyDescent="0.2"/>
    <row r="1451" ht="14.25" hidden="1" customHeight="1" x14ac:dyDescent="0.2"/>
    <row r="1452" ht="14.25" hidden="1" customHeight="1" x14ac:dyDescent="0.2"/>
    <row r="1453" ht="14.25" hidden="1" customHeight="1" x14ac:dyDescent="0.2"/>
    <row r="1454" ht="14.25" hidden="1" customHeight="1" x14ac:dyDescent="0.2"/>
    <row r="1455" ht="14.25" hidden="1" customHeight="1" x14ac:dyDescent="0.2"/>
    <row r="1456" ht="14.25" hidden="1" customHeight="1" x14ac:dyDescent="0.2"/>
    <row r="1457" ht="14.25" hidden="1" customHeight="1" x14ac:dyDescent="0.2"/>
    <row r="1458" ht="14.25" hidden="1" customHeight="1" x14ac:dyDescent="0.2"/>
    <row r="1459" ht="14.25" hidden="1" customHeight="1" x14ac:dyDescent="0.2"/>
    <row r="1460" ht="14.25" hidden="1" customHeight="1" x14ac:dyDescent="0.2"/>
    <row r="1461" ht="14.25" hidden="1" customHeight="1" x14ac:dyDescent="0.2"/>
    <row r="1462" ht="14.25" hidden="1" customHeight="1" x14ac:dyDescent="0.2"/>
    <row r="1463" ht="14.25" hidden="1" customHeight="1" x14ac:dyDescent="0.2"/>
    <row r="1464" ht="14.25" hidden="1" customHeight="1" x14ac:dyDescent="0.2"/>
    <row r="1465" ht="14.25" hidden="1" customHeight="1" x14ac:dyDescent="0.2"/>
    <row r="1466" ht="14.25" hidden="1" customHeight="1" x14ac:dyDescent="0.2"/>
    <row r="1467" ht="14.25" hidden="1" customHeight="1" x14ac:dyDescent="0.2"/>
    <row r="1468" ht="14.25" hidden="1" customHeight="1" x14ac:dyDescent="0.2"/>
    <row r="1469" ht="14.25" hidden="1" customHeight="1" x14ac:dyDescent="0.2"/>
    <row r="1470" ht="14.25" hidden="1" customHeight="1" x14ac:dyDescent="0.2"/>
    <row r="1471" ht="14.25" hidden="1" customHeight="1" x14ac:dyDescent="0.2"/>
    <row r="1472" ht="14.25" hidden="1" customHeight="1" x14ac:dyDescent="0.2"/>
    <row r="1473" ht="14.25" hidden="1" customHeight="1" x14ac:dyDescent="0.2"/>
    <row r="1474" ht="14.25" hidden="1" customHeight="1" x14ac:dyDescent="0.2"/>
    <row r="1475" ht="14.25" hidden="1" customHeight="1" x14ac:dyDescent="0.2"/>
    <row r="1476" ht="14.25" hidden="1" customHeight="1" x14ac:dyDescent="0.2"/>
    <row r="1477" ht="14.25" hidden="1" customHeight="1" x14ac:dyDescent="0.2"/>
    <row r="1478" ht="14.25" hidden="1" customHeight="1" x14ac:dyDescent="0.2"/>
    <row r="1479" ht="14.25" hidden="1" customHeight="1" x14ac:dyDescent="0.2"/>
    <row r="1480" ht="14.25" hidden="1" customHeight="1" x14ac:dyDescent="0.2"/>
    <row r="1481" ht="14.25" hidden="1" customHeight="1" x14ac:dyDescent="0.2"/>
    <row r="1482" ht="14.25" hidden="1" customHeight="1" x14ac:dyDescent="0.2"/>
    <row r="1483" ht="14.25" hidden="1" customHeight="1" x14ac:dyDescent="0.2"/>
    <row r="1484" ht="14.25" hidden="1" customHeight="1" x14ac:dyDescent="0.2"/>
    <row r="1485" ht="14.25" hidden="1" customHeight="1" x14ac:dyDescent="0.2"/>
    <row r="1486" ht="14.25" hidden="1" customHeight="1" x14ac:dyDescent="0.2"/>
    <row r="1487" ht="14.25" hidden="1" customHeight="1" x14ac:dyDescent="0.2"/>
    <row r="1488" ht="14.25" hidden="1" customHeight="1" x14ac:dyDescent="0.2"/>
    <row r="1489" ht="14.25" hidden="1" customHeight="1" x14ac:dyDescent="0.2"/>
    <row r="1490" ht="14.25" hidden="1" customHeight="1" x14ac:dyDescent="0.2"/>
    <row r="1491" ht="14.25" hidden="1" customHeight="1" x14ac:dyDescent="0.2"/>
    <row r="1492" ht="14.25" hidden="1" customHeight="1" x14ac:dyDescent="0.2"/>
    <row r="1493" ht="14.25" hidden="1" customHeight="1" x14ac:dyDescent="0.2"/>
    <row r="1494" ht="14.25" hidden="1" customHeight="1" x14ac:dyDescent="0.2"/>
    <row r="1495" ht="14.25" hidden="1" customHeight="1" x14ac:dyDescent="0.2"/>
    <row r="1496" ht="14.25" hidden="1" customHeight="1" x14ac:dyDescent="0.2"/>
    <row r="1497" ht="14.25" hidden="1" customHeight="1" x14ac:dyDescent="0.2"/>
    <row r="1498" ht="14.25" hidden="1" customHeight="1" x14ac:dyDescent="0.2"/>
    <row r="1499" ht="14.25" hidden="1" customHeight="1" x14ac:dyDescent="0.2"/>
    <row r="1500" ht="14.25" hidden="1" customHeight="1" x14ac:dyDescent="0.2"/>
    <row r="1501" ht="14.25" hidden="1" customHeight="1" x14ac:dyDescent="0.2"/>
    <row r="1502" ht="14.25" hidden="1" customHeight="1" x14ac:dyDescent="0.2"/>
    <row r="1503" ht="14.25" hidden="1" customHeight="1" x14ac:dyDescent="0.2"/>
    <row r="1504" ht="14.25" hidden="1" customHeight="1" x14ac:dyDescent="0.2"/>
    <row r="1505" ht="14.25" hidden="1" customHeight="1" x14ac:dyDescent="0.2"/>
    <row r="1506" ht="14.25" hidden="1" customHeight="1" x14ac:dyDescent="0.2"/>
    <row r="1507" ht="14.25" hidden="1" customHeight="1" x14ac:dyDescent="0.2"/>
    <row r="1508" ht="14.25" hidden="1" customHeight="1" x14ac:dyDescent="0.2"/>
    <row r="1509" ht="14.25" hidden="1" customHeight="1" x14ac:dyDescent="0.2"/>
    <row r="1510" ht="14.25" hidden="1" customHeight="1" x14ac:dyDescent="0.2"/>
    <row r="1511" ht="14.25" hidden="1" customHeight="1" x14ac:dyDescent="0.2"/>
    <row r="1512" ht="14.25" hidden="1" customHeight="1" x14ac:dyDescent="0.2"/>
    <row r="1513" ht="14.25" hidden="1" customHeight="1" x14ac:dyDescent="0.2"/>
    <row r="1514" ht="14.25" hidden="1" customHeight="1" x14ac:dyDescent="0.2"/>
    <row r="1515" ht="14.25" hidden="1" customHeight="1" x14ac:dyDescent="0.2"/>
    <row r="1516" ht="14.25" hidden="1" customHeight="1" x14ac:dyDescent="0.2"/>
    <row r="1517" ht="14.25" hidden="1" customHeight="1" x14ac:dyDescent="0.2"/>
    <row r="1518" ht="14.25" hidden="1" customHeight="1" x14ac:dyDescent="0.2"/>
    <row r="1519" ht="14.25" hidden="1" customHeight="1" x14ac:dyDescent="0.2"/>
    <row r="1520" ht="14.25" hidden="1" customHeight="1" x14ac:dyDescent="0.2"/>
    <row r="1521" ht="14.25" hidden="1" customHeight="1" x14ac:dyDescent="0.2"/>
    <row r="1522" ht="14.25" hidden="1" customHeight="1" x14ac:dyDescent="0.2"/>
    <row r="1523" ht="14.25" hidden="1" customHeight="1" x14ac:dyDescent="0.2"/>
    <row r="1524" ht="14.25" hidden="1" customHeight="1" x14ac:dyDescent="0.2"/>
    <row r="1525" ht="14.25" hidden="1" customHeight="1" x14ac:dyDescent="0.2"/>
    <row r="1526" ht="14.25" hidden="1" customHeight="1" x14ac:dyDescent="0.2"/>
    <row r="1527" ht="14.25" hidden="1" customHeight="1" x14ac:dyDescent="0.2"/>
    <row r="1528" ht="14.25" hidden="1" customHeight="1" x14ac:dyDescent="0.2"/>
    <row r="1529" ht="14.25" hidden="1" customHeight="1" x14ac:dyDescent="0.2"/>
    <row r="1530" ht="14.25" hidden="1" customHeight="1" x14ac:dyDescent="0.2"/>
    <row r="1531" ht="14.25" hidden="1" customHeight="1" x14ac:dyDescent="0.2"/>
    <row r="1532" ht="14.25" hidden="1" customHeight="1" x14ac:dyDescent="0.2"/>
    <row r="1533" ht="14.25" hidden="1" customHeight="1" x14ac:dyDescent="0.2"/>
    <row r="1534" ht="14.25" hidden="1" customHeight="1" x14ac:dyDescent="0.2"/>
    <row r="1535" ht="14.25" hidden="1" customHeight="1" x14ac:dyDescent="0.2"/>
    <row r="1536" ht="14.25" hidden="1" customHeight="1" x14ac:dyDescent="0.2"/>
    <row r="1537" ht="14.25" hidden="1" customHeight="1" x14ac:dyDescent="0.2"/>
    <row r="1538" ht="14.25" hidden="1" customHeight="1" x14ac:dyDescent="0.2"/>
    <row r="1539" ht="14.25" hidden="1" customHeight="1" x14ac:dyDescent="0.2"/>
    <row r="1540" ht="14.25" hidden="1" customHeight="1" x14ac:dyDescent="0.2"/>
    <row r="1541" ht="14.25" hidden="1" customHeight="1" x14ac:dyDescent="0.2"/>
    <row r="1542" ht="14.25" hidden="1" customHeight="1" x14ac:dyDescent="0.2"/>
    <row r="1543" ht="14.25" hidden="1" customHeight="1" x14ac:dyDescent="0.2"/>
    <row r="1544" ht="14.25" hidden="1" customHeight="1" x14ac:dyDescent="0.2"/>
    <row r="1545" ht="14.25" hidden="1" customHeight="1" x14ac:dyDescent="0.2"/>
    <row r="1546" ht="14.25" hidden="1" customHeight="1" x14ac:dyDescent="0.2"/>
    <row r="1547" ht="14.25" hidden="1" customHeight="1" x14ac:dyDescent="0.2"/>
    <row r="1548" ht="14.25" hidden="1" customHeight="1" x14ac:dyDescent="0.2"/>
    <row r="1549" ht="14.25" hidden="1" customHeight="1" x14ac:dyDescent="0.2"/>
    <row r="1550" ht="14.25" hidden="1" customHeight="1" x14ac:dyDescent="0.2"/>
    <row r="1551" ht="14.25" hidden="1" customHeight="1" x14ac:dyDescent="0.2"/>
    <row r="1552" ht="14.25" hidden="1" customHeight="1" x14ac:dyDescent="0.2"/>
    <row r="1553" ht="14.25" hidden="1" customHeight="1" x14ac:dyDescent="0.2"/>
    <row r="1554" ht="14.25" hidden="1" customHeight="1" x14ac:dyDescent="0.2"/>
    <row r="1555" ht="14.25" hidden="1" customHeight="1" x14ac:dyDescent="0.2"/>
    <row r="1556" ht="14.25" hidden="1" customHeight="1" x14ac:dyDescent="0.2"/>
    <row r="1557" ht="14.25" hidden="1" customHeight="1" x14ac:dyDescent="0.2"/>
    <row r="1558" ht="14.25" hidden="1" customHeight="1" x14ac:dyDescent="0.2"/>
    <row r="1559" ht="14.25" hidden="1" customHeight="1" x14ac:dyDescent="0.2"/>
    <row r="1560" ht="14.25" hidden="1" customHeight="1" x14ac:dyDescent="0.2"/>
    <row r="1561" ht="14.25" hidden="1" customHeight="1" x14ac:dyDescent="0.2"/>
    <row r="1562" ht="14.25" hidden="1" customHeight="1" x14ac:dyDescent="0.2"/>
    <row r="1563" ht="14.25" hidden="1" customHeight="1" x14ac:dyDescent="0.2"/>
    <row r="1564" ht="14.25" hidden="1" customHeight="1" x14ac:dyDescent="0.2"/>
    <row r="1565" ht="14.25" hidden="1" customHeight="1" x14ac:dyDescent="0.2"/>
    <row r="1566" ht="14.25" hidden="1" customHeight="1" x14ac:dyDescent="0.2"/>
    <row r="1567" ht="14.25" hidden="1" customHeight="1" x14ac:dyDescent="0.2"/>
    <row r="1568" ht="14.25" hidden="1" customHeight="1" x14ac:dyDescent="0.2"/>
    <row r="1569" ht="14.25" hidden="1" customHeight="1" x14ac:dyDescent="0.2"/>
    <row r="1570" ht="14.25" hidden="1" customHeight="1" x14ac:dyDescent="0.2"/>
    <row r="1571" ht="14.25" hidden="1" customHeight="1" x14ac:dyDescent="0.2"/>
    <row r="1572" ht="14.25" hidden="1" customHeight="1" x14ac:dyDescent="0.2"/>
    <row r="1573" ht="14.25" hidden="1" customHeight="1" x14ac:dyDescent="0.2"/>
    <row r="1574" ht="14.25" hidden="1" customHeight="1" x14ac:dyDescent="0.2"/>
    <row r="1575" ht="14.25" hidden="1" customHeight="1" x14ac:dyDescent="0.2"/>
    <row r="1576" ht="14.25" hidden="1" customHeight="1" x14ac:dyDescent="0.2"/>
    <row r="1577" ht="14.25" hidden="1" customHeight="1" x14ac:dyDescent="0.2"/>
    <row r="1578" ht="14.25" hidden="1" customHeight="1" x14ac:dyDescent="0.2"/>
    <row r="1579" ht="14.25" hidden="1" customHeight="1" x14ac:dyDescent="0.2"/>
  </sheetData>
  <mergeCells count="7">
    <mergeCell ref="C3:F5"/>
    <mergeCell ref="C9:D9"/>
    <mergeCell ref="C8:D8"/>
    <mergeCell ref="C10:D10"/>
    <mergeCell ref="M4:N4"/>
    <mergeCell ref="J3:N3"/>
    <mergeCell ref="L5:N5"/>
  </mergeCells>
  <conditionalFormatting sqref="C9:D10">
    <cfRule type="expression" dxfId="17" priority="7">
      <formula>C9&lt;0.6</formula>
    </cfRule>
    <cfRule type="expression" dxfId="16" priority="8">
      <formula>C9&gt;=0.6</formula>
    </cfRule>
    <cfRule type="expression" dxfId="15" priority="9">
      <formula>C9&gt;=0.8</formula>
    </cfRule>
  </conditionalFormatting>
  <conditionalFormatting sqref="D55 D34:E52 F40:F45 D53 D34:K34">
    <cfRule type="expression" dxfId="14" priority="43">
      <formula>N34&gt;=0.8</formula>
    </cfRule>
  </conditionalFormatting>
  <conditionalFormatting sqref="D34:K34 D34:E52 F40:F45 D53 D55">
    <cfRule type="expression" dxfId="13" priority="44">
      <formula>N34&gt;=0.6</formula>
    </cfRule>
    <cfRule type="expression" dxfId="12" priority="45">
      <formula>N34&lt;0.6</formula>
    </cfRule>
  </conditionalFormatting>
  <conditionalFormatting sqref="D34:K53">
    <cfRule type="expression" dxfId="11" priority="1">
      <formula>N34&gt;=80</formula>
    </cfRule>
    <cfRule type="expression" dxfId="10" priority="2">
      <formula>N34&gt;=60</formula>
    </cfRule>
    <cfRule type="expression" dxfId="9" priority="3">
      <formula>N34&lt;60</formula>
    </cfRule>
  </conditionalFormatting>
  <conditionalFormatting sqref="D36:K53">
    <cfRule type="expression" dxfId="8" priority="4">
      <formula>N36&gt;=0.8</formula>
    </cfRule>
    <cfRule type="expression" dxfId="7" priority="5">
      <formula>N36&gt;=0.6</formula>
    </cfRule>
    <cfRule type="expression" dxfId="6" priority="6">
      <formula>N36&lt;0.6</formula>
    </cfRule>
  </conditionalFormatting>
  <conditionalFormatting sqref="D55:L55">
    <cfRule type="expression" dxfId="5" priority="10">
      <formula>N55&gt;=80</formula>
    </cfRule>
    <cfRule type="expression" dxfId="4" priority="11">
      <formula>N55&gt;=60</formula>
    </cfRule>
    <cfRule type="expression" dxfId="3" priority="12">
      <formula>N55&lt;60</formula>
    </cfRule>
    <cfRule type="expression" dxfId="2" priority="13">
      <formula>N55&gt;=0.8</formula>
    </cfRule>
    <cfRule type="expression" dxfId="1" priority="14">
      <formula>N55&gt;=0.6</formula>
    </cfRule>
    <cfRule type="expression" dxfId="0" priority="15">
      <formula>N55&lt;0.6</formula>
    </cfRule>
  </conditionalFormatting>
  <dataValidations count="1">
    <dataValidation type="list" allowBlank="1" showInputMessage="1" showErrorMessage="1" sqref="M4:N4" xr:uid="{084B4014-11D5-44C7-B65B-9395AA10C962}">
      <formula1>ComplianceFrameworks</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21531-7358-49FE-BD0F-110ABF98ABED}">
  <sheetPr codeName="Sheet3"/>
  <dimension ref="A1:M121"/>
  <sheetViews>
    <sheetView topLeftCell="F39" zoomScale="80" workbookViewId="0">
      <selection activeCell="L39" sqref="L39"/>
    </sheetView>
  </sheetViews>
  <sheetFormatPr baseColWidth="10" defaultColWidth="8.83203125" defaultRowHeight="15" x14ac:dyDescent="0.2"/>
  <cols>
    <col min="1" max="1" width="4" customWidth="1"/>
    <col min="2" max="2" width="8" customWidth="1"/>
    <col min="3" max="3" width="25" customWidth="1"/>
    <col min="4" max="4" width="12" customWidth="1"/>
    <col min="5" max="5" width="15" customWidth="1"/>
    <col min="6" max="6" width="40" customWidth="1"/>
    <col min="7" max="7" width="35" customWidth="1"/>
    <col min="8" max="11" width="25" customWidth="1"/>
    <col min="12" max="12" width="46.33203125" customWidth="1"/>
    <col min="13" max="13" width="25" customWidth="1"/>
  </cols>
  <sheetData>
    <row r="1" spans="1:13" ht="32" x14ac:dyDescent="0.2">
      <c r="A1" s="7" t="s">
        <v>180</v>
      </c>
      <c r="B1" s="7" t="s">
        <v>174</v>
      </c>
      <c r="C1" s="7" t="s">
        <v>175</v>
      </c>
      <c r="D1" s="7" t="s">
        <v>176</v>
      </c>
      <c r="E1" s="7" t="s">
        <v>177</v>
      </c>
      <c r="F1" s="7" t="s">
        <v>178</v>
      </c>
      <c r="G1" s="7" t="s">
        <v>179</v>
      </c>
      <c r="H1" s="7">
        <v>1</v>
      </c>
      <c r="I1" s="7">
        <v>2</v>
      </c>
      <c r="J1" s="7">
        <v>3</v>
      </c>
      <c r="K1" s="7">
        <v>4</v>
      </c>
      <c r="L1" s="7" t="s">
        <v>181</v>
      </c>
      <c r="M1" s="7" t="s">
        <v>182</v>
      </c>
    </row>
    <row r="2" spans="1:13" ht="128" x14ac:dyDescent="0.2">
      <c r="A2" s="8">
        <v>1</v>
      </c>
      <c r="B2" s="8" t="s">
        <v>183</v>
      </c>
      <c r="C2" s="8" t="s">
        <v>184</v>
      </c>
      <c r="D2" s="8" t="s">
        <v>185</v>
      </c>
      <c r="E2" s="8" t="s">
        <v>186</v>
      </c>
      <c r="F2" s="8" t="s">
        <v>187</v>
      </c>
      <c r="G2" s="8" t="s">
        <v>188</v>
      </c>
      <c r="H2" s="8" t="s">
        <v>1213</v>
      </c>
      <c r="I2" s="8" t="s">
        <v>1214</v>
      </c>
      <c r="J2" s="8" t="s">
        <v>1215</v>
      </c>
      <c r="K2" s="8" t="s">
        <v>1216</v>
      </c>
      <c r="L2" s="8" t="s">
        <v>1808</v>
      </c>
      <c r="M2" s="8"/>
    </row>
    <row r="3" spans="1:13" ht="160" x14ac:dyDescent="0.2">
      <c r="A3" s="8">
        <v>2</v>
      </c>
      <c r="B3" s="8" t="s">
        <v>183</v>
      </c>
      <c r="C3" s="8" t="s">
        <v>184</v>
      </c>
      <c r="D3" s="8" t="s">
        <v>185</v>
      </c>
      <c r="E3" s="8" t="s">
        <v>189</v>
      </c>
      <c r="F3" s="8" t="s">
        <v>190</v>
      </c>
      <c r="G3" s="8" t="s">
        <v>191</v>
      </c>
      <c r="H3" s="8" t="s">
        <v>1217</v>
      </c>
      <c r="I3" s="8" t="s">
        <v>1218</v>
      </c>
      <c r="J3" s="8" t="s">
        <v>1219</v>
      </c>
      <c r="K3" s="8" t="s">
        <v>1220</v>
      </c>
      <c r="L3" s="8" t="s">
        <v>1692</v>
      </c>
      <c r="M3" s="8"/>
    </row>
    <row r="4" spans="1:13" ht="128" x14ac:dyDescent="0.2">
      <c r="A4" s="8">
        <v>3</v>
      </c>
      <c r="B4" s="8" t="s">
        <v>183</v>
      </c>
      <c r="C4" s="8" t="s">
        <v>184</v>
      </c>
      <c r="D4" s="8" t="s">
        <v>185</v>
      </c>
      <c r="E4" s="8" t="s">
        <v>192</v>
      </c>
      <c r="F4" s="8" t="s">
        <v>193</v>
      </c>
      <c r="G4" s="8" t="s">
        <v>194</v>
      </c>
      <c r="H4" s="8" t="s">
        <v>1221</v>
      </c>
      <c r="I4" s="8" t="s">
        <v>1222</v>
      </c>
      <c r="J4" s="8" t="s">
        <v>1223</v>
      </c>
      <c r="K4" s="8" t="s">
        <v>1224</v>
      </c>
      <c r="L4" s="8" t="s">
        <v>1693</v>
      </c>
      <c r="M4" s="8"/>
    </row>
    <row r="5" spans="1:13" ht="144" x14ac:dyDescent="0.2">
      <c r="A5" s="8">
        <v>4</v>
      </c>
      <c r="B5" s="8" t="s">
        <v>183</v>
      </c>
      <c r="C5" s="8" t="s">
        <v>184</v>
      </c>
      <c r="D5" s="8" t="s">
        <v>185</v>
      </c>
      <c r="E5" s="8" t="s">
        <v>195</v>
      </c>
      <c r="F5" s="8" t="s">
        <v>196</v>
      </c>
      <c r="G5" s="8" t="s">
        <v>197</v>
      </c>
      <c r="H5" s="8" t="s">
        <v>1225</v>
      </c>
      <c r="I5" s="8" t="s">
        <v>1226</v>
      </c>
      <c r="J5" s="8" t="s">
        <v>1227</v>
      </c>
      <c r="K5" s="8" t="s">
        <v>1228</v>
      </c>
      <c r="L5" s="8" t="s">
        <v>1694</v>
      </c>
      <c r="M5" s="8"/>
    </row>
    <row r="6" spans="1:13" ht="144" x14ac:dyDescent="0.2">
      <c r="A6" s="8">
        <v>5</v>
      </c>
      <c r="B6" s="8" t="s">
        <v>183</v>
      </c>
      <c r="C6" s="8" t="s">
        <v>184</v>
      </c>
      <c r="D6" s="8" t="s">
        <v>185</v>
      </c>
      <c r="E6" s="8" t="s">
        <v>198</v>
      </c>
      <c r="F6" s="8" t="s">
        <v>199</v>
      </c>
      <c r="G6" s="8" t="s">
        <v>200</v>
      </c>
      <c r="H6" s="8" t="s">
        <v>1229</v>
      </c>
      <c r="I6" s="8" t="s">
        <v>1230</v>
      </c>
      <c r="J6" s="8" t="s">
        <v>1231</v>
      </c>
      <c r="K6" s="8" t="s">
        <v>1232</v>
      </c>
      <c r="L6" s="8" t="s">
        <v>1695</v>
      </c>
      <c r="M6" s="8"/>
    </row>
    <row r="7" spans="1:13" ht="144" x14ac:dyDescent="0.2">
      <c r="A7" s="8">
        <v>6</v>
      </c>
      <c r="B7" s="8" t="s">
        <v>183</v>
      </c>
      <c r="C7" s="8" t="s">
        <v>184</v>
      </c>
      <c r="D7" s="8" t="s">
        <v>201</v>
      </c>
      <c r="E7" s="8" t="s">
        <v>186</v>
      </c>
      <c r="F7" s="8" t="s">
        <v>202</v>
      </c>
      <c r="G7" s="8" t="s">
        <v>203</v>
      </c>
      <c r="H7" s="8" t="s">
        <v>1233</v>
      </c>
      <c r="I7" s="8" t="s">
        <v>1234</v>
      </c>
      <c r="J7" s="8" t="s">
        <v>1235</v>
      </c>
      <c r="K7" s="8" t="s">
        <v>1236</v>
      </c>
      <c r="L7" s="8" t="s">
        <v>1696</v>
      </c>
      <c r="M7" s="8"/>
    </row>
    <row r="8" spans="1:13" ht="128" x14ac:dyDescent="0.2">
      <c r="A8" s="8">
        <v>7</v>
      </c>
      <c r="B8" s="8" t="s">
        <v>183</v>
      </c>
      <c r="C8" s="8" t="s">
        <v>184</v>
      </c>
      <c r="D8" s="8" t="s">
        <v>201</v>
      </c>
      <c r="E8" s="8" t="s">
        <v>189</v>
      </c>
      <c r="F8" s="8" t="s">
        <v>204</v>
      </c>
      <c r="G8" s="8" t="s">
        <v>205</v>
      </c>
      <c r="H8" s="8" t="s">
        <v>1237</v>
      </c>
      <c r="I8" s="8" t="s">
        <v>1238</v>
      </c>
      <c r="J8" s="8" t="s">
        <v>1239</v>
      </c>
      <c r="K8" s="8" t="s">
        <v>1240</v>
      </c>
      <c r="L8" s="8" t="s">
        <v>1811</v>
      </c>
      <c r="M8" s="8"/>
    </row>
    <row r="9" spans="1:13" ht="128" x14ac:dyDescent="0.2">
      <c r="A9" s="8">
        <v>8</v>
      </c>
      <c r="B9" s="8" t="s">
        <v>183</v>
      </c>
      <c r="C9" s="8" t="s">
        <v>184</v>
      </c>
      <c r="D9" s="8" t="s">
        <v>201</v>
      </c>
      <c r="E9" s="8" t="s">
        <v>189</v>
      </c>
      <c r="F9" s="8" t="s">
        <v>206</v>
      </c>
      <c r="G9" s="8" t="s">
        <v>207</v>
      </c>
      <c r="H9" s="8" t="s">
        <v>1241</v>
      </c>
      <c r="I9" s="8" t="s">
        <v>1242</v>
      </c>
      <c r="J9" s="8" t="s">
        <v>1243</v>
      </c>
      <c r="K9" s="8" t="s">
        <v>1244</v>
      </c>
      <c r="L9" s="8" t="s">
        <v>1812</v>
      </c>
      <c r="M9" s="8"/>
    </row>
    <row r="10" spans="1:13" ht="128" x14ac:dyDescent="0.2">
      <c r="A10" s="8">
        <v>9</v>
      </c>
      <c r="B10" s="8" t="s">
        <v>183</v>
      </c>
      <c r="C10" s="8" t="s">
        <v>184</v>
      </c>
      <c r="D10" s="8" t="s">
        <v>201</v>
      </c>
      <c r="E10" s="8" t="s">
        <v>189</v>
      </c>
      <c r="F10" s="8" t="s">
        <v>208</v>
      </c>
      <c r="G10" s="8" t="s">
        <v>209</v>
      </c>
      <c r="H10" s="8" t="s">
        <v>1245</v>
      </c>
      <c r="I10" s="8" t="s">
        <v>1246</v>
      </c>
      <c r="J10" s="8" t="s">
        <v>1247</v>
      </c>
      <c r="K10" s="8" t="s">
        <v>1248</v>
      </c>
      <c r="L10" s="8" t="s">
        <v>1809</v>
      </c>
      <c r="M10" s="8"/>
    </row>
    <row r="11" spans="1:13" ht="160" x14ac:dyDescent="0.2">
      <c r="A11" s="8">
        <v>10</v>
      </c>
      <c r="B11" s="8" t="s">
        <v>183</v>
      </c>
      <c r="C11" s="8" t="s">
        <v>184</v>
      </c>
      <c r="D11" s="8" t="s">
        <v>201</v>
      </c>
      <c r="E11" s="8" t="s">
        <v>198</v>
      </c>
      <c r="F11" s="8" t="s">
        <v>210</v>
      </c>
      <c r="G11" s="8" t="s">
        <v>211</v>
      </c>
      <c r="H11" s="8" t="s">
        <v>1249</v>
      </c>
      <c r="I11" s="8" t="s">
        <v>1250</v>
      </c>
      <c r="J11" s="8" t="s">
        <v>1251</v>
      </c>
      <c r="K11" s="8" t="s">
        <v>1252</v>
      </c>
      <c r="L11" s="8" t="s">
        <v>1697</v>
      </c>
      <c r="M11" s="8"/>
    </row>
    <row r="12" spans="1:13" ht="144" x14ac:dyDescent="0.2">
      <c r="A12" s="8">
        <v>11</v>
      </c>
      <c r="B12" s="8" t="s">
        <v>183</v>
      </c>
      <c r="C12" s="8" t="s">
        <v>212</v>
      </c>
      <c r="D12" s="8" t="s">
        <v>185</v>
      </c>
      <c r="E12" s="8" t="s">
        <v>186</v>
      </c>
      <c r="F12" s="8" t="s">
        <v>213</v>
      </c>
      <c r="G12" s="8" t="s">
        <v>214</v>
      </c>
      <c r="H12" s="8" t="s">
        <v>1253</v>
      </c>
      <c r="I12" s="8" t="s">
        <v>1254</v>
      </c>
      <c r="J12" s="8" t="s">
        <v>1255</v>
      </c>
      <c r="K12" s="8" t="s">
        <v>1256</v>
      </c>
      <c r="L12" s="8" t="s">
        <v>1698</v>
      </c>
      <c r="M12" s="8"/>
    </row>
    <row r="13" spans="1:13" ht="128" x14ac:dyDescent="0.2">
      <c r="A13" s="8">
        <v>12</v>
      </c>
      <c r="B13" s="8" t="s">
        <v>183</v>
      </c>
      <c r="C13" s="8" t="s">
        <v>212</v>
      </c>
      <c r="D13" s="8" t="s">
        <v>185</v>
      </c>
      <c r="E13" s="8" t="s">
        <v>189</v>
      </c>
      <c r="F13" s="8" t="s">
        <v>215</v>
      </c>
      <c r="G13" s="8" t="s">
        <v>216</v>
      </c>
      <c r="H13" s="8" t="s">
        <v>1257</v>
      </c>
      <c r="I13" s="8" t="s">
        <v>1258</v>
      </c>
      <c r="J13" s="8" t="s">
        <v>1259</v>
      </c>
      <c r="K13" s="8" t="s">
        <v>1260</v>
      </c>
      <c r="L13" s="8" t="s">
        <v>1699</v>
      </c>
      <c r="M13" s="8"/>
    </row>
    <row r="14" spans="1:13" ht="128" x14ac:dyDescent="0.2">
      <c r="A14" s="8">
        <v>13</v>
      </c>
      <c r="B14" s="8" t="s">
        <v>183</v>
      </c>
      <c r="C14" s="8" t="s">
        <v>212</v>
      </c>
      <c r="D14" s="8" t="s">
        <v>185</v>
      </c>
      <c r="E14" s="8" t="s">
        <v>192</v>
      </c>
      <c r="F14" s="8" t="s">
        <v>217</v>
      </c>
      <c r="G14" s="8" t="s">
        <v>218</v>
      </c>
      <c r="H14" s="8" t="s">
        <v>1261</v>
      </c>
      <c r="I14" s="8" t="s">
        <v>1262</v>
      </c>
      <c r="J14" s="8" t="s">
        <v>1263</v>
      </c>
      <c r="K14" s="8" t="s">
        <v>1264</v>
      </c>
      <c r="L14" s="8" t="s">
        <v>1700</v>
      </c>
      <c r="M14" s="8"/>
    </row>
    <row r="15" spans="1:13" ht="128" x14ac:dyDescent="0.2">
      <c r="A15" s="8">
        <v>14</v>
      </c>
      <c r="B15" s="8" t="s">
        <v>183</v>
      </c>
      <c r="C15" s="8" t="s">
        <v>212</v>
      </c>
      <c r="D15" s="8" t="s">
        <v>185</v>
      </c>
      <c r="E15" s="8" t="s">
        <v>192</v>
      </c>
      <c r="F15" s="8" t="s">
        <v>219</v>
      </c>
      <c r="G15" s="8" t="s">
        <v>220</v>
      </c>
      <c r="H15" s="8" t="s">
        <v>1265</v>
      </c>
      <c r="I15" s="8" t="s">
        <v>1266</v>
      </c>
      <c r="J15" s="8" t="s">
        <v>1267</v>
      </c>
      <c r="K15" s="8" t="s">
        <v>1268</v>
      </c>
      <c r="L15" s="8" t="s">
        <v>1701</v>
      </c>
      <c r="M15" s="8"/>
    </row>
    <row r="16" spans="1:13" ht="144" x14ac:dyDescent="0.2">
      <c r="A16" s="8">
        <v>15</v>
      </c>
      <c r="B16" s="8" t="s">
        <v>183</v>
      </c>
      <c r="C16" s="8" t="s">
        <v>212</v>
      </c>
      <c r="D16" s="8" t="s">
        <v>185</v>
      </c>
      <c r="E16" s="8" t="s">
        <v>192</v>
      </c>
      <c r="F16" s="8" t="s">
        <v>221</v>
      </c>
      <c r="G16" s="8" t="s">
        <v>222</v>
      </c>
      <c r="H16" s="8" t="s">
        <v>1269</v>
      </c>
      <c r="I16" s="8" t="s">
        <v>1270</v>
      </c>
      <c r="J16" s="8" t="s">
        <v>1271</v>
      </c>
      <c r="K16" s="8" t="s">
        <v>1272</v>
      </c>
      <c r="L16" s="8" t="s">
        <v>1702</v>
      </c>
      <c r="M16" s="8"/>
    </row>
    <row r="17" spans="1:13" ht="128" x14ac:dyDescent="0.2">
      <c r="A17" s="8">
        <v>16</v>
      </c>
      <c r="B17" s="8" t="s">
        <v>183</v>
      </c>
      <c r="C17" s="8" t="s">
        <v>212</v>
      </c>
      <c r="D17" s="8" t="s">
        <v>201</v>
      </c>
      <c r="E17" s="8" t="s">
        <v>186</v>
      </c>
      <c r="F17" s="8" t="s">
        <v>223</v>
      </c>
      <c r="G17" s="8" t="s">
        <v>224</v>
      </c>
      <c r="H17" s="8" t="s">
        <v>1273</v>
      </c>
      <c r="I17" s="8" t="s">
        <v>1274</v>
      </c>
      <c r="J17" s="8" t="s">
        <v>1275</v>
      </c>
      <c r="K17" s="8" t="s">
        <v>1276</v>
      </c>
      <c r="L17" s="8" t="s">
        <v>1703</v>
      </c>
      <c r="M17" s="8"/>
    </row>
    <row r="18" spans="1:13" ht="160" x14ac:dyDescent="0.2">
      <c r="A18" s="8">
        <v>17</v>
      </c>
      <c r="B18" s="8" t="s">
        <v>183</v>
      </c>
      <c r="C18" s="8" t="s">
        <v>212</v>
      </c>
      <c r="D18" s="8" t="s">
        <v>201</v>
      </c>
      <c r="E18" s="8" t="s">
        <v>189</v>
      </c>
      <c r="F18" s="8" t="s">
        <v>225</v>
      </c>
      <c r="G18" s="8" t="s">
        <v>226</v>
      </c>
      <c r="H18" s="8" t="s">
        <v>1277</v>
      </c>
      <c r="I18" s="8" t="s">
        <v>1278</v>
      </c>
      <c r="J18" s="8" t="s">
        <v>1279</v>
      </c>
      <c r="K18" s="8" t="s">
        <v>1280</v>
      </c>
      <c r="L18" s="8" t="s">
        <v>1704</v>
      </c>
      <c r="M18" s="8"/>
    </row>
    <row r="19" spans="1:13" ht="144" x14ac:dyDescent="0.2">
      <c r="A19" s="8">
        <v>18</v>
      </c>
      <c r="B19" s="8" t="s">
        <v>183</v>
      </c>
      <c r="C19" s="8" t="s">
        <v>212</v>
      </c>
      <c r="D19" s="8" t="s">
        <v>201</v>
      </c>
      <c r="E19" s="8" t="s">
        <v>192</v>
      </c>
      <c r="F19" s="8" t="s">
        <v>227</v>
      </c>
      <c r="G19" s="8" t="s">
        <v>228</v>
      </c>
      <c r="H19" s="8" t="s">
        <v>1281</v>
      </c>
      <c r="I19" s="8" t="s">
        <v>1282</v>
      </c>
      <c r="J19" s="8" t="s">
        <v>1283</v>
      </c>
      <c r="K19" s="8" t="s">
        <v>1284</v>
      </c>
      <c r="L19" s="8" t="s">
        <v>1705</v>
      </c>
      <c r="M19" s="8"/>
    </row>
    <row r="20" spans="1:13" ht="128" x14ac:dyDescent="0.2">
      <c r="A20" s="8">
        <v>19</v>
      </c>
      <c r="B20" s="8" t="s">
        <v>183</v>
      </c>
      <c r="C20" s="8" t="s">
        <v>212</v>
      </c>
      <c r="D20" s="8" t="s">
        <v>201</v>
      </c>
      <c r="E20" s="8" t="s">
        <v>195</v>
      </c>
      <c r="F20" s="8" t="s">
        <v>229</v>
      </c>
      <c r="G20" s="8" t="s">
        <v>230</v>
      </c>
      <c r="H20" s="8" t="s">
        <v>1285</v>
      </c>
      <c r="I20" s="8" t="s">
        <v>1286</v>
      </c>
      <c r="J20" s="8" t="s">
        <v>1287</v>
      </c>
      <c r="K20" s="8" t="s">
        <v>1288</v>
      </c>
      <c r="L20" s="8" t="s">
        <v>1706</v>
      </c>
      <c r="M20" s="8"/>
    </row>
    <row r="21" spans="1:13" ht="128" x14ac:dyDescent="0.2">
      <c r="A21" s="8">
        <v>20</v>
      </c>
      <c r="B21" s="8" t="s">
        <v>183</v>
      </c>
      <c r="C21" s="8" t="s">
        <v>212</v>
      </c>
      <c r="D21" s="8" t="s">
        <v>201</v>
      </c>
      <c r="E21" s="8" t="s">
        <v>195</v>
      </c>
      <c r="F21" s="8" t="s">
        <v>231</v>
      </c>
      <c r="G21" s="8" t="s">
        <v>232</v>
      </c>
      <c r="H21" s="8" t="s">
        <v>1289</v>
      </c>
      <c r="I21" s="8" t="s">
        <v>1290</v>
      </c>
      <c r="J21" s="8" t="s">
        <v>1291</v>
      </c>
      <c r="K21" s="8" t="s">
        <v>1292</v>
      </c>
      <c r="L21" s="8" t="s">
        <v>1707</v>
      </c>
      <c r="M21" s="8"/>
    </row>
    <row r="22" spans="1:13" ht="128" x14ac:dyDescent="0.2">
      <c r="A22" s="8">
        <v>21</v>
      </c>
      <c r="B22" s="8" t="s">
        <v>183</v>
      </c>
      <c r="C22" s="8" t="s">
        <v>233</v>
      </c>
      <c r="D22" s="8" t="s">
        <v>185</v>
      </c>
      <c r="E22" s="8" t="s">
        <v>186</v>
      </c>
      <c r="F22" s="8" t="s">
        <v>234</v>
      </c>
      <c r="G22" s="8" t="s">
        <v>235</v>
      </c>
      <c r="H22" s="8" t="s">
        <v>1293</v>
      </c>
      <c r="I22" s="8" t="s">
        <v>1294</v>
      </c>
      <c r="J22" s="8" t="s">
        <v>1295</v>
      </c>
      <c r="K22" s="8" t="s">
        <v>1296</v>
      </c>
      <c r="L22" s="8" t="s">
        <v>1708</v>
      </c>
      <c r="M22" s="8"/>
    </row>
    <row r="23" spans="1:13" ht="128" x14ac:dyDescent="0.2">
      <c r="A23" s="8">
        <v>22</v>
      </c>
      <c r="B23" s="8" t="s">
        <v>183</v>
      </c>
      <c r="C23" s="8" t="s">
        <v>233</v>
      </c>
      <c r="D23" s="8" t="s">
        <v>185</v>
      </c>
      <c r="E23" s="8" t="s">
        <v>189</v>
      </c>
      <c r="F23" s="8" t="s">
        <v>236</v>
      </c>
      <c r="G23" s="8" t="s">
        <v>237</v>
      </c>
      <c r="H23" s="8" t="s">
        <v>1297</v>
      </c>
      <c r="I23" s="8" t="s">
        <v>1298</v>
      </c>
      <c r="J23" s="8" t="s">
        <v>1299</v>
      </c>
      <c r="K23" s="8" t="s">
        <v>1300</v>
      </c>
      <c r="L23" s="8" t="s">
        <v>1709</v>
      </c>
      <c r="M23" s="8"/>
    </row>
    <row r="24" spans="1:13" ht="160" x14ac:dyDescent="0.2">
      <c r="A24" s="8">
        <v>23</v>
      </c>
      <c r="B24" s="8" t="s">
        <v>183</v>
      </c>
      <c r="C24" s="8" t="s">
        <v>233</v>
      </c>
      <c r="D24" s="8" t="s">
        <v>185</v>
      </c>
      <c r="E24" s="8" t="s">
        <v>192</v>
      </c>
      <c r="F24" s="8" t="s">
        <v>238</v>
      </c>
      <c r="G24" s="8" t="s">
        <v>239</v>
      </c>
      <c r="H24" s="8" t="s">
        <v>1301</v>
      </c>
      <c r="I24" s="8" t="s">
        <v>1302</v>
      </c>
      <c r="J24" s="8" t="s">
        <v>1303</v>
      </c>
      <c r="K24" s="8" t="s">
        <v>1304</v>
      </c>
      <c r="L24" s="8" t="s">
        <v>1710</v>
      </c>
      <c r="M24" s="8"/>
    </row>
    <row r="25" spans="1:13" ht="144" x14ac:dyDescent="0.2">
      <c r="A25" s="8">
        <v>24</v>
      </c>
      <c r="B25" s="8" t="s">
        <v>183</v>
      </c>
      <c r="C25" s="8" t="s">
        <v>233</v>
      </c>
      <c r="D25" s="8" t="s">
        <v>185</v>
      </c>
      <c r="E25" s="8" t="s">
        <v>195</v>
      </c>
      <c r="F25" s="8" t="s">
        <v>240</v>
      </c>
      <c r="G25" s="8" t="s">
        <v>241</v>
      </c>
      <c r="H25" s="8" t="s">
        <v>1305</v>
      </c>
      <c r="I25" s="8" t="s">
        <v>1306</v>
      </c>
      <c r="J25" s="8" t="s">
        <v>1307</v>
      </c>
      <c r="K25" s="8" t="s">
        <v>1308</v>
      </c>
      <c r="L25" s="8" t="s">
        <v>1711</v>
      </c>
      <c r="M25" s="8"/>
    </row>
    <row r="26" spans="1:13" ht="128" x14ac:dyDescent="0.2">
      <c r="A26" s="8">
        <v>25</v>
      </c>
      <c r="B26" s="8" t="s">
        <v>183</v>
      </c>
      <c r="C26" s="8" t="s">
        <v>233</v>
      </c>
      <c r="D26" s="8" t="s">
        <v>185</v>
      </c>
      <c r="E26" s="8" t="s">
        <v>198</v>
      </c>
      <c r="F26" s="8" t="s">
        <v>242</v>
      </c>
      <c r="G26" s="8" t="s">
        <v>243</v>
      </c>
      <c r="H26" s="8" t="s">
        <v>1309</v>
      </c>
      <c r="I26" s="8" t="s">
        <v>1310</v>
      </c>
      <c r="J26" s="8" t="s">
        <v>1311</v>
      </c>
      <c r="K26" s="8" t="s">
        <v>1312</v>
      </c>
      <c r="L26" s="8" t="s">
        <v>1712</v>
      </c>
      <c r="M26" s="8"/>
    </row>
    <row r="27" spans="1:13" ht="128" x14ac:dyDescent="0.2">
      <c r="A27" s="8">
        <v>26</v>
      </c>
      <c r="B27" s="8" t="s">
        <v>183</v>
      </c>
      <c r="C27" s="8" t="s">
        <v>233</v>
      </c>
      <c r="D27" s="8" t="s">
        <v>201</v>
      </c>
      <c r="E27" s="8" t="s">
        <v>186</v>
      </c>
      <c r="F27" s="8" t="s">
        <v>244</v>
      </c>
      <c r="G27" s="8" t="s">
        <v>245</v>
      </c>
      <c r="H27" s="8" t="s">
        <v>1313</v>
      </c>
      <c r="I27" s="8" t="s">
        <v>1314</v>
      </c>
      <c r="J27" s="8" t="s">
        <v>1315</v>
      </c>
      <c r="K27" s="8" t="s">
        <v>1316</v>
      </c>
      <c r="L27" s="8" t="s">
        <v>1713</v>
      </c>
      <c r="M27" s="8"/>
    </row>
    <row r="28" spans="1:13" ht="176" x14ac:dyDescent="0.2">
      <c r="A28" s="8">
        <v>27</v>
      </c>
      <c r="B28" s="8" t="s">
        <v>183</v>
      </c>
      <c r="C28" s="8" t="s">
        <v>233</v>
      </c>
      <c r="D28" s="8" t="s">
        <v>201</v>
      </c>
      <c r="E28" s="8" t="s">
        <v>186</v>
      </c>
      <c r="F28" s="8" t="s">
        <v>246</v>
      </c>
      <c r="G28" s="8" t="s">
        <v>247</v>
      </c>
      <c r="H28" s="8" t="s">
        <v>1317</v>
      </c>
      <c r="I28" s="8" t="s">
        <v>1318</v>
      </c>
      <c r="J28" s="8" t="s">
        <v>1319</v>
      </c>
      <c r="K28" s="8" t="s">
        <v>1320</v>
      </c>
      <c r="L28" s="8" t="s">
        <v>1714</v>
      </c>
      <c r="M28" s="8"/>
    </row>
    <row r="29" spans="1:13" ht="176" x14ac:dyDescent="0.2">
      <c r="A29" s="8">
        <v>28</v>
      </c>
      <c r="B29" s="8" t="s">
        <v>183</v>
      </c>
      <c r="C29" s="8" t="s">
        <v>233</v>
      </c>
      <c r="D29" s="8" t="s">
        <v>201</v>
      </c>
      <c r="E29" s="8" t="s">
        <v>192</v>
      </c>
      <c r="F29" s="8" t="s">
        <v>248</v>
      </c>
      <c r="G29" s="8" t="s">
        <v>249</v>
      </c>
      <c r="H29" s="8" t="s">
        <v>1321</v>
      </c>
      <c r="I29" s="8" t="s">
        <v>1322</v>
      </c>
      <c r="J29" s="8" t="s">
        <v>1323</v>
      </c>
      <c r="K29" s="8" t="s">
        <v>1324</v>
      </c>
      <c r="L29" s="8" t="s">
        <v>1715</v>
      </c>
      <c r="M29" s="8"/>
    </row>
    <row r="30" spans="1:13" ht="160" x14ac:dyDescent="0.2">
      <c r="A30" s="8">
        <v>29</v>
      </c>
      <c r="B30" s="8" t="s">
        <v>183</v>
      </c>
      <c r="C30" s="8" t="s">
        <v>233</v>
      </c>
      <c r="D30" s="8" t="s">
        <v>201</v>
      </c>
      <c r="E30" s="8" t="s">
        <v>195</v>
      </c>
      <c r="F30" s="8" t="s">
        <v>250</v>
      </c>
      <c r="G30" s="8" t="s">
        <v>251</v>
      </c>
      <c r="H30" s="8" t="s">
        <v>1325</v>
      </c>
      <c r="I30" s="8" t="s">
        <v>1326</v>
      </c>
      <c r="J30" s="8" t="s">
        <v>1327</v>
      </c>
      <c r="K30" s="8" t="s">
        <v>1328</v>
      </c>
      <c r="L30" s="8" t="s">
        <v>1716</v>
      </c>
      <c r="M30" s="8"/>
    </row>
    <row r="31" spans="1:13" ht="128" x14ac:dyDescent="0.2">
      <c r="A31" s="8">
        <v>30</v>
      </c>
      <c r="B31" s="8" t="s">
        <v>183</v>
      </c>
      <c r="C31" s="8" t="s">
        <v>233</v>
      </c>
      <c r="D31" s="8" t="s">
        <v>201</v>
      </c>
      <c r="E31" s="8" t="s">
        <v>195</v>
      </c>
      <c r="F31" s="8" t="s">
        <v>252</v>
      </c>
      <c r="G31" s="8" t="s">
        <v>253</v>
      </c>
      <c r="H31" s="8" t="s">
        <v>1329</v>
      </c>
      <c r="I31" s="8" t="s">
        <v>1330</v>
      </c>
      <c r="J31" s="8" t="s">
        <v>1331</v>
      </c>
      <c r="K31" s="8" t="s">
        <v>1332</v>
      </c>
      <c r="L31" s="8" t="s">
        <v>1717</v>
      </c>
      <c r="M31" s="8"/>
    </row>
    <row r="32" spans="1:13" ht="160" x14ac:dyDescent="0.2">
      <c r="A32" s="9">
        <v>31</v>
      </c>
      <c r="B32" s="9" t="s">
        <v>254</v>
      </c>
      <c r="C32" s="9" t="s">
        <v>255</v>
      </c>
      <c r="D32" s="9" t="s">
        <v>185</v>
      </c>
      <c r="E32" s="9" t="s">
        <v>186</v>
      </c>
      <c r="F32" s="9" t="s">
        <v>256</v>
      </c>
      <c r="G32" s="9" t="s">
        <v>257</v>
      </c>
      <c r="H32" s="9" t="s">
        <v>1333</v>
      </c>
      <c r="I32" s="9" t="s">
        <v>1334</v>
      </c>
      <c r="J32" s="9" t="s">
        <v>1335</v>
      </c>
      <c r="K32" s="9" t="s">
        <v>1336</v>
      </c>
      <c r="L32" s="9" t="s">
        <v>1718</v>
      </c>
      <c r="M32" s="9"/>
    </row>
    <row r="33" spans="1:13" ht="160" x14ac:dyDescent="0.2">
      <c r="A33" s="9">
        <v>32</v>
      </c>
      <c r="B33" s="9" t="s">
        <v>254</v>
      </c>
      <c r="C33" s="9" t="s">
        <v>255</v>
      </c>
      <c r="D33" s="9" t="s">
        <v>185</v>
      </c>
      <c r="E33" s="9" t="s">
        <v>186</v>
      </c>
      <c r="F33" s="9" t="s">
        <v>258</v>
      </c>
      <c r="G33" s="9" t="s">
        <v>259</v>
      </c>
      <c r="H33" s="9" t="s">
        <v>1337</v>
      </c>
      <c r="I33" s="9" t="s">
        <v>1338</v>
      </c>
      <c r="J33" s="9" t="s">
        <v>1339</v>
      </c>
      <c r="K33" s="9" t="s">
        <v>1340</v>
      </c>
      <c r="L33" s="9" t="s">
        <v>1719</v>
      </c>
      <c r="M33" s="9"/>
    </row>
    <row r="34" spans="1:13" ht="176" x14ac:dyDescent="0.2">
      <c r="A34" s="9">
        <v>33</v>
      </c>
      <c r="B34" s="9" t="s">
        <v>254</v>
      </c>
      <c r="C34" s="9" t="s">
        <v>255</v>
      </c>
      <c r="D34" s="9" t="s">
        <v>185</v>
      </c>
      <c r="E34" s="9" t="s">
        <v>192</v>
      </c>
      <c r="F34" s="9" t="s">
        <v>260</v>
      </c>
      <c r="G34" s="9" t="s">
        <v>261</v>
      </c>
      <c r="H34" s="9" t="s">
        <v>1341</v>
      </c>
      <c r="I34" s="9" t="s">
        <v>1342</v>
      </c>
      <c r="J34" s="9" t="s">
        <v>1343</v>
      </c>
      <c r="K34" s="9" t="s">
        <v>1344</v>
      </c>
      <c r="L34" s="9" t="s">
        <v>1720</v>
      </c>
      <c r="M34" s="9"/>
    </row>
    <row r="35" spans="1:13" ht="192" x14ac:dyDescent="0.2">
      <c r="A35" s="9">
        <v>34</v>
      </c>
      <c r="B35" s="9" t="s">
        <v>254</v>
      </c>
      <c r="C35" s="9" t="s">
        <v>255</v>
      </c>
      <c r="D35" s="9" t="s">
        <v>185</v>
      </c>
      <c r="E35" s="9" t="s">
        <v>195</v>
      </c>
      <c r="F35" s="9" t="s">
        <v>262</v>
      </c>
      <c r="G35" s="9" t="s">
        <v>263</v>
      </c>
      <c r="H35" s="9" t="s">
        <v>1345</v>
      </c>
      <c r="I35" s="9" t="s">
        <v>1346</v>
      </c>
      <c r="J35" s="9" t="s">
        <v>1347</v>
      </c>
      <c r="K35" s="9" t="s">
        <v>1348</v>
      </c>
      <c r="L35" s="9" t="s">
        <v>1721</v>
      </c>
      <c r="M35" s="9"/>
    </row>
    <row r="36" spans="1:13" ht="192" x14ac:dyDescent="0.2">
      <c r="A36" s="9">
        <v>35</v>
      </c>
      <c r="B36" s="9" t="s">
        <v>254</v>
      </c>
      <c r="C36" s="9" t="s">
        <v>255</v>
      </c>
      <c r="D36" s="9" t="s">
        <v>185</v>
      </c>
      <c r="E36" s="9" t="s">
        <v>198</v>
      </c>
      <c r="F36" s="9" t="s">
        <v>264</v>
      </c>
      <c r="G36" s="9" t="s">
        <v>265</v>
      </c>
      <c r="H36" s="9" t="s">
        <v>1349</v>
      </c>
      <c r="I36" s="9" t="s">
        <v>1350</v>
      </c>
      <c r="J36" s="9" t="s">
        <v>1351</v>
      </c>
      <c r="K36" s="9" t="s">
        <v>1352</v>
      </c>
      <c r="L36" s="9" t="s">
        <v>1722</v>
      </c>
      <c r="M36" s="9"/>
    </row>
    <row r="37" spans="1:13" ht="176" x14ac:dyDescent="0.2">
      <c r="A37" s="9">
        <v>36</v>
      </c>
      <c r="B37" s="9" t="s">
        <v>254</v>
      </c>
      <c r="C37" s="9" t="s">
        <v>255</v>
      </c>
      <c r="D37" s="9" t="s">
        <v>201</v>
      </c>
      <c r="E37" s="9" t="s">
        <v>186</v>
      </c>
      <c r="F37" s="9" t="s">
        <v>266</v>
      </c>
      <c r="G37" s="9"/>
      <c r="H37" s="9" t="s">
        <v>1353</v>
      </c>
      <c r="I37" s="9" t="s">
        <v>1354</v>
      </c>
      <c r="J37" s="9" t="s">
        <v>1355</v>
      </c>
      <c r="K37" s="9" t="s">
        <v>1356</v>
      </c>
      <c r="L37" s="9" t="s">
        <v>1723</v>
      </c>
      <c r="M37" s="9"/>
    </row>
    <row r="38" spans="1:13" ht="160" x14ac:dyDescent="0.2">
      <c r="A38" s="9">
        <v>37</v>
      </c>
      <c r="B38" s="9" t="s">
        <v>254</v>
      </c>
      <c r="C38" s="9" t="s">
        <v>255</v>
      </c>
      <c r="D38" s="9" t="s">
        <v>201</v>
      </c>
      <c r="E38" s="9" t="s">
        <v>189</v>
      </c>
      <c r="F38" s="9" t="s">
        <v>267</v>
      </c>
      <c r="G38" s="9" t="s">
        <v>268</v>
      </c>
      <c r="H38" s="9" t="s">
        <v>1357</v>
      </c>
      <c r="I38" s="9" t="s">
        <v>1358</v>
      </c>
      <c r="J38" s="9" t="s">
        <v>1359</v>
      </c>
      <c r="K38" s="9" t="s">
        <v>1360</v>
      </c>
      <c r="L38" s="9" t="s">
        <v>1724</v>
      </c>
      <c r="M38" s="9"/>
    </row>
    <row r="39" spans="1:13" ht="176" x14ac:dyDescent="0.2">
      <c r="A39" s="9">
        <v>38</v>
      </c>
      <c r="B39" s="9" t="s">
        <v>254</v>
      </c>
      <c r="C39" s="9" t="s">
        <v>255</v>
      </c>
      <c r="D39" s="9" t="s">
        <v>201</v>
      </c>
      <c r="E39" s="9" t="s">
        <v>189</v>
      </c>
      <c r="F39" s="9" t="s">
        <v>269</v>
      </c>
      <c r="G39" s="9" t="s">
        <v>270</v>
      </c>
      <c r="H39" s="9" t="s">
        <v>1361</v>
      </c>
      <c r="I39" s="9" t="s">
        <v>1362</v>
      </c>
      <c r="J39" s="9" t="s">
        <v>1363</v>
      </c>
      <c r="K39" s="9" t="s">
        <v>1364</v>
      </c>
      <c r="L39" s="9" t="s">
        <v>1725</v>
      </c>
      <c r="M39" s="9"/>
    </row>
    <row r="40" spans="1:13" ht="176" x14ac:dyDescent="0.2">
      <c r="A40" s="9">
        <v>39</v>
      </c>
      <c r="B40" s="9" t="s">
        <v>254</v>
      </c>
      <c r="C40" s="9" t="s">
        <v>255</v>
      </c>
      <c r="D40" s="9" t="s">
        <v>201</v>
      </c>
      <c r="E40" s="9" t="s">
        <v>195</v>
      </c>
      <c r="F40" s="9" t="s">
        <v>271</v>
      </c>
      <c r="G40" s="9" t="s">
        <v>272</v>
      </c>
      <c r="H40" s="9" t="s">
        <v>1365</v>
      </c>
      <c r="I40" s="9" t="s">
        <v>1366</v>
      </c>
      <c r="J40" s="9" t="s">
        <v>1367</v>
      </c>
      <c r="K40" s="9" t="s">
        <v>1368</v>
      </c>
      <c r="L40" s="9" t="s">
        <v>1726</v>
      </c>
      <c r="M40" s="9"/>
    </row>
    <row r="41" spans="1:13" ht="128" x14ac:dyDescent="0.2">
      <c r="A41" s="9">
        <v>40</v>
      </c>
      <c r="B41" s="9" t="s">
        <v>254</v>
      </c>
      <c r="C41" s="9" t="s">
        <v>255</v>
      </c>
      <c r="D41" s="9" t="s">
        <v>201</v>
      </c>
      <c r="E41" s="9" t="s">
        <v>198</v>
      </c>
      <c r="F41" s="9" t="s">
        <v>273</v>
      </c>
      <c r="G41" s="9" t="s">
        <v>274</v>
      </c>
      <c r="H41" s="9" t="s">
        <v>1369</v>
      </c>
      <c r="I41" s="9" t="s">
        <v>1370</v>
      </c>
      <c r="J41" s="9" t="s">
        <v>1371</v>
      </c>
      <c r="K41" s="9" t="s">
        <v>1372</v>
      </c>
      <c r="L41" s="9" t="s">
        <v>1727</v>
      </c>
      <c r="M41" s="9"/>
    </row>
    <row r="42" spans="1:13" ht="176" x14ac:dyDescent="0.2">
      <c r="A42" s="9">
        <v>41</v>
      </c>
      <c r="B42" s="9" t="s">
        <v>254</v>
      </c>
      <c r="C42" s="9" t="s">
        <v>275</v>
      </c>
      <c r="D42" s="9" t="s">
        <v>185</v>
      </c>
      <c r="E42" s="9" t="s">
        <v>186</v>
      </c>
      <c r="F42" s="9" t="s">
        <v>276</v>
      </c>
      <c r="G42" s="9" t="s">
        <v>277</v>
      </c>
      <c r="H42" s="9" t="s">
        <v>1373</v>
      </c>
      <c r="I42" s="9" t="s">
        <v>1374</v>
      </c>
      <c r="J42" s="9" t="s">
        <v>1375</v>
      </c>
      <c r="K42" s="9" t="s">
        <v>1376</v>
      </c>
      <c r="L42" s="9" t="s">
        <v>1728</v>
      </c>
      <c r="M42" s="9"/>
    </row>
    <row r="43" spans="1:13" ht="224" x14ac:dyDescent="0.2">
      <c r="A43" s="9">
        <v>42</v>
      </c>
      <c r="B43" s="9" t="s">
        <v>254</v>
      </c>
      <c r="C43" s="9" t="s">
        <v>275</v>
      </c>
      <c r="D43" s="9" t="s">
        <v>185</v>
      </c>
      <c r="E43" s="9" t="s">
        <v>186</v>
      </c>
      <c r="F43" s="9" t="s">
        <v>278</v>
      </c>
      <c r="G43" s="9" t="s">
        <v>279</v>
      </c>
      <c r="H43" s="9" t="s">
        <v>1377</v>
      </c>
      <c r="I43" s="9" t="s">
        <v>1378</v>
      </c>
      <c r="J43" s="9" t="s">
        <v>1379</v>
      </c>
      <c r="K43" s="9" t="s">
        <v>1380</v>
      </c>
      <c r="L43" s="9" t="s">
        <v>1729</v>
      </c>
      <c r="M43" s="9"/>
    </row>
    <row r="44" spans="1:13" ht="192" x14ac:dyDescent="0.2">
      <c r="A44" s="9">
        <v>43</v>
      </c>
      <c r="B44" s="9" t="s">
        <v>254</v>
      </c>
      <c r="C44" s="9" t="s">
        <v>275</v>
      </c>
      <c r="D44" s="9" t="s">
        <v>185</v>
      </c>
      <c r="E44" s="9" t="s">
        <v>192</v>
      </c>
      <c r="F44" s="9" t="s">
        <v>280</v>
      </c>
      <c r="G44" s="9" t="s">
        <v>281</v>
      </c>
      <c r="H44" s="9" t="s">
        <v>1381</v>
      </c>
      <c r="I44" s="9" t="s">
        <v>1382</v>
      </c>
      <c r="J44" s="9" t="s">
        <v>1383</v>
      </c>
      <c r="K44" s="9" t="s">
        <v>1384</v>
      </c>
      <c r="L44" s="9" t="s">
        <v>1730</v>
      </c>
      <c r="M44" s="9"/>
    </row>
    <row r="45" spans="1:13" ht="208" x14ac:dyDescent="0.2">
      <c r="A45" s="9">
        <v>44</v>
      </c>
      <c r="B45" s="9" t="s">
        <v>254</v>
      </c>
      <c r="C45" s="9" t="s">
        <v>275</v>
      </c>
      <c r="D45" s="9" t="s">
        <v>185</v>
      </c>
      <c r="E45" s="9" t="s">
        <v>192</v>
      </c>
      <c r="F45" s="9" t="s">
        <v>282</v>
      </c>
      <c r="G45" s="9" t="s">
        <v>283</v>
      </c>
      <c r="H45" s="9" t="s">
        <v>1385</v>
      </c>
      <c r="I45" s="9" t="s">
        <v>1386</v>
      </c>
      <c r="J45" s="9" t="s">
        <v>1387</v>
      </c>
      <c r="K45" s="9" t="s">
        <v>1388</v>
      </c>
      <c r="L45" s="9" t="s">
        <v>1731</v>
      </c>
      <c r="M45" s="9"/>
    </row>
    <row r="46" spans="1:13" ht="176" x14ac:dyDescent="0.2">
      <c r="A46" s="9">
        <v>45</v>
      </c>
      <c r="B46" s="9" t="s">
        <v>254</v>
      </c>
      <c r="C46" s="9" t="s">
        <v>275</v>
      </c>
      <c r="D46" s="9" t="s">
        <v>185</v>
      </c>
      <c r="E46" s="9" t="s">
        <v>198</v>
      </c>
      <c r="F46" s="9" t="s">
        <v>284</v>
      </c>
      <c r="G46" s="9" t="s">
        <v>285</v>
      </c>
      <c r="H46" s="9" t="s">
        <v>1389</v>
      </c>
      <c r="I46" s="9" t="s">
        <v>1390</v>
      </c>
      <c r="J46" s="9" t="s">
        <v>1391</v>
      </c>
      <c r="K46" s="9" t="s">
        <v>1392</v>
      </c>
      <c r="L46" s="9" t="s">
        <v>1732</v>
      </c>
      <c r="M46" s="9"/>
    </row>
    <row r="47" spans="1:13" ht="144" x14ac:dyDescent="0.2">
      <c r="A47" s="9">
        <v>46</v>
      </c>
      <c r="B47" s="9" t="s">
        <v>254</v>
      </c>
      <c r="C47" s="9" t="s">
        <v>275</v>
      </c>
      <c r="D47" s="9" t="s">
        <v>201</v>
      </c>
      <c r="E47" s="9" t="s">
        <v>186</v>
      </c>
      <c r="F47" s="9" t="s">
        <v>286</v>
      </c>
      <c r="G47" s="9" t="s">
        <v>287</v>
      </c>
      <c r="H47" s="9" t="s">
        <v>1393</v>
      </c>
      <c r="I47" s="9" t="s">
        <v>1394</v>
      </c>
      <c r="J47" s="9" t="s">
        <v>1395</v>
      </c>
      <c r="K47" s="9" t="s">
        <v>1396</v>
      </c>
      <c r="L47" s="9" t="s">
        <v>1733</v>
      </c>
      <c r="M47" s="9"/>
    </row>
    <row r="48" spans="1:13" ht="192" x14ac:dyDescent="0.2">
      <c r="A48" s="9">
        <v>47</v>
      </c>
      <c r="B48" s="9" t="s">
        <v>254</v>
      </c>
      <c r="C48" s="9" t="s">
        <v>275</v>
      </c>
      <c r="D48" s="9" t="s">
        <v>201</v>
      </c>
      <c r="E48" s="9" t="s">
        <v>186</v>
      </c>
      <c r="F48" s="9" t="s">
        <v>288</v>
      </c>
      <c r="G48" s="9" t="s">
        <v>289</v>
      </c>
      <c r="H48" s="9" t="s">
        <v>1397</v>
      </c>
      <c r="I48" s="9" t="s">
        <v>1398</v>
      </c>
      <c r="J48" s="9" t="s">
        <v>1399</v>
      </c>
      <c r="K48" s="9" t="s">
        <v>1400</v>
      </c>
      <c r="L48" s="9" t="s">
        <v>1734</v>
      </c>
      <c r="M48" s="9"/>
    </row>
    <row r="49" spans="1:13" ht="192" x14ac:dyDescent="0.2">
      <c r="A49" s="9">
        <v>48</v>
      </c>
      <c r="B49" s="9" t="s">
        <v>254</v>
      </c>
      <c r="C49" s="9" t="s">
        <v>275</v>
      </c>
      <c r="D49" s="9" t="s">
        <v>201</v>
      </c>
      <c r="E49" s="9" t="s">
        <v>192</v>
      </c>
      <c r="F49" s="9" t="s">
        <v>290</v>
      </c>
      <c r="G49" s="9" t="s">
        <v>291</v>
      </c>
      <c r="H49" s="9" t="s">
        <v>1401</v>
      </c>
      <c r="I49" s="9" t="s">
        <v>1402</v>
      </c>
      <c r="J49" s="9" t="s">
        <v>1403</v>
      </c>
      <c r="K49" s="9" t="s">
        <v>1404</v>
      </c>
      <c r="L49" s="9" t="s">
        <v>1735</v>
      </c>
      <c r="M49" s="9"/>
    </row>
    <row r="50" spans="1:13" ht="160" x14ac:dyDescent="0.2">
      <c r="A50" s="9">
        <v>49</v>
      </c>
      <c r="B50" s="9" t="s">
        <v>254</v>
      </c>
      <c r="C50" s="9" t="s">
        <v>275</v>
      </c>
      <c r="D50" s="9" t="s">
        <v>201</v>
      </c>
      <c r="E50" s="9" t="s">
        <v>195</v>
      </c>
      <c r="F50" s="9" t="s">
        <v>292</v>
      </c>
      <c r="G50" s="9" t="s">
        <v>293</v>
      </c>
      <c r="H50" s="9" t="s">
        <v>1405</v>
      </c>
      <c r="I50" s="9" t="s">
        <v>1406</v>
      </c>
      <c r="J50" s="9" t="s">
        <v>1407</v>
      </c>
      <c r="K50" s="9" t="s">
        <v>1408</v>
      </c>
      <c r="L50" s="9" t="s">
        <v>1736</v>
      </c>
      <c r="M50" s="9"/>
    </row>
    <row r="51" spans="1:13" ht="160" x14ac:dyDescent="0.2">
      <c r="A51" s="9">
        <v>50</v>
      </c>
      <c r="B51" s="9" t="s">
        <v>254</v>
      </c>
      <c r="C51" s="9" t="s">
        <v>275</v>
      </c>
      <c r="D51" s="9" t="s">
        <v>201</v>
      </c>
      <c r="E51" s="9" t="s">
        <v>198</v>
      </c>
      <c r="F51" s="9" t="s">
        <v>294</v>
      </c>
      <c r="G51" s="9" t="s">
        <v>295</v>
      </c>
      <c r="H51" s="9" t="s">
        <v>1409</v>
      </c>
      <c r="I51" s="9" t="s">
        <v>1410</v>
      </c>
      <c r="J51" s="9" t="s">
        <v>1411</v>
      </c>
      <c r="K51" s="9" t="s">
        <v>1412</v>
      </c>
      <c r="L51" s="9" t="s">
        <v>1737</v>
      </c>
      <c r="M51" s="9"/>
    </row>
    <row r="52" spans="1:13" ht="224" x14ac:dyDescent="0.2">
      <c r="A52" s="9">
        <v>51</v>
      </c>
      <c r="B52" s="9" t="s">
        <v>254</v>
      </c>
      <c r="C52" s="9" t="s">
        <v>296</v>
      </c>
      <c r="D52" s="9" t="s">
        <v>185</v>
      </c>
      <c r="E52" s="9" t="s">
        <v>186</v>
      </c>
      <c r="F52" s="9" t="s">
        <v>297</v>
      </c>
      <c r="G52" s="9" t="s">
        <v>298</v>
      </c>
      <c r="H52" s="9" t="s">
        <v>1413</v>
      </c>
      <c r="I52" s="9" t="s">
        <v>1414</v>
      </c>
      <c r="J52" s="9" t="s">
        <v>1415</v>
      </c>
      <c r="K52" s="9" t="s">
        <v>1416</v>
      </c>
      <c r="L52" s="9" t="s">
        <v>1738</v>
      </c>
      <c r="M52" s="9"/>
    </row>
    <row r="53" spans="1:13" ht="192" x14ac:dyDescent="0.2">
      <c r="A53" s="9">
        <v>52</v>
      </c>
      <c r="B53" s="9" t="s">
        <v>254</v>
      </c>
      <c r="C53" s="9" t="s">
        <v>296</v>
      </c>
      <c r="D53" s="9" t="s">
        <v>185</v>
      </c>
      <c r="E53" s="9" t="s">
        <v>189</v>
      </c>
      <c r="F53" s="9" t="s">
        <v>299</v>
      </c>
      <c r="G53" s="9" t="s">
        <v>300</v>
      </c>
      <c r="H53" s="9" t="s">
        <v>1417</v>
      </c>
      <c r="I53" s="9" t="s">
        <v>1418</v>
      </c>
      <c r="J53" s="9" t="s">
        <v>1419</v>
      </c>
      <c r="K53" s="9" t="s">
        <v>1420</v>
      </c>
      <c r="L53" s="9" t="s">
        <v>1739</v>
      </c>
      <c r="M53" s="9"/>
    </row>
    <row r="54" spans="1:13" ht="192" x14ac:dyDescent="0.2">
      <c r="A54" s="9">
        <v>53</v>
      </c>
      <c r="B54" s="9" t="s">
        <v>254</v>
      </c>
      <c r="C54" s="9" t="s">
        <v>296</v>
      </c>
      <c r="D54" s="9" t="s">
        <v>185</v>
      </c>
      <c r="E54" s="9" t="s">
        <v>192</v>
      </c>
      <c r="F54" s="9" t="s">
        <v>301</v>
      </c>
      <c r="G54" s="9" t="s">
        <v>302</v>
      </c>
      <c r="H54" s="9" t="s">
        <v>1421</v>
      </c>
      <c r="I54" s="9" t="s">
        <v>1422</v>
      </c>
      <c r="J54" s="9" t="s">
        <v>1423</v>
      </c>
      <c r="K54" s="9" t="s">
        <v>1424</v>
      </c>
      <c r="L54" s="9" t="s">
        <v>1740</v>
      </c>
      <c r="M54" s="9"/>
    </row>
    <row r="55" spans="1:13" ht="176" x14ac:dyDescent="0.2">
      <c r="A55" s="9">
        <v>54</v>
      </c>
      <c r="B55" s="9" t="s">
        <v>254</v>
      </c>
      <c r="C55" s="9" t="s">
        <v>296</v>
      </c>
      <c r="D55" s="9" t="s">
        <v>185</v>
      </c>
      <c r="E55" s="9" t="s">
        <v>195</v>
      </c>
      <c r="F55" s="9" t="s">
        <v>303</v>
      </c>
      <c r="G55" s="9" t="s">
        <v>1810</v>
      </c>
      <c r="H55" s="9" t="s">
        <v>1425</v>
      </c>
      <c r="I55" s="9" t="s">
        <v>1426</v>
      </c>
      <c r="J55" s="9" t="s">
        <v>1427</v>
      </c>
      <c r="K55" s="9" t="s">
        <v>1428</v>
      </c>
      <c r="L55" s="9" t="s">
        <v>1741</v>
      </c>
      <c r="M55" s="9"/>
    </row>
    <row r="56" spans="1:13" ht="192" x14ac:dyDescent="0.2">
      <c r="A56" s="9">
        <v>55</v>
      </c>
      <c r="B56" s="9" t="s">
        <v>254</v>
      </c>
      <c r="C56" s="9" t="s">
        <v>296</v>
      </c>
      <c r="D56" s="9" t="s">
        <v>185</v>
      </c>
      <c r="E56" s="9" t="s">
        <v>198</v>
      </c>
      <c r="F56" s="9" t="s">
        <v>304</v>
      </c>
      <c r="G56" s="9" t="s">
        <v>305</v>
      </c>
      <c r="H56" s="9" t="s">
        <v>1429</v>
      </c>
      <c r="I56" s="9" t="s">
        <v>1430</v>
      </c>
      <c r="J56" s="9" t="s">
        <v>1431</v>
      </c>
      <c r="K56" s="9" t="s">
        <v>1432</v>
      </c>
      <c r="L56" s="9" t="s">
        <v>1742</v>
      </c>
      <c r="M56" s="9"/>
    </row>
    <row r="57" spans="1:13" ht="160" x14ac:dyDescent="0.2">
      <c r="A57" s="9">
        <v>56</v>
      </c>
      <c r="B57" s="9" t="s">
        <v>254</v>
      </c>
      <c r="C57" s="9" t="s">
        <v>296</v>
      </c>
      <c r="D57" s="9" t="s">
        <v>201</v>
      </c>
      <c r="E57" s="9" t="s">
        <v>186</v>
      </c>
      <c r="F57" s="9" t="s">
        <v>306</v>
      </c>
      <c r="G57" s="9" t="s">
        <v>307</v>
      </c>
      <c r="H57" s="9" t="s">
        <v>1433</v>
      </c>
      <c r="I57" s="9" t="s">
        <v>1434</v>
      </c>
      <c r="J57" s="9" t="s">
        <v>1435</v>
      </c>
      <c r="K57" s="9" t="s">
        <v>1436</v>
      </c>
      <c r="L57" s="9" t="s">
        <v>1743</v>
      </c>
      <c r="M57" s="9"/>
    </row>
    <row r="58" spans="1:13" ht="176" x14ac:dyDescent="0.2">
      <c r="A58" s="9">
        <v>57</v>
      </c>
      <c r="B58" s="9" t="s">
        <v>254</v>
      </c>
      <c r="C58" s="9" t="s">
        <v>296</v>
      </c>
      <c r="D58" s="9" t="s">
        <v>201</v>
      </c>
      <c r="E58" s="9" t="s">
        <v>189</v>
      </c>
      <c r="F58" s="9" t="s">
        <v>308</v>
      </c>
      <c r="G58" s="9" t="s">
        <v>309</v>
      </c>
      <c r="H58" s="9" t="s">
        <v>1437</v>
      </c>
      <c r="I58" s="9" t="s">
        <v>1438</v>
      </c>
      <c r="J58" s="9" t="s">
        <v>1439</v>
      </c>
      <c r="K58" s="9" t="s">
        <v>1440</v>
      </c>
      <c r="L58" s="9" t="s">
        <v>1744</v>
      </c>
      <c r="M58" s="9"/>
    </row>
    <row r="59" spans="1:13" ht="192" x14ac:dyDescent="0.2">
      <c r="A59" s="9">
        <v>58</v>
      </c>
      <c r="B59" s="9" t="s">
        <v>254</v>
      </c>
      <c r="C59" s="9" t="s">
        <v>296</v>
      </c>
      <c r="D59" s="9" t="s">
        <v>201</v>
      </c>
      <c r="E59" s="9" t="s">
        <v>189</v>
      </c>
      <c r="F59" s="9" t="s">
        <v>310</v>
      </c>
      <c r="G59" s="9" t="s">
        <v>311</v>
      </c>
      <c r="H59" s="9" t="s">
        <v>1441</v>
      </c>
      <c r="I59" s="9" t="s">
        <v>1442</v>
      </c>
      <c r="J59" s="9" t="s">
        <v>1443</v>
      </c>
      <c r="K59" s="9" t="s">
        <v>1444</v>
      </c>
      <c r="L59" s="9" t="s">
        <v>1745</v>
      </c>
      <c r="M59" s="9"/>
    </row>
    <row r="60" spans="1:13" ht="192" x14ac:dyDescent="0.2">
      <c r="A60" s="9">
        <v>59</v>
      </c>
      <c r="B60" s="9" t="s">
        <v>254</v>
      </c>
      <c r="C60" s="9" t="s">
        <v>296</v>
      </c>
      <c r="D60" s="9" t="s">
        <v>201</v>
      </c>
      <c r="E60" s="9" t="s">
        <v>195</v>
      </c>
      <c r="F60" s="9" t="s">
        <v>312</v>
      </c>
      <c r="G60" s="9" t="s">
        <v>313</v>
      </c>
      <c r="H60" s="9" t="s">
        <v>1445</v>
      </c>
      <c r="I60" s="9" t="s">
        <v>1446</v>
      </c>
      <c r="J60" s="9" t="s">
        <v>1447</v>
      </c>
      <c r="K60" s="9" t="s">
        <v>1448</v>
      </c>
      <c r="L60" s="9" t="s">
        <v>1746</v>
      </c>
      <c r="M60" s="9"/>
    </row>
    <row r="61" spans="1:13" ht="144" x14ac:dyDescent="0.2">
      <c r="A61" s="9">
        <v>60</v>
      </c>
      <c r="B61" s="9" t="s">
        <v>254</v>
      </c>
      <c r="C61" s="9" t="s">
        <v>296</v>
      </c>
      <c r="D61" s="9" t="s">
        <v>201</v>
      </c>
      <c r="E61" s="9" t="s">
        <v>198</v>
      </c>
      <c r="F61" s="9" t="s">
        <v>314</v>
      </c>
      <c r="G61" s="9" t="s">
        <v>315</v>
      </c>
      <c r="H61" s="9" t="s">
        <v>1449</v>
      </c>
      <c r="I61" s="9" t="s">
        <v>1450</v>
      </c>
      <c r="J61" s="9" t="s">
        <v>1451</v>
      </c>
      <c r="K61" s="9" t="s">
        <v>1452</v>
      </c>
      <c r="L61" s="9" t="s">
        <v>1747</v>
      </c>
      <c r="M61" s="9"/>
    </row>
    <row r="62" spans="1:13" ht="192" x14ac:dyDescent="0.2">
      <c r="A62" s="10">
        <v>61</v>
      </c>
      <c r="B62" s="10" t="s">
        <v>316</v>
      </c>
      <c r="C62" s="10" t="s">
        <v>296</v>
      </c>
      <c r="D62" s="10" t="s">
        <v>201</v>
      </c>
      <c r="E62" s="10" t="s">
        <v>186</v>
      </c>
      <c r="F62" s="10" t="s">
        <v>317</v>
      </c>
      <c r="G62" s="10" t="s">
        <v>318</v>
      </c>
      <c r="H62" s="10" t="s">
        <v>1453</v>
      </c>
      <c r="I62" s="10" t="s">
        <v>1454</v>
      </c>
      <c r="J62" s="10" t="s">
        <v>1455</v>
      </c>
      <c r="K62" s="10" t="s">
        <v>1456</v>
      </c>
      <c r="L62" s="10" t="s">
        <v>1748</v>
      </c>
      <c r="M62" s="10"/>
    </row>
    <row r="63" spans="1:13" ht="192" x14ac:dyDescent="0.2">
      <c r="A63" s="10">
        <v>62</v>
      </c>
      <c r="B63" s="10" t="s">
        <v>316</v>
      </c>
      <c r="C63" s="10" t="s">
        <v>296</v>
      </c>
      <c r="D63" s="10" t="s">
        <v>201</v>
      </c>
      <c r="E63" s="10" t="s">
        <v>189</v>
      </c>
      <c r="F63" s="10" t="s">
        <v>319</v>
      </c>
      <c r="G63" s="10" t="s">
        <v>320</v>
      </c>
      <c r="H63" s="10" t="s">
        <v>1457</v>
      </c>
      <c r="I63" s="10" t="s">
        <v>1458</v>
      </c>
      <c r="J63" s="10" t="s">
        <v>1459</v>
      </c>
      <c r="K63" s="10" t="s">
        <v>1460</v>
      </c>
      <c r="L63" s="10" t="s">
        <v>1749</v>
      </c>
      <c r="M63" s="10"/>
    </row>
    <row r="64" spans="1:13" ht="160" x14ac:dyDescent="0.2">
      <c r="A64" s="10">
        <v>63</v>
      </c>
      <c r="B64" s="10" t="s">
        <v>316</v>
      </c>
      <c r="C64" s="10" t="s">
        <v>296</v>
      </c>
      <c r="D64" s="10" t="s">
        <v>201</v>
      </c>
      <c r="E64" s="10" t="s">
        <v>192</v>
      </c>
      <c r="F64" s="10" t="s">
        <v>321</v>
      </c>
      <c r="G64" s="10" t="s">
        <v>322</v>
      </c>
      <c r="H64" s="10" t="s">
        <v>1461</v>
      </c>
      <c r="I64" s="10" t="s">
        <v>1462</v>
      </c>
      <c r="J64" s="10" t="s">
        <v>1463</v>
      </c>
      <c r="K64" s="10" t="s">
        <v>1464</v>
      </c>
      <c r="L64" s="10" t="s">
        <v>1750</v>
      </c>
      <c r="M64" s="10"/>
    </row>
    <row r="65" spans="1:13" ht="176" x14ac:dyDescent="0.2">
      <c r="A65" s="10">
        <v>64</v>
      </c>
      <c r="B65" s="10" t="s">
        <v>316</v>
      </c>
      <c r="C65" s="10" t="s">
        <v>296</v>
      </c>
      <c r="D65" s="10" t="s">
        <v>201</v>
      </c>
      <c r="E65" s="10" t="s">
        <v>195</v>
      </c>
      <c r="F65" s="10" t="s">
        <v>323</v>
      </c>
      <c r="G65" s="10" t="s">
        <v>324</v>
      </c>
      <c r="H65" s="10" t="s">
        <v>1261</v>
      </c>
      <c r="I65" s="10" t="s">
        <v>1465</v>
      </c>
      <c r="J65" s="10" t="s">
        <v>1466</v>
      </c>
      <c r="K65" s="10" t="s">
        <v>1467</v>
      </c>
      <c r="L65" s="10" t="s">
        <v>1751</v>
      </c>
      <c r="M65" s="10"/>
    </row>
    <row r="66" spans="1:13" ht="160" x14ac:dyDescent="0.2">
      <c r="A66" s="10">
        <v>65</v>
      </c>
      <c r="B66" s="10" t="s">
        <v>316</v>
      </c>
      <c r="C66" s="10" t="s">
        <v>296</v>
      </c>
      <c r="D66" s="10" t="s">
        <v>201</v>
      </c>
      <c r="E66" s="10" t="s">
        <v>198</v>
      </c>
      <c r="F66" s="10" t="s">
        <v>325</v>
      </c>
      <c r="G66" s="10" t="s">
        <v>326</v>
      </c>
      <c r="H66" s="10" t="s">
        <v>1468</v>
      </c>
      <c r="I66" s="10" t="s">
        <v>1469</v>
      </c>
      <c r="J66" s="10" t="s">
        <v>1470</v>
      </c>
      <c r="K66" s="10" t="s">
        <v>1471</v>
      </c>
      <c r="L66" s="10" t="s">
        <v>1752</v>
      </c>
      <c r="M66" s="10"/>
    </row>
    <row r="67" spans="1:13" ht="128" x14ac:dyDescent="0.2">
      <c r="A67" s="10">
        <v>66</v>
      </c>
      <c r="B67" s="10" t="s">
        <v>316</v>
      </c>
      <c r="C67" s="10" t="s">
        <v>296</v>
      </c>
      <c r="D67" s="10" t="s">
        <v>201</v>
      </c>
      <c r="E67" s="10" t="s">
        <v>186</v>
      </c>
      <c r="F67" s="10" t="s">
        <v>327</v>
      </c>
      <c r="G67" s="10" t="s">
        <v>328</v>
      </c>
      <c r="H67" s="10" t="s">
        <v>1472</v>
      </c>
      <c r="I67" s="10" t="s">
        <v>1473</v>
      </c>
      <c r="J67" s="10" t="s">
        <v>1474</v>
      </c>
      <c r="K67" s="10" t="s">
        <v>1475</v>
      </c>
      <c r="L67" s="10" t="s">
        <v>1753</v>
      </c>
      <c r="M67" s="10"/>
    </row>
    <row r="68" spans="1:13" ht="144" x14ac:dyDescent="0.2">
      <c r="A68" s="10">
        <v>67</v>
      </c>
      <c r="B68" s="10" t="s">
        <v>316</v>
      </c>
      <c r="C68" s="10" t="s">
        <v>296</v>
      </c>
      <c r="D68" s="10" t="s">
        <v>201</v>
      </c>
      <c r="E68" s="10" t="s">
        <v>189</v>
      </c>
      <c r="F68" s="10" t="s">
        <v>329</v>
      </c>
      <c r="G68" s="10" t="s">
        <v>330</v>
      </c>
      <c r="H68" s="10" t="s">
        <v>1476</v>
      </c>
      <c r="I68" s="10" t="s">
        <v>1477</v>
      </c>
      <c r="J68" s="10" t="s">
        <v>1478</v>
      </c>
      <c r="K68" s="10" t="s">
        <v>1479</v>
      </c>
      <c r="L68" s="10" t="s">
        <v>1754</v>
      </c>
      <c r="M68" s="10"/>
    </row>
    <row r="69" spans="1:13" ht="176" x14ac:dyDescent="0.2">
      <c r="A69" s="10">
        <v>68</v>
      </c>
      <c r="B69" s="10" t="s">
        <v>316</v>
      </c>
      <c r="C69" s="10" t="s">
        <v>296</v>
      </c>
      <c r="D69" s="10" t="s">
        <v>201</v>
      </c>
      <c r="E69" s="10" t="s">
        <v>192</v>
      </c>
      <c r="F69" s="10" t="s">
        <v>331</v>
      </c>
      <c r="G69" s="10" t="s">
        <v>332</v>
      </c>
      <c r="H69" s="10" t="s">
        <v>1480</v>
      </c>
      <c r="I69" s="10" t="s">
        <v>1481</v>
      </c>
      <c r="J69" s="10" t="s">
        <v>1482</v>
      </c>
      <c r="K69" s="10" t="s">
        <v>1483</v>
      </c>
      <c r="L69" s="10" t="s">
        <v>1755</v>
      </c>
      <c r="M69" s="10"/>
    </row>
    <row r="70" spans="1:13" ht="160" x14ac:dyDescent="0.2">
      <c r="A70" s="10">
        <v>69</v>
      </c>
      <c r="B70" s="10" t="s">
        <v>316</v>
      </c>
      <c r="C70" s="10" t="s">
        <v>296</v>
      </c>
      <c r="D70" s="10" t="s">
        <v>201</v>
      </c>
      <c r="E70" s="10" t="s">
        <v>195</v>
      </c>
      <c r="F70" s="10" t="s">
        <v>333</v>
      </c>
      <c r="G70" s="10" t="s">
        <v>334</v>
      </c>
      <c r="H70" s="10" t="s">
        <v>1484</v>
      </c>
      <c r="I70" s="10" t="s">
        <v>1485</v>
      </c>
      <c r="J70" s="10" t="s">
        <v>1486</v>
      </c>
      <c r="K70" s="10" t="s">
        <v>1487</v>
      </c>
      <c r="L70" s="10" t="s">
        <v>1756</v>
      </c>
      <c r="M70" s="10"/>
    </row>
    <row r="71" spans="1:13" ht="192" x14ac:dyDescent="0.2">
      <c r="A71" s="10">
        <v>70</v>
      </c>
      <c r="B71" s="10" t="s">
        <v>316</v>
      </c>
      <c r="C71" s="10" t="s">
        <v>296</v>
      </c>
      <c r="D71" s="10" t="s">
        <v>201</v>
      </c>
      <c r="E71" s="10" t="s">
        <v>198</v>
      </c>
      <c r="F71" s="10" t="s">
        <v>335</v>
      </c>
      <c r="G71" s="10" t="s">
        <v>336</v>
      </c>
      <c r="H71" s="10" t="s">
        <v>1488</v>
      </c>
      <c r="I71" s="10" t="s">
        <v>1489</v>
      </c>
      <c r="J71" s="10" t="s">
        <v>1490</v>
      </c>
      <c r="K71" s="10" t="s">
        <v>1491</v>
      </c>
      <c r="L71" s="10" t="s">
        <v>1757</v>
      </c>
      <c r="M71" s="10"/>
    </row>
    <row r="72" spans="1:13" ht="160" x14ac:dyDescent="0.2">
      <c r="A72" s="10">
        <v>71</v>
      </c>
      <c r="B72" s="10" t="s">
        <v>316</v>
      </c>
      <c r="C72" s="10" t="s">
        <v>296</v>
      </c>
      <c r="D72" s="10" t="s">
        <v>201</v>
      </c>
      <c r="E72" s="10" t="s">
        <v>186</v>
      </c>
      <c r="F72" s="10" t="s">
        <v>337</v>
      </c>
      <c r="G72" s="10" t="s">
        <v>338</v>
      </c>
      <c r="H72" s="10" t="s">
        <v>1492</v>
      </c>
      <c r="I72" s="10" t="s">
        <v>1493</v>
      </c>
      <c r="J72" s="10" t="s">
        <v>1494</v>
      </c>
      <c r="K72" s="10" t="s">
        <v>1495</v>
      </c>
      <c r="L72" s="10" t="s">
        <v>1758</v>
      </c>
      <c r="M72" s="10"/>
    </row>
    <row r="73" spans="1:13" ht="160" x14ac:dyDescent="0.2">
      <c r="A73" s="10">
        <v>72</v>
      </c>
      <c r="B73" s="10" t="s">
        <v>316</v>
      </c>
      <c r="C73" s="10" t="s">
        <v>296</v>
      </c>
      <c r="D73" s="10" t="s">
        <v>201</v>
      </c>
      <c r="E73" s="10" t="s">
        <v>189</v>
      </c>
      <c r="F73" s="10" t="s">
        <v>339</v>
      </c>
      <c r="G73" s="10" t="s">
        <v>340</v>
      </c>
      <c r="H73" s="10" t="s">
        <v>1496</v>
      </c>
      <c r="I73" s="10" t="s">
        <v>1497</v>
      </c>
      <c r="J73" s="10" t="s">
        <v>1498</v>
      </c>
      <c r="K73" s="10" t="s">
        <v>1499</v>
      </c>
      <c r="L73" s="10" t="s">
        <v>1759</v>
      </c>
      <c r="M73" s="10"/>
    </row>
    <row r="74" spans="1:13" ht="176" x14ac:dyDescent="0.2">
      <c r="A74" s="10">
        <v>73</v>
      </c>
      <c r="B74" s="10" t="s">
        <v>316</v>
      </c>
      <c r="C74" s="10" t="s">
        <v>296</v>
      </c>
      <c r="D74" s="10" t="s">
        <v>201</v>
      </c>
      <c r="E74" s="10" t="s">
        <v>192</v>
      </c>
      <c r="F74" s="10" t="s">
        <v>341</v>
      </c>
      <c r="G74" s="10" t="s">
        <v>342</v>
      </c>
      <c r="H74" s="10" t="s">
        <v>1500</v>
      </c>
      <c r="I74" s="10" t="s">
        <v>1501</v>
      </c>
      <c r="J74" s="10" t="s">
        <v>1502</v>
      </c>
      <c r="K74" s="10" t="s">
        <v>1503</v>
      </c>
      <c r="L74" s="10" t="s">
        <v>1760</v>
      </c>
      <c r="M74" s="10"/>
    </row>
    <row r="75" spans="1:13" ht="128" x14ac:dyDescent="0.2">
      <c r="A75" s="10">
        <v>74</v>
      </c>
      <c r="B75" s="10" t="s">
        <v>316</v>
      </c>
      <c r="C75" s="10" t="s">
        <v>296</v>
      </c>
      <c r="D75" s="10" t="s">
        <v>201</v>
      </c>
      <c r="E75" s="10" t="s">
        <v>195</v>
      </c>
      <c r="F75" s="10" t="s">
        <v>343</v>
      </c>
      <c r="G75" s="10" t="s">
        <v>344</v>
      </c>
      <c r="H75" s="10" t="s">
        <v>1504</v>
      </c>
      <c r="I75" s="10" t="s">
        <v>1505</v>
      </c>
      <c r="J75" s="10" t="s">
        <v>1506</v>
      </c>
      <c r="K75" s="10" t="s">
        <v>1507</v>
      </c>
      <c r="L75" s="10" t="s">
        <v>1761</v>
      </c>
      <c r="M75" s="10"/>
    </row>
    <row r="76" spans="1:13" ht="144" x14ac:dyDescent="0.2">
      <c r="A76" s="10">
        <v>75</v>
      </c>
      <c r="B76" s="10" t="s">
        <v>316</v>
      </c>
      <c r="C76" s="10" t="s">
        <v>296</v>
      </c>
      <c r="D76" s="10" t="s">
        <v>201</v>
      </c>
      <c r="E76" s="10" t="s">
        <v>198</v>
      </c>
      <c r="F76" s="10" t="s">
        <v>345</v>
      </c>
      <c r="G76" s="10" t="s">
        <v>346</v>
      </c>
      <c r="H76" s="10" t="s">
        <v>1508</v>
      </c>
      <c r="I76" s="10" t="s">
        <v>1509</v>
      </c>
      <c r="J76" s="10" t="s">
        <v>1510</v>
      </c>
      <c r="K76" s="10" t="s">
        <v>1511</v>
      </c>
      <c r="L76" s="10" t="s">
        <v>1762</v>
      </c>
      <c r="M76" s="10"/>
    </row>
    <row r="77" spans="1:13" ht="176" x14ac:dyDescent="0.2">
      <c r="A77" s="10">
        <v>76</v>
      </c>
      <c r="B77" s="10" t="s">
        <v>316</v>
      </c>
      <c r="C77" s="10" t="s">
        <v>296</v>
      </c>
      <c r="D77" s="10" t="s">
        <v>201</v>
      </c>
      <c r="E77" s="10" t="s">
        <v>186</v>
      </c>
      <c r="F77" s="10" t="s">
        <v>347</v>
      </c>
      <c r="G77" s="10" t="s">
        <v>348</v>
      </c>
      <c r="H77" s="10" t="s">
        <v>1512</v>
      </c>
      <c r="I77" s="10" t="s">
        <v>1513</v>
      </c>
      <c r="J77" s="10" t="s">
        <v>1514</v>
      </c>
      <c r="K77" s="10" t="s">
        <v>1515</v>
      </c>
      <c r="L77" s="10" t="s">
        <v>1763</v>
      </c>
      <c r="M77" s="10"/>
    </row>
    <row r="78" spans="1:13" ht="160" x14ac:dyDescent="0.2">
      <c r="A78" s="10">
        <v>77</v>
      </c>
      <c r="B78" s="10" t="s">
        <v>316</v>
      </c>
      <c r="C78" s="10" t="s">
        <v>296</v>
      </c>
      <c r="D78" s="10" t="s">
        <v>201</v>
      </c>
      <c r="E78" s="10" t="s">
        <v>189</v>
      </c>
      <c r="F78" s="10" t="s">
        <v>349</v>
      </c>
      <c r="G78" s="10" t="s">
        <v>350</v>
      </c>
      <c r="H78" s="10" t="s">
        <v>1516</v>
      </c>
      <c r="I78" s="10" t="s">
        <v>1517</v>
      </c>
      <c r="J78" s="10" t="s">
        <v>1518</v>
      </c>
      <c r="K78" s="10" t="s">
        <v>1519</v>
      </c>
      <c r="L78" s="10" t="s">
        <v>1764</v>
      </c>
      <c r="M78" s="10"/>
    </row>
    <row r="79" spans="1:13" ht="144" x14ac:dyDescent="0.2">
      <c r="A79" s="10">
        <v>78</v>
      </c>
      <c r="B79" s="10" t="s">
        <v>316</v>
      </c>
      <c r="C79" s="10" t="s">
        <v>296</v>
      </c>
      <c r="D79" s="10" t="s">
        <v>201</v>
      </c>
      <c r="E79" s="10" t="s">
        <v>192</v>
      </c>
      <c r="F79" s="10" t="s">
        <v>351</v>
      </c>
      <c r="G79" s="10" t="s">
        <v>352</v>
      </c>
      <c r="H79" s="10" t="s">
        <v>1520</v>
      </c>
      <c r="I79" s="10" t="s">
        <v>1521</v>
      </c>
      <c r="J79" s="10" t="s">
        <v>1522</v>
      </c>
      <c r="K79" s="10" t="s">
        <v>1523</v>
      </c>
      <c r="L79" s="10" t="s">
        <v>1765</v>
      </c>
      <c r="M79" s="10"/>
    </row>
    <row r="80" spans="1:13" ht="160" x14ac:dyDescent="0.2">
      <c r="A80" s="10">
        <v>79</v>
      </c>
      <c r="B80" s="10" t="s">
        <v>316</v>
      </c>
      <c r="C80" s="10" t="s">
        <v>296</v>
      </c>
      <c r="D80" s="10" t="s">
        <v>201</v>
      </c>
      <c r="E80" s="10" t="s">
        <v>195</v>
      </c>
      <c r="F80" s="10" t="s">
        <v>353</v>
      </c>
      <c r="G80" s="10" t="s">
        <v>354</v>
      </c>
      <c r="H80" s="10" t="s">
        <v>1524</v>
      </c>
      <c r="I80" s="10" t="s">
        <v>1525</v>
      </c>
      <c r="J80" s="10" t="s">
        <v>1526</v>
      </c>
      <c r="K80" s="10" t="s">
        <v>1527</v>
      </c>
      <c r="L80" s="10" t="s">
        <v>1766</v>
      </c>
      <c r="M80" s="10"/>
    </row>
    <row r="81" spans="1:13" ht="160" x14ac:dyDescent="0.2">
      <c r="A81" s="10">
        <v>80</v>
      </c>
      <c r="B81" s="10" t="s">
        <v>316</v>
      </c>
      <c r="C81" s="10" t="s">
        <v>296</v>
      </c>
      <c r="D81" s="10" t="s">
        <v>201</v>
      </c>
      <c r="E81" s="10" t="s">
        <v>198</v>
      </c>
      <c r="F81" s="10" t="s">
        <v>355</v>
      </c>
      <c r="G81" s="10" t="s">
        <v>356</v>
      </c>
      <c r="H81" s="10" t="s">
        <v>1528</v>
      </c>
      <c r="I81" s="10" t="s">
        <v>1529</v>
      </c>
      <c r="J81" s="10" t="s">
        <v>1530</v>
      </c>
      <c r="K81" s="10" t="s">
        <v>1531</v>
      </c>
      <c r="L81" s="10" t="s">
        <v>1767</v>
      </c>
      <c r="M81" s="10"/>
    </row>
    <row r="82" spans="1:13" ht="144" x14ac:dyDescent="0.2">
      <c r="A82" s="10">
        <v>81</v>
      </c>
      <c r="B82" s="10" t="s">
        <v>316</v>
      </c>
      <c r="C82" s="10" t="s">
        <v>296</v>
      </c>
      <c r="D82" s="10" t="s">
        <v>201</v>
      </c>
      <c r="E82" s="10" t="s">
        <v>186</v>
      </c>
      <c r="F82" s="10" t="s">
        <v>357</v>
      </c>
      <c r="G82" s="10" t="s">
        <v>358</v>
      </c>
      <c r="H82" s="10" t="s">
        <v>1532</v>
      </c>
      <c r="I82" s="10" t="s">
        <v>1533</v>
      </c>
      <c r="J82" s="10" t="s">
        <v>1534</v>
      </c>
      <c r="K82" s="10" t="s">
        <v>1535</v>
      </c>
      <c r="L82" s="10" t="s">
        <v>1768</v>
      </c>
      <c r="M82" s="10"/>
    </row>
    <row r="83" spans="1:13" ht="144" x14ac:dyDescent="0.2">
      <c r="A83" s="10">
        <v>82</v>
      </c>
      <c r="B83" s="10" t="s">
        <v>316</v>
      </c>
      <c r="C83" s="10" t="s">
        <v>296</v>
      </c>
      <c r="D83" s="10" t="s">
        <v>201</v>
      </c>
      <c r="E83" s="10" t="s">
        <v>189</v>
      </c>
      <c r="F83" s="10" t="s">
        <v>359</v>
      </c>
      <c r="G83" s="10" t="s">
        <v>360</v>
      </c>
      <c r="H83" s="10" t="s">
        <v>1536</v>
      </c>
      <c r="I83" s="10" t="s">
        <v>1537</v>
      </c>
      <c r="J83" s="10" t="s">
        <v>1538</v>
      </c>
      <c r="K83" s="10" t="s">
        <v>1539</v>
      </c>
      <c r="L83" s="10" t="s">
        <v>1769</v>
      </c>
      <c r="M83" s="10"/>
    </row>
    <row r="84" spans="1:13" ht="144" x14ac:dyDescent="0.2">
      <c r="A84" s="10">
        <v>83</v>
      </c>
      <c r="B84" s="10" t="s">
        <v>316</v>
      </c>
      <c r="C84" s="10" t="s">
        <v>296</v>
      </c>
      <c r="D84" s="10" t="s">
        <v>201</v>
      </c>
      <c r="E84" s="10" t="s">
        <v>192</v>
      </c>
      <c r="F84" s="10" t="s">
        <v>361</v>
      </c>
      <c r="G84" s="10" t="s">
        <v>362</v>
      </c>
      <c r="H84" s="10" t="s">
        <v>1540</v>
      </c>
      <c r="I84" s="10" t="s">
        <v>1541</v>
      </c>
      <c r="J84" s="10" t="s">
        <v>1542</v>
      </c>
      <c r="K84" s="10" t="s">
        <v>1543</v>
      </c>
      <c r="L84" s="10" t="s">
        <v>1770</v>
      </c>
      <c r="M84" s="10"/>
    </row>
    <row r="85" spans="1:13" ht="144" x14ac:dyDescent="0.2">
      <c r="A85" s="10">
        <v>84</v>
      </c>
      <c r="B85" s="10" t="s">
        <v>316</v>
      </c>
      <c r="C85" s="10" t="s">
        <v>296</v>
      </c>
      <c r="D85" s="10" t="s">
        <v>201</v>
      </c>
      <c r="E85" s="10" t="s">
        <v>195</v>
      </c>
      <c r="F85" s="10" t="s">
        <v>363</v>
      </c>
      <c r="G85" s="10" t="s">
        <v>364</v>
      </c>
      <c r="H85" s="10" t="s">
        <v>1544</v>
      </c>
      <c r="I85" s="10" t="s">
        <v>1545</v>
      </c>
      <c r="J85" s="10" t="s">
        <v>1546</v>
      </c>
      <c r="K85" s="10" t="s">
        <v>1547</v>
      </c>
      <c r="L85" s="10" t="s">
        <v>1771</v>
      </c>
      <c r="M85" s="10"/>
    </row>
    <row r="86" spans="1:13" ht="176" x14ac:dyDescent="0.2">
      <c r="A86" s="10">
        <v>85</v>
      </c>
      <c r="B86" s="10" t="s">
        <v>316</v>
      </c>
      <c r="C86" s="10" t="s">
        <v>296</v>
      </c>
      <c r="D86" s="10" t="s">
        <v>201</v>
      </c>
      <c r="E86" s="10" t="s">
        <v>198</v>
      </c>
      <c r="F86" s="10" t="s">
        <v>365</v>
      </c>
      <c r="G86" s="10" t="s">
        <v>366</v>
      </c>
      <c r="H86" s="10" t="s">
        <v>1548</v>
      </c>
      <c r="I86" s="10" t="s">
        <v>1549</v>
      </c>
      <c r="J86" s="10" t="s">
        <v>1550</v>
      </c>
      <c r="K86" s="10" t="s">
        <v>1551</v>
      </c>
      <c r="L86" s="10" t="s">
        <v>1772</v>
      </c>
      <c r="M86" s="10"/>
    </row>
    <row r="87" spans="1:13" ht="128" x14ac:dyDescent="0.2">
      <c r="A87" s="10">
        <v>86</v>
      </c>
      <c r="B87" s="10" t="s">
        <v>316</v>
      </c>
      <c r="C87" s="10" t="s">
        <v>296</v>
      </c>
      <c r="D87" s="10" t="s">
        <v>201</v>
      </c>
      <c r="E87" s="10" t="s">
        <v>186</v>
      </c>
      <c r="F87" s="10" t="s">
        <v>367</v>
      </c>
      <c r="G87" s="10" t="s">
        <v>368</v>
      </c>
      <c r="H87" s="10" t="s">
        <v>1552</v>
      </c>
      <c r="I87" s="10" t="s">
        <v>1553</v>
      </c>
      <c r="J87" s="10" t="s">
        <v>1554</v>
      </c>
      <c r="K87" s="10" t="s">
        <v>1555</v>
      </c>
      <c r="L87" s="10" t="s">
        <v>1773</v>
      </c>
      <c r="M87" s="10"/>
    </row>
    <row r="88" spans="1:13" ht="160" x14ac:dyDescent="0.2">
      <c r="A88" s="10">
        <v>87</v>
      </c>
      <c r="B88" s="10" t="s">
        <v>316</v>
      </c>
      <c r="C88" s="10" t="s">
        <v>296</v>
      </c>
      <c r="D88" s="10" t="s">
        <v>201</v>
      </c>
      <c r="E88" s="10" t="s">
        <v>189</v>
      </c>
      <c r="F88" s="10" t="s">
        <v>369</v>
      </c>
      <c r="G88" s="10" t="s">
        <v>370</v>
      </c>
      <c r="H88" s="10" t="s">
        <v>1556</v>
      </c>
      <c r="I88" s="10" t="s">
        <v>1557</v>
      </c>
      <c r="J88" s="10" t="s">
        <v>1558</v>
      </c>
      <c r="K88" s="10" t="s">
        <v>1559</v>
      </c>
      <c r="L88" s="10" t="s">
        <v>1774</v>
      </c>
      <c r="M88" s="10"/>
    </row>
    <row r="89" spans="1:13" ht="144" x14ac:dyDescent="0.2">
      <c r="A89" s="10">
        <v>88</v>
      </c>
      <c r="B89" s="10" t="s">
        <v>316</v>
      </c>
      <c r="C89" s="10" t="s">
        <v>296</v>
      </c>
      <c r="D89" s="10" t="s">
        <v>201</v>
      </c>
      <c r="E89" s="10" t="s">
        <v>192</v>
      </c>
      <c r="F89" s="10" t="s">
        <v>371</v>
      </c>
      <c r="G89" s="10" t="s">
        <v>372</v>
      </c>
      <c r="H89" s="10" t="s">
        <v>1560</v>
      </c>
      <c r="I89" s="10" t="s">
        <v>1561</v>
      </c>
      <c r="J89" s="10" t="s">
        <v>1562</v>
      </c>
      <c r="K89" s="10" t="s">
        <v>1563</v>
      </c>
      <c r="L89" s="10" t="s">
        <v>1775</v>
      </c>
      <c r="M89" s="10"/>
    </row>
    <row r="90" spans="1:13" ht="160" x14ac:dyDescent="0.2">
      <c r="A90" s="10">
        <v>89</v>
      </c>
      <c r="B90" s="10" t="s">
        <v>316</v>
      </c>
      <c r="C90" s="10" t="s">
        <v>296</v>
      </c>
      <c r="D90" s="10" t="s">
        <v>201</v>
      </c>
      <c r="E90" s="10" t="s">
        <v>195</v>
      </c>
      <c r="F90" s="10" t="s">
        <v>373</v>
      </c>
      <c r="G90" s="10" t="s">
        <v>374</v>
      </c>
      <c r="H90" s="10" t="s">
        <v>1564</v>
      </c>
      <c r="I90" s="10" t="s">
        <v>1565</v>
      </c>
      <c r="J90" s="10" t="s">
        <v>1566</v>
      </c>
      <c r="K90" s="10" t="s">
        <v>1567</v>
      </c>
      <c r="L90" s="10" t="s">
        <v>1776</v>
      </c>
      <c r="M90" s="10"/>
    </row>
    <row r="91" spans="1:13" ht="144" x14ac:dyDescent="0.2">
      <c r="A91" s="10">
        <v>90</v>
      </c>
      <c r="B91" s="10" t="s">
        <v>316</v>
      </c>
      <c r="C91" s="10" t="s">
        <v>296</v>
      </c>
      <c r="D91" s="10" t="s">
        <v>201</v>
      </c>
      <c r="E91" s="10" t="s">
        <v>198</v>
      </c>
      <c r="F91" s="10" t="s">
        <v>375</v>
      </c>
      <c r="G91" s="10" t="s">
        <v>376</v>
      </c>
      <c r="H91" s="10" t="s">
        <v>1568</v>
      </c>
      <c r="I91" s="10" t="s">
        <v>1569</v>
      </c>
      <c r="J91" s="10" t="s">
        <v>1570</v>
      </c>
      <c r="K91" s="10" t="s">
        <v>1571</v>
      </c>
      <c r="L91" s="10" t="s">
        <v>1777</v>
      </c>
      <c r="M91" s="10"/>
    </row>
    <row r="92" spans="1:13" ht="176" x14ac:dyDescent="0.2">
      <c r="A92" s="11">
        <v>91</v>
      </c>
      <c r="B92" s="11" t="s">
        <v>377</v>
      </c>
      <c r="C92" s="11" t="s">
        <v>296</v>
      </c>
      <c r="D92" s="11" t="s">
        <v>201</v>
      </c>
      <c r="E92" s="11" t="s">
        <v>186</v>
      </c>
      <c r="F92" s="11" t="s">
        <v>378</v>
      </c>
      <c r="G92" s="11" t="s">
        <v>379</v>
      </c>
      <c r="H92" s="11" t="s">
        <v>1572</v>
      </c>
      <c r="I92" s="11" t="s">
        <v>1573</v>
      </c>
      <c r="J92" s="11" t="s">
        <v>1574</v>
      </c>
      <c r="K92" s="11" t="s">
        <v>1575</v>
      </c>
      <c r="L92" s="11" t="s">
        <v>1778</v>
      </c>
      <c r="M92" s="11"/>
    </row>
    <row r="93" spans="1:13" ht="144" x14ac:dyDescent="0.2">
      <c r="A93" s="11">
        <v>92</v>
      </c>
      <c r="B93" s="11" t="s">
        <v>377</v>
      </c>
      <c r="C93" s="11" t="s">
        <v>296</v>
      </c>
      <c r="D93" s="11" t="s">
        <v>201</v>
      </c>
      <c r="E93" s="11" t="s">
        <v>189</v>
      </c>
      <c r="F93" s="11" t="s">
        <v>380</v>
      </c>
      <c r="G93" s="11" t="s">
        <v>381</v>
      </c>
      <c r="H93" s="11" t="s">
        <v>1576</v>
      </c>
      <c r="I93" s="11" t="s">
        <v>1577</v>
      </c>
      <c r="J93" s="11" t="s">
        <v>1578</v>
      </c>
      <c r="K93" s="11" t="s">
        <v>1579</v>
      </c>
      <c r="L93" s="11" t="s">
        <v>1779</v>
      </c>
      <c r="M93" s="11"/>
    </row>
    <row r="94" spans="1:13" ht="160" x14ac:dyDescent="0.2">
      <c r="A94" s="11">
        <v>93</v>
      </c>
      <c r="B94" s="11" t="s">
        <v>377</v>
      </c>
      <c r="C94" s="11" t="s">
        <v>296</v>
      </c>
      <c r="D94" s="11" t="s">
        <v>201</v>
      </c>
      <c r="E94" s="11" t="s">
        <v>192</v>
      </c>
      <c r="F94" s="11" t="s">
        <v>382</v>
      </c>
      <c r="G94" s="11" t="s">
        <v>383</v>
      </c>
      <c r="H94" s="11" t="s">
        <v>1580</v>
      </c>
      <c r="I94" s="11" t="s">
        <v>1581</v>
      </c>
      <c r="J94" s="11" t="s">
        <v>1582</v>
      </c>
      <c r="K94" s="11" t="s">
        <v>1583</v>
      </c>
      <c r="L94" s="11" t="s">
        <v>1780</v>
      </c>
      <c r="M94" s="11"/>
    </row>
    <row r="95" spans="1:13" ht="160" x14ac:dyDescent="0.2">
      <c r="A95" s="11">
        <v>94</v>
      </c>
      <c r="B95" s="11" t="s">
        <v>377</v>
      </c>
      <c r="C95" s="11" t="s">
        <v>296</v>
      </c>
      <c r="D95" s="11" t="s">
        <v>201</v>
      </c>
      <c r="E95" s="11" t="s">
        <v>195</v>
      </c>
      <c r="F95" s="11" t="s">
        <v>384</v>
      </c>
      <c r="G95" s="11" t="s">
        <v>385</v>
      </c>
      <c r="H95" s="11" t="s">
        <v>1584</v>
      </c>
      <c r="I95" s="11" t="s">
        <v>1585</v>
      </c>
      <c r="J95" s="11" t="s">
        <v>1586</v>
      </c>
      <c r="K95" s="11" t="s">
        <v>1587</v>
      </c>
      <c r="L95" s="11" t="s">
        <v>1781</v>
      </c>
      <c r="M95" s="11"/>
    </row>
    <row r="96" spans="1:13" ht="144" x14ac:dyDescent="0.2">
      <c r="A96" s="11">
        <v>95</v>
      </c>
      <c r="B96" s="11" t="s">
        <v>377</v>
      </c>
      <c r="C96" s="11" t="s">
        <v>296</v>
      </c>
      <c r="D96" s="11" t="s">
        <v>201</v>
      </c>
      <c r="E96" s="11" t="s">
        <v>198</v>
      </c>
      <c r="F96" s="11" t="s">
        <v>386</v>
      </c>
      <c r="G96" s="11" t="s">
        <v>387</v>
      </c>
      <c r="H96" s="11" t="s">
        <v>1588</v>
      </c>
      <c r="I96" s="11" t="s">
        <v>1589</v>
      </c>
      <c r="J96" s="11" t="s">
        <v>1590</v>
      </c>
      <c r="K96" s="11" t="s">
        <v>1591</v>
      </c>
      <c r="L96" s="11" t="s">
        <v>1782</v>
      </c>
      <c r="M96" s="11"/>
    </row>
    <row r="97" spans="1:13" ht="160" x14ac:dyDescent="0.2">
      <c r="A97" s="11">
        <v>96</v>
      </c>
      <c r="B97" s="11" t="s">
        <v>377</v>
      </c>
      <c r="C97" s="11" t="s">
        <v>296</v>
      </c>
      <c r="D97" s="11" t="s">
        <v>201</v>
      </c>
      <c r="E97" s="11" t="s">
        <v>186</v>
      </c>
      <c r="F97" s="11" t="s">
        <v>388</v>
      </c>
      <c r="G97" s="11" t="s">
        <v>389</v>
      </c>
      <c r="H97" s="11" t="s">
        <v>1592</v>
      </c>
      <c r="I97" s="11" t="s">
        <v>1593</v>
      </c>
      <c r="J97" s="11" t="s">
        <v>1594</v>
      </c>
      <c r="K97" s="11" t="s">
        <v>1595</v>
      </c>
      <c r="L97" s="11" t="s">
        <v>1783</v>
      </c>
      <c r="M97" s="11"/>
    </row>
    <row r="98" spans="1:13" ht="160" x14ac:dyDescent="0.2">
      <c r="A98" s="11">
        <v>97</v>
      </c>
      <c r="B98" s="11" t="s">
        <v>377</v>
      </c>
      <c r="C98" s="11" t="s">
        <v>296</v>
      </c>
      <c r="D98" s="11" t="s">
        <v>201</v>
      </c>
      <c r="E98" s="11" t="s">
        <v>189</v>
      </c>
      <c r="F98" s="11" t="s">
        <v>390</v>
      </c>
      <c r="G98" s="11" t="s">
        <v>391</v>
      </c>
      <c r="H98" s="11" t="s">
        <v>1596</v>
      </c>
      <c r="I98" s="11" t="s">
        <v>1597</v>
      </c>
      <c r="J98" s="11" t="s">
        <v>1598</v>
      </c>
      <c r="K98" s="11" t="s">
        <v>1599</v>
      </c>
      <c r="L98" s="11" t="s">
        <v>1784</v>
      </c>
      <c r="M98" s="11"/>
    </row>
    <row r="99" spans="1:13" ht="144" x14ac:dyDescent="0.2">
      <c r="A99" s="11">
        <v>98</v>
      </c>
      <c r="B99" s="11" t="s">
        <v>377</v>
      </c>
      <c r="C99" s="11" t="s">
        <v>296</v>
      </c>
      <c r="D99" s="11" t="s">
        <v>201</v>
      </c>
      <c r="E99" s="11" t="s">
        <v>192</v>
      </c>
      <c r="F99" s="11" t="s">
        <v>392</v>
      </c>
      <c r="G99" s="11" t="s">
        <v>393</v>
      </c>
      <c r="H99" s="11" t="s">
        <v>1600</v>
      </c>
      <c r="I99" s="11" t="s">
        <v>1601</v>
      </c>
      <c r="J99" s="11" t="s">
        <v>1602</v>
      </c>
      <c r="K99" s="11" t="s">
        <v>1603</v>
      </c>
      <c r="L99" s="11" t="s">
        <v>1785</v>
      </c>
      <c r="M99" s="11"/>
    </row>
    <row r="100" spans="1:13" ht="160" x14ac:dyDescent="0.2">
      <c r="A100" s="11">
        <v>99</v>
      </c>
      <c r="B100" s="11" t="s">
        <v>377</v>
      </c>
      <c r="C100" s="11" t="s">
        <v>296</v>
      </c>
      <c r="D100" s="11" t="s">
        <v>201</v>
      </c>
      <c r="E100" s="11" t="s">
        <v>195</v>
      </c>
      <c r="F100" s="11" t="s">
        <v>394</v>
      </c>
      <c r="G100" s="11" t="s">
        <v>395</v>
      </c>
      <c r="H100" s="11" t="s">
        <v>1604</v>
      </c>
      <c r="I100" s="11" t="s">
        <v>1605</v>
      </c>
      <c r="J100" s="11" t="s">
        <v>1606</v>
      </c>
      <c r="K100" s="11" t="s">
        <v>1607</v>
      </c>
      <c r="L100" s="11" t="s">
        <v>1786</v>
      </c>
      <c r="M100" s="11"/>
    </row>
    <row r="101" spans="1:13" ht="192" x14ac:dyDescent="0.2">
      <c r="A101" s="11">
        <v>100</v>
      </c>
      <c r="B101" s="11" t="s">
        <v>377</v>
      </c>
      <c r="C101" s="11" t="s">
        <v>296</v>
      </c>
      <c r="D101" s="11" t="s">
        <v>201</v>
      </c>
      <c r="E101" s="11" t="s">
        <v>198</v>
      </c>
      <c r="F101" s="11" t="s">
        <v>396</v>
      </c>
      <c r="G101" s="11" t="s">
        <v>397</v>
      </c>
      <c r="H101" s="11" t="s">
        <v>1608</v>
      </c>
      <c r="I101" s="11" t="s">
        <v>1609</v>
      </c>
      <c r="J101" s="11" t="s">
        <v>1610</v>
      </c>
      <c r="K101" s="11" t="s">
        <v>1611</v>
      </c>
      <c r="L101" s="11" t="s">
        <v>1787</v>
      </c>
      <c r="M101" s="11"/>
    </row>
    <row r="102" spans="1:13" ht="176" x14ac:dyDescent="0.2">
      <c r="A102" s="11">
        <v>101</v>
      </c>
      <c r="B102" s="11" t="s">
        <v>377</v>
      </c>
      <c r="C102" s="11" t="s">
        <v>296</v>
      </c>
      <c r="D102" s="11" t="s">
        <v>201</v>
      </c>
      <c r="E102" s="11" t="s">
        <v>186</v>
      </c>
      <c r="F102" s="11" t="s">
        <v>398</v>
      </c>
      <c r="G102" s="11" t="s">
        <v>399</v>
      </c>
      <c r="H102" s="11" t="s">
        <v>1612</v>
      </c>
      <c r="I102" s="11" t="s">
        <v>1613</v>
      </c>
      <c r="J102" s="11" t="s">
        <v>1614</v>
      </c>
      <c r="K102" s="11" t="s">
        <v>1615</v>
      </c>
      <c r="L102" s="11" t="s">
        <v>1788</v>
      </c>
      <c r="M102" s="11"/>
    </row>
    <row r="103" spans="1:13" ht="160" x14ac:dyDescent="0.2">
      <c r="A103" s="11">
        <v>102</v>
      </c>
      <c r="B103" s="11" t="s">
        <v>377</v>
      </c>
      <c r="C103" s="11" t="s">
        <v>296</v>
      </c>
      <c r="D103" s="11" t="s">
        <v>201</v>
      </c>
      <c r="E103" s="11" t="s">
        <v>189</v>
      </c>
      <c r="F103" s="11" t="s">
        <v>400</v>
      </c>
      <c r="G103" s="11" t="s">
        <v>401</v>
      </c>
      <c r="H103" s="11" t="s">
        <v>1616</v>
      </c>
      <c r="I103" s="11" t="s">
        <v>1617</v>
      </c>
      <c r="J103" s="11" t="s">
        <v>1618</v>
      </c>
      <c r="K103" s="11" t="s">
        <v>1619</v>
      </c>
      <c r="L103" s="11" t="s">
        <v>1789</v>
      </c>
      <c r="M103" s="11"/>
    </row>
    <row r="104" spans="1:13" ht="160" x14ac:dyDescent="0.2">
      <c r="A104" s="11">
        <v>103</v>
      </c>
      <c r="B104" s="11" t="s">
        <v>377</v>
      </c>
      <c r="C104" s="11" t="s">
        <v>296</v>
      </c>
      <c r="D104" s="11" t="s">
        <v>201</v>
      </c>
      <c r="E104" s="11" t="s">
        <v>192</v>
      </c>
      <c r="F104" s="11" t="s">
        <v>402</v>
      </c>
      <c r="G104" s="11" t="s">
        <v>403</v>
      </c>
      <c r="H104" s="11" t="s">
        <v>1620</v>
      </c>
      <c r="I104" s="11" t="s">
        <v>1621</v>
      </c>
      <c r="J104" s="11" t="s">
        <v>1622</v>
      </c>
      <c r="K104" s="11" t="s">
        <v>1623</v>
      </c>
      <c r="L104" s="11" t="s">
        <v>1790</v>
      </c>
      <c r="M104" s="11"/>
    </row>
    <row r="105" spans="1:13" ht="160" x14ac:dyDescent="0.2">
      <c r="A105" s="11">
        <v>104</v>
      </c>
      <c r="B105" s="11" t="s">
        <v>377</v>
      </c>
      <c r="C105" s="11" t="s">
        <v>296</v>
      </c>
      <c r="D105" s="11" t="s">
        <v>201</v>
      </c>
      <c r="E105" s="11" t="s">
        <v>195</v>
      </c>
      <c r="F105" s="11" t="s">
        <v>404</v>
      </c>
      <c r="G105" s="11" t="s">
        <v>405</v>
      </c>
      <c r="H105" s="11" t="s">
        <v>1624</v>
      </c>
      <c r="I105" s="11" t="s">
        <v>1625</v>
      </c>
      <c r="J105" s="11" t="s">
        <v>1626</v>
      </c>
      <c r="K105" s="11" t="s">
        <v>1627</v>
      </c>
      <c r="L105" s="11" t="s">
        <v>1791</v>
      </c>
      <c r="M105" s="11"/>
    </row>
    <row r="106" spans="1:13" ht="176" x14ac:dyDescent="0.2">
      <c r="A106" s="11">
        <v>105</v>
      </c>
      <c r="B106" s="11" t="s">
        <v>377</v>
      </c>
      <c r="C106" s="11" t="s">
        <v>296</v>
      </c>
      <c r="D106" s="11" t="s">
        <v>201</v>
      </c>
      <c r="E106" s="11" t="s">
        <v>198</v>
      </c>
      <c r="F106" s="11" t="s">
        <v>406</v>
      </c>
      <c r="G106" s="11" t="s">
        <v>407</v>
      </c>
      <c r="H106" s="11" t="s">
        <v>1628</v>
      </c>
      <c r="I106" s="11" t="s">
        <v>1629</v>
      </c>
      <c r="J106" s="11" t="s">
        <v>1630</v>
      </c>
      <c r="K106" s="11" t="s">
        <v>1631</v>
      </c>
      <c r="L106" s="11" t="s">
        <v>1792</v>
      </c>
      <c r="M106" s="11"/>
    </row>
    <row r="107" spans="1:13" ht="160" x14ac:dyDescent="0.2">
      <c r="A107" s="11">
        <v>106</v>
      </c>
      <c r="B107" s="11" t="s">
        <v>377</v>
      </c>
      <c r="C107" s="11" t="s">
        <v>296</v>
      </c>
      <c r="D107" s="11" t="s">
        <v>201</v>
      </c>
      <c r="E107" s="11" t="s">
        <v>186</v>
      </c>
      <c r="F107" s="11" t="s">
        <v>408</v>
      </c>
      <c r="G107" s="11" t="s">
        <v>409</v>
      </c>
      <c r="H107" s="11" t="s">
        <v>1632</v>
      </c>
      <c r="I107" s="11" t="s">
        <v>1633</v>
      </c>
      <c r="J107" s="11" t="s">
        <v>1634</v>
      </c>
      <c r="K107" s="11" t="s">
        <v>1635</v>
      </c>
      <c r="L107" s="11" t="s">
        <v>1793</v>
      </c>
      <c r="M107" s="11"/>
    </row>
    <row r="108" spans="1:13" ht="128" x14ac:dyDescent="0.2">
      <c r="A108" s="11">
        <v>107</v>
      </c>
      <c r="B108" s="11" t="s">
        <v>377</v>
      </c>
      <c r="C108" s="11" t="s">
        <v>296</v>
      </c>
      <c r="D108" s="11" t="s">
        <v>201</v>
      </c>
      <c r="E108" s="11" t="s">
        <v>189</v>
      </c>
      <c r="F108" s="11" t="s">
        <v>410</v>
      </c>
      <c r="G108" s="11" t="s">
        <v>411</v>
      </c>
      <c r="H108" s="11" t="s">
        <v>1636</v>
      </c>
      <c r="I108" s="11" t="s">
        <v>1637</v>
      </c>
      <c r="J108" s="11" t="s">
        <v>1638</v>
      </c>
      <c r="K108" s="11" t="s">
        <v>1639</v>
      </c>
      <c r="L108" s="11" t="s">
        <v>1794</v>
      </c>
      <c r="M108" s="11"/>
    </row>
    <row r="109" spans="1:13" ht="176" x14ac:dyDescent="0.2">
      <c r="A109" s="11">
        <v>108</v>
      </c>
      <c r="B109" s="11" t="s">
        <v>377</v>
      </c>
      <c r="C109" s="11" t="s">
        <v>296</v>
      </c>
      <c r="D109" s="11" t="s">
        <v>201</v>
      </c>
      <c r="E109" s="11" t="s">
        <v>192</v>
      </c>
      <c r="F109" s="11" t="s">
        <v>412</v>
      </c>
      <c r="G109" s="11" t="s">
        <v>413</v>
      </c>
      <c r="H109" s="11" t="s">
        <v>1640</v>
      </c>
      <c r="I109" s="11" t="s">
        <v>1641</v>
      </c>
      <c r="J109" s="11" t="s">
        <v>1642</v>
      </c>
      <c r="K109" s="11" t="s">
        <v>1643</v>
      </c>
      <c r="L109" s="11" t="s">
        <v>1795</v>
      </c>
      <c r="M109" s="11"/>
    </row>
    <row r="110" spans="1:13" ht="176" x14ac:dyDescent="0.2">
      <c r="A110" s="11">
        <v>109</v>
      </c>
      <c r="B110" s="11" t="s">
        <v>377</v>
      </c>
      <c r="C110" s="11" t="s">
        <v>296</v>
      </c>
      <c r="D110" s="11" t="s">
        <v>201</v>
      </c>
      <c r="E110" s="11" t="s">
        <v>195</v>
      </c>
      <c r="F110" s="11" t="s">
        <v>414</v>
      </c>
      <c r="G110" s="11" t="s">
        <v>415</v>
      </c>
      <c r="H110" s="11" t="s">
        <v>1644</v>
      </c>
      <c r="I110" s="11" t="s">
        <v>1645</v>
      </c>
      <c r="J110" s="11" t="s">
        <v>1646</v>
      </c>
      <c r="K110" s="11" t="s">
        <v>1647</v>
      </c>
      <c r="L110" s="11" t="s">
        <v>1796</v>
      </c>
      <c r="M110" s="11"/>
    </row>
    <row r="111" spans="1:13" ht="128" x14ac:dyDescent="0.2">
      <c r="A111" s="11">
        <v>110</v>
      </c>
      <c r="B111" s="11" t="s">
        <v>377</v>
      </c>
      <c r="C111" s="11" t="s">
        <v>296</v>
      </c>
      <c r="D111" s="11" t="s">
        <v>201</v>
      </c>
      <c r="E111" s="11" t="s">
        <v>198</v>
      </c>
      <c r="F111" s="11" t="s">
        <v>416</v>
      </c>
      <c r="G111" s="11" t="s">
        <v>417</v>
      </c>
      <c r="H111" s="11" t="s">
        <v>1648</v>
      </c>
      <c r="I111" s="11" t="s">
        <v>1649</v>
      </c>
      <c r="J111" s="11" t="s">
        <v>1650</v>
      </c>
      <c r="K111" s="11" t="s">
        <v>1651</v>
      </c>
      <c r="L111" s="11" t="s">
        <v>1797</v>
      </c>
      <c r="M111" s="11"/>
    </row>
    <row r="112" spans="1:13" ht="192" x14ac:dyDescent="0.2">
      <c r="A112" s="11">
        <v>111</v>
      </c>
      <c r="B112" s="11" t="s">
        <v>377</v>
      </c>
      <c r="C112" s="11" t="s">
        <v>296</v>
      </c>
      <c r="D112" s="11" t="s">
        <v>201</v>
      </c>
      <c r="E112" s="11" t="s">
        <v>186</v>
      </c>
      <c r="F112" s="11" t="s">
        <v>418</v>
      </c>
      <c r="G112" s="11" t="s">
        <v>419</v>
      </c>
      <c r="H112" s="11" t="s">
        <v>1652</v>
      </c>
      <c r="I112" s="11" t="s">
        <v>1653</v>
      </c>
      <c r="J112" s="11" t="s">
        <v>1654</v>
      </c>
      <c r="K112" s="11" t="s">
        <v>1655</v>
      </c>
      <c r="L112" s="11" t="s">
        <v>1798</v>
      </c>
      <c r="M112" s="11"/>
    </row>
    <row r="113" spans="1:13" ht="160" x14ac:dyDescent="0.2">
      <c r="A113" s="11">
        <v>112</v>
      </c>
      <c r="B113" s="11" t="s">
        <v>377</v>
      </c>
      <c r="C113" s="11" t="s">
        <v>296</v>
      </c>
      <c r="D113" s="11" t="s">
        <v>201</v>
      </c>
      <c r="E113" s="11" t="s">
        <v>189</v>
      </c>
      <c r="F113" s="11" t="s">
        <v>420</v>
      </c>
      <c r="G113" s="11" t="s">
        <v>421</v>
      </c>
      <c r="H113" s="11" t="s">
        <v>1656</v>
      </c>
      <c r="I113" s="11" t="s">
        <v>1657</v>
      </c>
      <c r="J113" s="11" t="s">
        <v>1658</v>
      </c>
      <c r="K113" s="11" t="s">
        <v>1659</v>
      </c>
      <c r="L113" s="11" t="s">
        <v>1799</v>
      </c>
      <c r="M113" s="11"/>
    </row>
    <row r="114" spans="1:13" ht="160" x14ac:dyDescent="0.2">
      <c r="A114" s="11">
        <v>113</v>
      </c>
      <c r="B114" s="11" t="s">
        <v>377</v>
      </c>
      <c r="C114" s="11" t="s">
        <v>296</v>
      </c>
      <c r="D114" s="11" t="s">
        <v>201</v>
      </c>
      <c r="E114" s="11" t="s">
        <v>192</v>
      </c>
      <c r="F114" s="11" t="s">
        <v>422</v>
      </c>
      <c r="G114" s="11" t="s">
        <v>423</v>
      </c>
      <c r="H114" s="11" t="s">
        <v>1660</v>
      </c>
      <c r="I114" s="11" t="s">
        <v>1661</v>
      </c>
      <c r="J114" s="11" t="s">
        <v>1662</v>
      </c>
      <c r="K114" s="11" t="s">
        <v>1663</v>
      </c>
      <c r="L114" s="11" t="s">
        <v>1800</v>
      </c>
      <c r="M114" s="11"/>
    </row>
    <row r="115" spans="1:13" ht="160" x14ac:dyDescent="0.2">
      <c r="A115" s="11">
        <v>114</v>
      </c>
      <c r="B115" s="11" t="s">
        <v>377</v>
      </c>
      <c r="C115" s="11" t="s">
        <v>296</v>
      </c>
      <c r="D115" s="11" t="s">
        <v>201</v>
      </c>
      <c r="E115" s="11" t="s">
        <v>195</v>
      </c>
      <c r="F115" s="11" t="s">
        <v>424</v>
      </c>
      <c r="G115" s="11" t="s">
        <v>425</v>
      </c>
      <c r="H115" s="11" t="s">
        <v>1664</v>
      </c>
      <c r="I115" s="11" t="s">
        <v>1665</v>
      </c>
      <c r="J115" s="11" t="s">
        <v>1666</v>
      </c>
      <c r="K115" s="11" t="s">
        <v>1667</v>
      </c>
      <c r="L115" s="11" t="s">
        <v>1801</v>
      </c>
      <c r="M115" s="11"/>
    </row>
    <row r="116" spans="1:13" ht="160" x14ac:dyDescent="0.2">
      <c r="A116" s="11">
        <v>115</v>
      </c>
      <c r="B116" s="11" t="s">
        <v>377</v>
      </c>
      <c r="C116" s="11" t="s">
        <v>296</v>
      </c>
      <c r="D116" s="11" t="s">
        <v>201</v>
      </c>
      <c r="E116" s="11" t="s">
        <v>198</v>
      </c>
      <c r="F116" s="11" t="s">
        <v>426</v>
      </c>
      <c r="G116" s="11" t="s">
        <v>427</v>
      </c>
      <c r="H116" s="11" t="s">
        <v>1668</v>
      </c>
      <c r="I116" s="11" t="s">
        <v>1669</v>
      </c>
      <c r="J116" s="11" t="s">
        <v>1670</v>
      </c>
      <c r="K116" s="11" t="s">
        <v>1671</v>
      </c>
      <c r="L116" s="11" t="s">
        <v>1802</v>
      </c>
      <c r="M116" s="11"/>
    </row>
    <row r="117" spans="1:13" ht="160" x14ac:dyDescent="0.2">
      <c r="A117" s="11">
        <v>116</v>
      </c>
      <c r="B117" s="11" t="s">
        <v>377</v>
      </c>
      <c r="C117" s="11" t="s">
        <v>296</v>
      </c>
      <c r="D117" s="11" t="s">
        <v>201</v>
      </c>
      <c r="E117" s="11" t="s">
        <v>186</v>
      </c>
      <c r="F117" s="11" t="s">
        <v>428</v>
      </c>
      <c r="G117" s="11" t="s">
        <v>429</v>
      </c>
      <c r="H117" s="11" t="s">
        <v>1672</v>
      </c>
      <c r="I117" s="11" t="s">
        <v>1673</v>
      </c>
      <c r="J117" s="11" t="s">
        <v>1674</v>
      </c>
      <c r="K117" s="11" t="s">
        <v>1675</v>
      </c>
      <c r="L117" s="11" t="s">
        <v>1803</v>
      </c>
      <c r="M117" s="11"/>
    </row>
    <row r="118" spans="1:13" ht="128" x14ac:dyDescent="0.2">
      <c r="A118" s="11">
        <v>117</v>
      </c>
      <c r="B118" s="11" t="s">
        <v>377</v>
      </c>
      <c r="C118" s="11" t="s">
        <v>296</v>
      </c>
      <c r="D118" s="11" t="s">
        <v>201</v>
      </c>
      <c r="E118" s="11" t="s">
        <v>189</v>
      </c>
      <c r="F118" s="11" t="s">
        <v>430</v>
      </c>
      <c r="G118" s="11" t="s">
        <v>431</v>
      </c>
      <c r="H118" s="11" t="s">
        <v>1676</v>
      </c>
      <c r="I118" s="11" t="s">
        <v>1677</v>
      </c>
      <c r="J118" s="11" t="s">
        <v>1678</v>
      </c>
      <c r="K118" s="11" t="s">
        <v>1679</v>
      </c>
      <c r="L118" s="11" t="s">
        <v>1804</v>
      </c>
      <c r="M118" s="11"/>
    </row>
    <row r="119" spans="1:13" ht="144" x14ac:dyDescent="0.2">
      <c r="A119" s="11">
        <v>118</v>
      </c>
      <c r="B119" s="11" t="s">
        <v>377</v>
      </c>
      <c r="C119" s="11" t="s">
        <v>296</v>
      </c>
      <c r="D119" s="11" t="s">
        <v>201</v>
      </c>
      <c r="E119" s="11" t="s">
        <v>192</v>
      </c>
      <c r="F119" s="11" t="s">
        <v>432</v>
      </c>
      <c r="G119" s="11" t="s">
        <v>433</v>
      </c>
      <c r="H119" s="11" t="s">
        <v>1680</v>
      </c>
      <c r="I119" s="11" t="s">
        <v>1681</v>
      </c>
      <c r="J119" s="11" t="s">
        <v>1682</v>
      </c>
      <c r="K119" s="11" t="s">
        <v>1683</v>
      </c>
      <c r="L119" s="11" t="s">
        <v>1805</v>
      </c>
      <c r="M119" s="11"/>
    </row>
    <row r="120" spans="1:13" ht="128" x14ac:dyDescent="0.2">
      <c r="A120" s="11">
        <v>119</v>
      </c>
      <c r="B120" s="11" t="s">
        <v>377</v>
      </c>
      <c r="C120" s="11" t="s">
        <v>296</v>
      </c>
      <c r="D120" s="11" t="s">
        <v>201</v>
      </c>
      <c r="E120" s="11" t="s">
        <v>195</v>
      </c>
      <c r="F120" s="11" t="s">
        <v>434</v>
      </c>
      <c r="G120" s="11" t="s">
        <v>435</v>
      </c>
      <c r="H120" s="11" t="s">
        <v>1684</v>
      </c>
      <c r="I120" s="11" t="s">
        <v>1685</v>
      </c>
      <c r="J120" s="11" t="s">
        <v>1686</v>
      </c>
      <c r="K120" s="11" t="s">
        <v>1687</v>
      </c>
      <c r="L120" s="11" t="s">
        <v>1806</v>
      </c>
      <c r="M120" s="11"/>
    </row>
    <row r="121" spans="1:13" ht="144" x14ac:dyDescent="0.2">
      <c r="A121" s="11">
        <v>120</v>
      </c>
      <c r="B121" s="11" t="s">
        <v>377</v>
      </c>
      <c r="C121" s="11" t="s">
        <v>296</v>
      </c>
      <c r="D121" s="11" t="s">
        <v>201</v>
      </c>
      <c r="E121" s="11" t="s">
        <v>198</v>
      </c>
      <c r="F121" s="11" t="s">
        <v>436</v>
      </c>
      <c r="G121" s="11" t="s">
        <v>437</v>
      </c>
      <c r="H121" s="11" t="s">
        <v>1688</v>
      </c>
      <c r="I121" s="11" t="s">
        <v>1689</v>
      </c>
      <c r="J121" s="11" t="s">
        <v>1690</v>
      </c>
      <c r="K121" s="11" t="s">
        <v>1691</v>
      </c>
      <c r="L121" s="11" t="s">
        <v>1807</v>
      </c>
      <c r="M121" s="11"/>
    </row>
  </sheetData>
  <autoFilter ref="A1:M121" xr:uid="{E4A21531-7358-49FE-BD0F-110ABF98ABED}"/>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13BB3-7DE3-4F13-BFDD-B7F2F9A02693}">
  <sheetPr codeName="Sheet4"/>
  <dimension ref="A1:CL962"/>
  <sheetViews>
    <sheetView topLeftCell="AN1" workbookViewId="0">
      <selection activeCell="G56" sqref="G56"/>
    </sheetView>
  </sheetViews>
  <sheetFormatPr baseColWidth="10" defaultColWidth="8.83203125" defaultRowHeight="15" x14ac:dyDescent="0.2"/>
  <cols>
    <col min="1" max="1" width="28.1640625" customWidth="1"/>
    <col min="2" max="2" width="2.83203125" customWidth="1"/>
    <col min="3" max="3" width="25.6640625" customWidth="1"/>
    <col min="4" max="4" width="2.83203125" customWidth="1"/>
    <col min="5" max="5" width="34" customWidth="1"/>
    <col min="6" max="6" width="2.83203125" customWidth="1"/>
    <col min="7" max="7" width="28.1640625" customWidth="1"/>
    <col min="8" max="8" width="2.83203125" customWidth="1"/>
    <col min="9" max="9" width="30.6640625" customWidth="1"/>
    <col min="10" max="10" width="2.83203125" customWidth="1"/>
    <col min="11" max="11" width="36" customWidth="1"/>
    <col min="12" max="12" width="2.83203125" customWidth="1"/>
    <col min="13" max="13" width="34.83203125" customWidth="1"/>
    <col min="14" max="14" width="12.33203125" customWidth="1"/>
    <col min="15" max="15" width="10.33203125" customWidth="1"/>
    <col min="16" max="16" width="2.83203125" customWidth="1"/>
    <col min="17" max="17" width="14.1640625" customWidth="1"/>
    <col min="18" max="18" width="12.5" customWidth="1"/>
    <col min="19" max="19" width="16.6640625" customWidth="1"/>
    <col min="20" max="20" width="2.83203125" customWidth="1"/>
    <col min="21" max="21" width="35.83203125" customWidth="1"/>
    <col min="22" max="22" width="13.5" customWidth="1"/>
    <col min="24" max="24" width="2.83203125" customWidth="1"/>
    <col min="25" max="25" width="11.1640625" customWidth="1"/>
    <col min="26" max="26" width="42.6640625" customWidth="1"/>
    <col min="27" max="27" width="15" customWidth="1"/>
    <col min="28" max="28" width="11.6640625" customWidth="1"/>
    <col min="29" max="29" width="2.83203125" customWidth="1"/>
    <col min="30" max="30" width="50.5" customWidth="1"/>
    <col min="31" max="35" width="12.5" customWidth="1"/>
    <col min="36" max="36" width="2.83203125" customWidth="1"/>
    <col min="37" max="38" width="16.6640625" customWidth="1"/>
    <col min="39" max="39" width="26.5" customWidth="1"/>
    <col min="40" max="40" width="29.83203125" customWidth="1"/>
    <col min="41" max="41" width="2.83203125" customWidth="1"/>
    <col min="42" max="42" width="14.33203125" customWidth="1"/>
    <col min="43" max="43" width="8.5" customWidth="1"/>
    <col min="44" max="44" width="37.6640625" customWidth="1"/>
    <col min="45" max="45" width="12.83203125" customWidth="1"/>
    <col min="46" max="46" width="37.5" customWidth="1"/>
    <col min="47" max="47" width="2.83203125" customWidth="1"/>
    <col min="48" max="48" width="15.6640625" customWidth="1"/>
    <col min="49" max="50" width="16.33203125" customWidth="1"/>
    <col min="51" max="52" width="15.33203125" customWidth="1"/>
    <col min="53" max="53" width="12.5" customWidth="1"/>
    <col min="54" max="54" width="2.83203125" customWidth="1"/>
    <col min="55" max="55" width="26.33203125" customWidth="1"/>
    <col min="56" max="56" width="2.83203125" customWidth="1"/>
    <col min="57" max="59" width="26.33203125" customWidth="1"/>
    <col min="60" max="60" width="43.5" customWidth="1"/>
    <col min="61" max="61" width="4.5" customWidth="1"/>
    <col min="62" max="62" width="20.6640625" customWidth="1"/>
    <col min="63" max="63" width="16.33203125" customWidth="1"/>
    <col min="64" max="64" width="2.83203125" customWidth="1"/>
    <col min="65" max="65" width="19" customWidth="1"/>
    <col min="66" max="66" width="50.1640625" customWidth="1"/>
    <col min="67" max="67" width="2.83203125" customWidth="1"/>
    <col min="69" max="69" width="27.1640625" customWidth="1"/>
    <col min="70" max="70" width="78.5" customWidth="1"/>
    <col min="71" max="71" width="3.1640625" customWidth="1"/>
    <col min="72" max="72" width="13.6640625" customWidth="1"/>
    <col min="73" max="73" width="32.1640625" customWidth="1"/>
    <col min="74" max="74" width="53.33203125" customWidth="1"/>
    <col min="75" max="75" width="13.1640625" customWidth="1"/>
    <col min="76" max="76" width="3" customWidth="1"/>
    <col min="77" max="77" width="12" customWidth="1"/>
    <col min="78" max="78" width="52.33203125" customWidth="1"/>
    <col min="79" max="79" width="48.33203125" customWidth="1"/>
    <col min="80" max="80" width="38.1640625" customWidth="1"/>
    <col min="81" max="81" width="3.83203125" customWidth="1"/>
    <col min="82" max="82" width="14.33203125" customWidth="1"/>
    <col min="83" max="83" width="34.1640625" customWidth="1"/>
    <col min="84" max="84" width="32.1640625" customWidth="1"/>
    <col min="85" max="85" width="3.6640625" customWidth="1"/>
    <col min="86" max="86" width="23.5" customWidth="1"/>
    <col min="87" max="87" width="34.6640625" customWidth="1"/>
    <col min="88" max="88" width="45.6640625" customWidth="1"/>
    <col min="89" max="89" width="16.1640625" customWidth="1"/>
    <col min="90" max="90" width="71.1640625" customWidth="1"/>
  </cols>
  <sheetData>
    <row r="1" spans="1:90" x14ac:dyDescent="0.2">
      <c r="A1" s="1" t="s">
        <v>0</v>
      </c>
      <c r="C1" s="1" t="s">
        <v>1</v>
      </c>
      <c r="E1" s="1" t="s">
        <v>2</v>
      </c>
      <c r="G1" s="1" t="s">
        <v>3</v>
      </c>
      <c r="I1" s="1" t="s">
        <v>4</v>
      </c>
      <c r="K1" s="1" t="s">
        <v>5</v>
      </c>
      <c r="M1" s="1" t="s">
        <v>6</v>
      </c>
      <c r="Q1" s="1" t="s">
        <v>7</v>
      </c>
      <c r="U1" s="1" t="s">
        <v>8</v>
      </c>
      <c r="Y1" s="1" t="s">
        <v>9</v>
      </c>
      <c r="AD1" s="1" t="s">
        <v>10</v>
      </c>
      <c r="AK1" s="1" t="s">
        <v>11</v>
      </c>
      <c r="AL1" s="1"/>
      <c r="AP1" s="1" t="s">
        <v>1059</v>
      </c>
      <c r="AV1" s="1" t="s">
        <v>12</v>
      </c>
      <c r="BE1" s="1" t="s">
        <v>1063</v>
      </c>
      <c r="BJ1" s="1" t="s">
        <v>13</v>
      </c>
      <c r="BM1" s="1" t="s">
        <v>14</v>
      </c>
      <c r="BP1" s="1" t="s">
        <v>944</v>
      </c>
      <c r="BT1" s="1" t="s">
        <v>945</v>
      </c>
      <c r="BY1" s="1" t="s">
        <v>983</v>
      </c>
    </row>
    <row r="2" spans="1:90" x14ac:dyDescent="0.2">
      <c r="A2" s="2" t="s">
        <v>15</v>
      </c>
      <c r="C2" s="2" t="s">
        <v>16</v>
      </c>
      <c r="E2" s="2" t="s">
        <v>17</v>
      </c>
      <c r="G2" s="2" t="s">
        <v>18</v>
      </c>
      <c r="I2" s="2" t="s">
        <v>19</v>
      </c>
      <c r="K2" s="2" t="s">
        <v>20</v>
      </c>
      <c r="M2" s="3" t="s">
        <v>21</v>
      </c>
      <c r="N2" s="3" t="s">
        <v>22</v>
      </c>
      <c r="O2" s="3" t="s">
        <v>23</v>
      </c>
      <c r="Q2" s="3" t="s">
        <v>24</v>
      </c>
      <c r="R2" s="3" t="s">
        <v>25</v>
      </c>
      <c r="S2" s="3" t="s">
        <v>26</v>
      </c>
      <c r="U2" s="3" t="s">
        <v>28</v>
      </c>
      <c r="V2" s="3" t="s">
        <v>27</v>
      </c>
      <c r="W2" s="3" t="s">
        <v>29</v>
      </c>
      <c r="Y2" s="3" t="s">
        <v>30</v>
      </c>
      <c r="Z2" s="3" t="s">
        <v>31</v>
      </c>
      <c r="AA2" s="3" t="s">
        <v>32</v>
      </c>
      <c r="AB2" s="3" t="s">
        <v>33</v>
      </c>
      <c r="AD2" s="3" t="s">
        <v>34</v>
      </c>
      <c r="AE2" s="3" t="s">
        <v>35</v>
      </c>
      <c r="AF2" s="3" t="s">
        <v>36</v>
      </c>
      <c r="AG2" s="3" t="s">
        <v>37</v>
      </c>
      <c r="AH2" s="3" t="s">
        <v>38</v>
      </c>
      <c r="AI2" s="3" t="s">
        <v>39</v>
      </c>
      <c r="AK2" s="3" t="s">
        <v>153</v>
      </c>
      <c r="AL2" s="3" t="s">
        <v>154</v>
      </c>
      <c r="AM2" s="3" t="s">
        <v>40</v>
      </c>
      <c r="AN2" s="3" t="s">
        <v>41</v>
      </c>
      <c r="AP2" s="3" t="s">
        <v>42</v>
      </c>
      <c r="AQ2" s="3" t="s">
        <v>174</v>
      </c>
      <c r="AR2" s="3" t="s">
        <v>1060</v>
      </c>
      <c r="AS2" s="3" t="s">
        <v>1061</v>
      </c>
      <c r="AT2" s="3" t="s">
        <v>1062</v>
      </c>
      <c r="AV2" s="3" t="s">
        <v>42</v>
      </c>
      <c r="AW2" s="3" t="s">
        <v>43</v>
      </c>
      <c r="AX2" s="3" t="s">
        <v>1058</v>
      </c>
      <c r="AY2" s="12" t="s">
        <v>44</v>
      </c>
      <c r="AZ2" s="12" t="s">
        <v>1190</v>
      </c>
      <c r="BA2" s="3" t="s">
        <v>29</v>
      </c>
      <c r="BC2" s="3" t="s">
        <v>1040</v>
      </c>
      <c r="BE2" s="3" t="s">
        <v>1063</v>
      </c>
      <c r="BF2" s="3" t="s">
        <v>1106</v>
      </c>
      <c r="BG2" s="3" t="s">
        <v>1058</v>
      </c>
      <c r="BH2" s="3" t="s">
        <v>1107</v>
      </c>
      <c r="BJ2" s="3" t="s">
        <v>45</v>
      </c>
      <c r="BK2" s="3" t="s">
        <v>46</v>
      </c>
      <c r="BM2" s="3" t="s">
        <v>47</v>
      </c>
      <c r="BN2" s="3" t="s">
        <v>48</v>
      </c>
      <c r="BP2" s="3" t="s">
        <v>900</v>
      </c>
      <c r="BQ2" s="3" t="s">
        <v>901</v>
      </c>
      <c r="BR2" s="3" t="s">
        <v>902</v>
      </c>
      <c r="BT2" s="3" t="s">
        <v>900</v>
      </c>
      <c r="BU2" s="3" t="s">
        <v>901</v>
      </c>
      <c r="BV2" s="3" t="s">
        <v>927</v>
      </c>
      <c r="BW2" s="3" t="s">
        <v>928</v>
      </c>
      <c r="BY2" s="3" t="s">
        <v>946</v>
      </c>
      <c r="BZ2" s="3">
        <v>1.5</v>
      </c>
      <c r="CA2" s="3">
        <v>2.5</v>
      </c>
      <c r="CB2" s="3">
        <v>3.5</v>
      </c>
      <c r="CD2" s="3" t="s">
        <v>984</v>
      </c>
      <c r="CE2" s="3" t="s">
        <v>985</v>
      </c>
      <c r="CF2" s="3" t="s">
        <v>986</v>
      </c>
      <c r="CH2" s="3" t="s">
        <v>995</v>
      </c>
      <c r="CI2" s="3" t="s">
        <v>996</v>
      </c>
      <c r="CJ2" s="3" t="s">
        <v>1036</v>
      </c>
      <c r="CK2" s="3" t="s">
        <v>997</v>
      </c>
      <c r="CL2" s="3" t="s">
        <v>998</v>
      </c>
    </row>
    <row r="3" spans="1:90" x14ac:dyDescent="0.2">
      <c r="A3" s="2" t="s">
        <v>49</v>
      </c>
      <c r="C3" s="2" t="s">
        <v>50</v>
      </c>
      <c r="E3" s="2" t="s">
        <v>51</v>
      </c>
      <c r="G3" s="2" t="s">
        <v>52</v>
      </c>
      <c r="I3" s="2" t="s">
        <v>53</v>
      </c>
      <c r="K3" s="2" t="s">
        <v>54</v>
      </c>
      <c r="M3" s="4" t="s">
        <v>16</v>
      </c>
      <c r="N3" s="4" t="s">
        <v>55</v>
      </c>
      <c r="O3" s="4" t="s">
        <v>56</v>
      </c>
      <c r="Q3" s="4" t="s">
        <v>57</v>
      </c>
      <c r="R3" s="4" t="s">
        <v>56</v>
      </c>
      <c r="S3" s="4" t="s">
        <v>58</v>
      </c>
      <c r="U3" s="4" t="s">
        <v>834</v>
      </c>
      <c r="V3" s="4" t="s">
        <v>862</v>
      </c>
      <c r="W3" s="4" t="s">
        <v>59</v>
      </c>
      <c r="Y3" s="2" t="s">
        <v>60</v>
      </c>
      <c r="Z3" s="2" t="s">
        <v>61</v>
      </c>
      <c r="AA3" s="2" t="s">
        <v>183</v>
      </c>
      <c r="AB3" s="2" t="s">
        <v>63</v>
      </c>
      <c r="AD3" s="2" t="s">
        <v>895</v>
      </c>
      <c r="AE3" s="2" t="s">
        <v>64</v>
      </c>
      <c r="AF3" s="2" t="s">
        <v>65</v>
      </c>
      <c r="AG3" s="2" t="s">
        <v>66</v>
      </c>
      <c r="AH3" s="2" t="s">
        <v>67</v>
      </c>
      <c r="AI3" s="2" t="s">
        <v>68</v>
      </c>
      <c r="AK3" s="134" t="s">
        <v>155</v>
      </c>
      <c r="AL3" s="134" t="s">
        <v>156</v>
      </c>
      <c r="AM3" s="2" t="s">
        <v>69</v>
      </c>
      <c r="AN3" s="2" t="s">
        <v>70</v>
      </c>
      <c r="AO3" s="5" t="s">
        <v>71</v>
      </c>
      <c r="AP3" s="2" t="s">
        <v>714</v>
      </c>
      <c r="AQ3" s="2" t="s">
        <v>183</v>
      </c>
      <c r="AR3" s="2" t="str">
        <f>INDEX($Z$3:$Z$6,MATCH(AQ3,$AA$3:$AA$6,0))</f>
        <v xml:space="preserve"> Critical Vulnerability Identification </v>
      </c>
      <c r="AS3" s="2" t="str">
        <f>AQ3 &amp; "_1"</f>
        <v>CVI_1</v>
      </c>
      <c r="AT3" s="2" t="str">
        <f>INDEX($U$3:$U$14,MATCH(AS3,$V$3:$V$14,0))</f>
        <v>Asset Discovery &amp; Classification</v>
      </c>
      <c r="AV3" s="2" t="s">
        <v>714</v>
      </c>
      <c r="AW3" s="2" t="s">
        <v>1041</v>
      </c>
      <c r="AX3" s="2" t="str">
        <f>_xlfn.CONCAT(AV3,"|",AW3)</f>
        <v>Q1|NIST CSF 2.0</v>
      </c>
      <c r="AY3" s="13" t="s">
        <v>438</v>
      </c>
      <c r="AZ3" s="13" t="s">
        <v>1064</v>
      </c>
      <c r="BA3" s="2">
        <v>1</v>
      </c>
      <c r="BB3" s="5"/>
      <c r="BC3" s="2" t="s">
        <v>1041</v>
      </c>
      <c r="BD3" s="5" t="s">
        <v>71</v>
      </c>
      <c r="BE3" s="2" t="s">
        <v>1041</v>
      </c>
      <c r="BF3" s="2" t="s">
        <v>1064</v>
      </c>
      <c r="BG3" s="2" t="str">
        <f>_xlfn.CONCAT(BE3,BF3)</f>
        <v>NIST CSF 2.0ID</v>
      </c>
      <c r="BH3" s="2" t="s">
        <v>1101</v>
      </c>
      <c r="BJ3" s="2" t="s">
        <v>72</v>
      </c>
      <c r="BK3" s="2" t="s">
        <v>73</v>
      </c>
      <c r="BM3" s="2" t="s">
        <v>74</v>
      </c>
      <c r="BN3" s="2" t="s">
        <v>75</v>
      </c>
      <c r="BP3" s="2" t="s">
        <v>862</v>
      </c>
      <c r="BQ3" s="2" t="s">
        <v>903</v>
      </c>
      <c r="BR3" s="2" t="s">
        <v>904</v>
      </c>
      <c r="BS3" s="120" t="s">
        <v>71</v>
      </c>
      <c r="BT3" s="2" t="s">
        <v>862</v>
      </c>
      <c r="BU3" s="2" t="s">
        <v>903</v>
      </c>
      <c r="BV3" s="2" t="s">
        <v>929</v>
      </c>
      <c r="BW3" s="2" t="s">
        <v>930</v>
      </c>
      <c r="BY3" s="2" t="s">
        <v>862</v>
      </c>
      <c r="BZ3" s="2" t="s">
        <v>947</v>
      </c>
      <c r="CA3" s="2" t="s">
        <v>948</v>
      </c>
      <c r="CB3" s="2" t="s">
        <v>949</v>
      </c>
      <c r="CD3" s="2" t="s">
        <v>183</v>
      </c>
      <c r="CE3" s="2" t="s">
        <v>987</v>
      </c>
      <c r="CF3" s="2" t="s">
        <v>988</v>
      </c>
      <c r="CG3" s="120" t="s">
        <v>71</v>
      </c>
      <c r="CH3" s="2" t="s">
        <v>16</v>
      </c>
      <c r="CI3" s="2" t="s">
        <v>17</v>
      </c>
      <c r="CJ3" s="2" t="str">
        <f>_xlfn.CONCAT(CH3,"_",CI3)</f>
        <v>Financial Services_Fortune 500/Global Enterprise</v>
      </c>
      <c r="CK3" s="2" t="s">
        <v>999</v>
      </c>
      <c r="CL3" s="2" t="s">
        <v>1000</v>
      </c>
    </row>
    <row r="4" spans="1:90" x14ac:dyDescent="0.2">
      <c r="A4" s="2" t="s">
        <v>76</v>
      </c>
      <c r="C4" s="2" t="s">
        <v>77</v>
      </c>
      <c r="E4" s="2" t="s">
        <v>78</v>
      </c>
      <c r="G4" s="2" t="s">
        <v>79</v>
      </c>
      <c r="I4" s="2" t="s">
        <v>80</v>
      </c>
      <c r="K4" s="2" t="s">
        <v>81</v>
      </c>
      <c r="M4" s="4" t="s">
        <v>50</v>
      </c>
      <c r="N4" s="4" t="s">
        <v>55</v>
      </c>
      <c r="O4" s="4" t="s">
        <v>56</v>
      </c>
      <c r="Q4" s="4" t="s">
        <v>82</v>
      </c>
      <c r="R4" s="4" t="s">
        <v>83</v>
      </c>
      <c r="S4" s="4" t="s">
        <v>84</v>
      </c>
      <c r="U4" s="4" t="s">
        <v>848</v>
      </c>
      <c r="V4" s="4" t="s">
        <v>863</v>
      </c>
      <c r="W4" s="4" t="s">
        <v>59</v>
      </c>
      <c r="Y4" s="2" t="s">
        <v>85</v>
      </c>
      <c r="Z4" s="2" t="s">
        <v>86</v>
      </c>
      <c r="AA4" s="2" t="s">
        <v>254</v>
      </c>
      <c r="AB4" s="2" t="s">
        <v>88</v>
      </c>
      <c r="AD4" s="2" t="s">
        <v>896</v>
      </c>
      <c r="AE4" s="2" t="s">
        <v>89</v>
      </c>
      <c r="AF4" s="2" t="s">
        <v>68</v>
      </c>
      <c r="AG4" s="2" t="s">
        <v>67</v>
      </c>
      <c r="AH4" s="2" t="s">
        <v>90</v>
      </c>
      <c r="AI4" s="2" t="s">
        <v>83</v>
      </c>
      <c r="AK4" s="134" t="s">
        <v>157</v>
      </c>
      <c r="AL4" s="134" t="s">
        <v>158</v>
      </c>
      <c r="AM4" s="2" t="s">
        <v>69</v>
      </c>
      <c r="AN4" s="2" t="s">
        <v>91</v>
      </c>
      <c r="AO4" s="5" t="s">
        <v>71</v>
      </c>
      <c r="AP4" s="2" t="s">
        <v>715</v>
      </c>
      <c r="AQ4" s="2" t="s">
        <v>183</v>
      </c>
      <c r="AR4" s="2" t="str">
        <f t="shared" ref="AR4:AR67" si="0">INDEX($Z$3:$Z$6,MATCH(AQ4,$AA$3:$AA$6,0))</f>
        <v xml:space="preserve"> Critical Vulnerability Identification </v>
      </c>
      <c r="AS4" s="2" t="str">
        <f t="shared" ref="AS4:AS12" si="1">AQ4 &amp; "_1"</f>
        <v>CVI_1</v>
      </c>
      <c r="AT4" s="2" t="str">
        <f t="shared" ref="AT4:AT67" si="2">INDEX($U$3:$U$14,MATCH(AS4,$V$3:$V$14,0))</f>
        <v>Asset Discovery &amp; Classification</v>
      </c>
      <c r="AV4" s="2" t="s">
        <v>714</v>
      </c>
      <c r="AW4" s="2" t="s">
        <v>710</v>
      </c>
      <c r="AX4" s="2" t="str">
        <f t="shared" ref="AX4:AX67" si="3">_xlfn.CONCAT(AV4,"|",AW4)</f>
        <v>Q1|NIST PQC</v>
      </c>
      <c r="AY4" s="13" t="s">
        <v>439</v>
      </c>
      <c r="AZ4" s="13" t="s">
        <v>439</v>
      </c>
      <c r="BA4" s="2"/>
      <c r="BB4" s="5"/>
      <c r="BC4" s="2" t="s">
        <v>710</v>
      </c>
      <c r="BD4" s="5" t="s">
        <v>71</v>
      </c>
      <c r="BE4" s="2" t="s">
        <v>1041</v>
      </c>
      <c r="BF4" s="2" t="s">
        <v>1065</v>
      </c>
      <c r="BG4" s="2" t="str">
        <f t="shared" ref="BG4:BG90" si="4">_xlfn.CONCAT(BE4,BF4)</f>
        <v>NIST CSF 2.0DE</v>
      </c>
      <c r="BH4" s="2" t="s">
        <v>1103</v>
      </c>
      <c r="BJ4" s="2" t="s">
        <v>82</v>
      </c>
      <c r="BK4" s="2" t="s">
        <v>92</v>
      </c>
      <c r="BM4" s="2" t="s">
        <v>93</v>
      </c>
      <c r="BN4" s="2" t="s">
        <v>94</v>
      </c>
      <c r="BP4" s="2" t="s">
        <v>863</v>
      </c>
      <c r="BQ4" s="2" t="s">
        <v>905</v>
      </c>
      <c r="BR4" s="2" t="s">
        <v>906</v>
      </c>
      <c r="BS4" s="120" t="s">
        <v>71</v>
      </c>
      <c r="BT4" s="2" t="s">
        <v>863</v>
      </c>
      <c r="BU4" s="2" t="s">
        <v>905</v>
      </c>
      <c r="BV4" s="2" t="s">
        <v>931</v>
      </c>
      <c r="BW4" s="2" t="s">
        <v>932</v>
      </c>
      <c r="BY4" s="2" t="s">
        <v>863</v>
      </c>
      <c r="BZ4" s="2" t="s">
        <v>950</v>
      </c>
      <c r="CA4" s="2" t="s">
        <v>951</v>
      </c>
      <c r="CB4" s="2" t="s">
        <v>952</v>
      </c>
      <c r="CD4" s="2" t="s">
        <v>254</v>
      </c>
      <c r="CE4" s="2" t="s">
        <v>989</v>
      </c>
      <c r="CF4" s="2" t="s">
        <v>990</v>
      </c>
      <c r="CG4" s="120" t="s">
        <v>71</v>
      </c>
      <c r="CH4" s="2" t="s">
        <v>16</v>
      </c>
      <c r="CI4" s="2" t="s">
        <v>51</v>
      </c>
      <c r="CJ4" s="2" t="str">
        <f t="shared" ref="CJ4:CJ18" si="5">_xlfn.CONCAT(CH4,"_",CI4)</f>
        <v>Financial Services_Large Enterprise (1000+ employees)</v>
      </c>
      <c r="CK4" s="2" t="s">
        <v>1001</v>
      </c>
      <c r="CL4" s="2" t="s">
        <v>1002</v>
      </c>
    </row>
    <row r="5" spans="1:90" x14ac:dyDescent="0.2">
      <c r="A5" s="2" t="s">
        <v>95</v>
      </c>
      <c r="C5" s="2" t="s">
        <v>96</v>
      </c>
      <c r="E5" s="2" t="s">
        <v>97</v>
      </c>
      <c r="G5" s="2" t="s">
        <v>98</v>
      </c>
      <c r="I5" s="2" t="s">
        <v>99</v>
      </c>
      <c r="K5" s="2" t="s">
        <v>100</v>
      </c>
      <c r="M5" s="4" t="s">
        <v>77</v>
      </c>
      <c r="N5" s="4" t="s">
        <v>55</v>
      </c>
      <c r="O5" s="4" t="s">
        <v>56</v>
      </c>
      <c r="Q5" s="4" t="s">
        <v>101</v>
      </c>
      <c r="R5" s="4" t="s">
        <v>66</v>
      </c>
      <c r="S5" s="4" t="s">
        <v>102</v>
      </c>
      <c r="U5" s="4" t="s">
        <v>837</v>
      </c>
      <c r="V5" s="4" t="s">
        <v>864</v>
      </c>
      <c r="W5" s="4" t="s">
        <v>55</v>
      </c>
      <c r="Y5" s="2" t="s">
        <v>103</v>
      </c>
      <c r="Z5" s="2" t="s">
        <v>104</v>
      </c>
      <c r="AA5" s="2" t="s">
        <v>316</v>
      </c>
      <c r="AB5" s="2" t="s">
        <v>106</v>
      </c>
      <c r="AD5" s="2" t="s">
        <v>897</v>
      </c>
      <c r="AE5" s="2" t="s">
        <v>107</v>
      </c>
      <c r="AF5" s="2" t="s">
        <v>108</v>
      </c>
      <c r="AG5" s="2" t="s">
        <v>109</v>
      </c>
      <c r="AH5" s="2" t="s">
        <v>110</v>
      </c>
      <c r="AI5" s="2" t="s">
        <v>111</v>
      </c>
      <c r="AK5" s="134" t="s">
        <v>159</v>
      </c>
      <c r="AL5" s="134" t="s">
        <v>160</v>
      </c>
      <c r="AM5" s="2" t="s">
        <v>69</v>
      </c>
      <c r="AN5" s="2" t="s">
        <v>112</v>
      </c>
      <c r="AO5" s="5" t="s">
        <v>71</v>
      </c>
      <c r="AP5" s="2" t="s">
        <v>716</v>
      </c>
      <c r="AQ5" s="2" t="s">
        <v>183</v>
      </c>
      <c r="AR5" s="2" t="str">
        <f t="shared" si="0"/>
        <v xml:space="preserve"> Critical Vulnerability Identification </v>
      </c>
      <c r="AS5" s="2" t="str">
        <f t="shared" si="1"/>
        <v>CVI_1</v>
      </c>
      <c r="AT5" s="2" t="str">
        <f t="shared" si="2"/>
        <v>Asset Discovery &amp; Classification</v>
      </c>
      <c r="AV5" s="2" t="s">
        <v>714</v>
      </c>
      <c r="AW5" s="2" t="s">
        <v>1042</v>
      </c>
      <c r="AX5" s="2" t="str">
        <f t="shared" si="3"/>
        <v>Q1|CMMC 2.0</v>
      </c>
      <c r="AY5" s="13" t="s">
        <v>1824</v>
      </c>
      <c r="AZ5" s="13" t="s">
        <v>1070</v>
      </c>
      <c r="BA5" s="2">
        <v>0.8</v>
      </c>
      <c r="BB5" s="5"/>
      <c r="BC5" s="2" t="s">
        <v>1042</v>
      </c>
      <c r="BD5" s="5" t="s">
        <v>71</v>
      </c>
      <c r="BE5" s="2" t="s">
        <v>1041</v>
      </c>
      <c r="BF5" s="2" t="s">
        <v>1066</v>
      </c>
      <c r="BG5" s="2" t="str">
        <f t="shared" si="4"/>
        <v>NIST CSF 2.0RS</v>
      </c>
      <c r="BH5" s="2" t="s">
        <v>1104</v>
      </c>
      <c r="BJ5" s="2" t="s">
        <v>101</v>
      </c>
      <c r="BK5" s="2" t="s">
        <v>113</v>
      </c>
      <c r="BM5" s="2" t="s">
        <v>114</v>
      </c>
      <c r="BN5" s="2" t="s">
        <v>115</v>
      </c>
      <c r="BP5" s="2" t="s">
        <v>864</v>
      </c>
      <c r="BQ5" s="2" t="s">
        <v>907</v>
      </c>
      <c r="BR5" s="2" t="s">
        <v>908</v>
      </c>
      <c r="BS5" s="120" t="s">
        <v>71</v>
      </c>
      <c r="BT5" s="2" t="s">
        <v>864</v>
      </c>
      <c r="BU5" s="2" t="s">
        <v>907</v>
      </c>
      <c r="BV5" s="2" t="s">
        <v>933</v>
      </c>
      <c r="BW5" s="2" t="s">
        <v>930</v>
      </c>
      <c r="BY5" s="2" t="s">
        <v>864</v>
      </c>
      <c r="BZ5" s="2" t="s">
        <v>953</v>
      </c>
      <c r="CA5" s="2" t="s">
        <v>954</v>
      </c>
      <c r="CB5" s="2" t="s">
        <v>955</v>
      </c>
      <c r="CD5" s="2" t="s">
        <v>316</v>
      </c>
      <c r="CE5" s="2" t="s">
        <v>991</v>
      </c>
      <c r="CF5" s="2" t="s">
        <v>992</v>
      </c>
      <c r="CG5" s="120" t="s">
        <v>71</v>
      </c>
      <c r="CH5" s="2" t="s">
        <v>16</v>
      </c>
      <c r="CI5" s="2" t="s">
        <v>78</v>
      </c>
      <c r="CJ5" s="2" t="str">
        <f t="shared" si="5"/>
        <v>Financial Services_Mid-Market (100-999 employees)</v>
      </c>
      <c r="CK5" s="2" t="s">
        <v>1001</v>
      </c>
      <c r="CL5" s="2" t="s">
        <v>1002</v>
      </c>
    </row>
    <row r="6" spans="1:90" x14ac:dyDescent="0.2">
      <c r="A6" s="6"/>
      <c r="C6" s="2" t="s">
        <v>116</v>
      </c>
      <c r="G6" s="6"/>
      <c r="M6" s="4" t="s">
        <v>96</v>
      </c>
      <c r="N6" s="4" t="s">
        <v>55</v>
      </c>
      <c r="O6" s="4" t="s">
        <v>117</v>
      </c>
      <c r="Q6" s="4" t="s">
        <v>118</v>
      </c>
      <c r="R6" s="4" t="s">
        <v>119</v>
      </c>
      <c r="S6" s="4" t="s">
        <v>120</v>
      </c>
      <c r="U6" s="2" t="s">
        <v>849</v>
      </c>
      <c r="V6" s="2" t="s">
        <v>865</v>
      </c>
      <c r="W6" s="2" t="s">
        <v>121</v>
      </c>
      <c r="Y6" s="2" t="s">
        <v>122</v>
      </c>
      <c r="Z6" s="2" t="s">
        <v>123</v>
      </c>
      <c r="AA6" s="2" t="s">
        <v>377</v>
      </c>
      <c r="AB6" s="2" t="s">
        <v>125</v>
      </c>
      <c r="AD6" s="2" t="s">
        <v>898</v>
      </c>
      <c r="AE6" s="2" t="s">
        <v>107</v>
      </c>
      <c r="AF6" s="2" t="s">
        <v>108</v>
      </c>
      <c r="AG6" s="2" t="s">
        <v>109</v>
      </c>
      <c r="AH6" s="2" t="s">
        <v>110</v>
      </c>
      <c r="AI6" s="2" t="s">
        <v>111</v>
      </c>
      <c r="AK6" s="134" t="s">
        <v>161</v>
      </c>
      <c r="AL6" s="134" t="s">
        <v>162</v>
      </c>
      <c r="AM6" s="2" t="s">
        <v>69</v>
      </c>
      <c r="AN6" s="2" t="s">
        <v>128</v>
      </c>
      <c r="AO6" s="5" t="s">
        <v>71</v>
      </c>
      <c r="AP6" s="2" t="s">
        <v>717</v>
      </c>
      <c r="AQ6" s="2" t="s">
        <v>183</v>
      </c>
      <c r="AR6" s="2" t="str">
        <f t="shared" si="0"/>
        <v xml:space="preserve"> Critical Vulnerability Identification </v>
      </c>
      <c r="AS6" s="2" t="str">
        <f t="shared" si="1"/>
        <v>CVI_1</v>
      </c>
      <c r="AT6" s="2" t="str">
        <f t="shared" si="2"/>
        <v>Asset Discovery &amp; Classification</v>
      </c>
      <c r="AV6" s="2" t="s">
        <v>714</v>
      </c>
      <c r="AW6" s="2" t="s">
        <v>711</v>
      </c>
      <c r="AX6" s="2" t="str">
        <f t="shared" si="3"/>
        <v>Q1|FISMA</v>
      </c>
      <c r="AY6" s="13" t="s">
        <v>441</v>
      </c>
      <c r="AZ6" s="13" t="s">
        <v>1075</v>
      </c>
      <c r="BA6" s="2">
        <v>0.8</v>
      </c>
      <c r="BB6" s="5"/>
      <c r="BC6" s="2" t="s">
        <v>711</v>
      </c>
      <c r="BD6" s="5" t="s">
        <v>71</v>
      </c>
      <c r="BE6" s="2" t="s">
        <v>1041</v>
      </c>
      <c r="BF6" s="2" t="s">
        <v>1067</v>
      </c>
      <c r="BG6" s="2" t="str">
        <f t="shared" si="4"/>
        <v>NIST CSF 2.0GV</v>
      </c>
      <c r="BH6" s="2" t="s">
        <v>1108</v>
      </c>
      <c r="BJ6" s="2" t="s">
        <v>118</v>
      </c>
      <c r="BK6" s="2" t="s">
        <v>129</v>
      </c>
      <c r="BM6" s="2" t="s">
        <v>130</v>
      </c>
      <c r="BN6" s="2" t="s">
        <v>131</v>
      </c>
      <c r="BP6" s="2" t="s">
        <v>865</v>
      </c>
      <c r="BQ6" s="2" t="s">
        <v>909</v>
      </c>
      <c r="BR6" s="2" t="s">
        <v>910</v>
      </c>
      <c r="BS6" s="120" t="s">
        <v>71</v>
      </c>
      <c r="BT6" s="2" t="s">
        <v>865</v>
      </c>
      <c r="BU6" s="2" t="s">
        <v>909</v>
      </c>
      <c r="BV6" s="2" t="s">
        <v>934</v>
      </c>
      <c r="BW6" s="2" t="s">
        <v>930</v>
      </c>
      <c r="BY6" s="2" t="s">
        <v>865</v>
      </c>
      <c r="BZ6" s="2" t="s">
        <v>956</v>
      </c>
      <c r="CA6" s="2" t="s">
        <v>957</v>
      </c>
      <c r="CB6" s="2" t="s">
        <v>958</v>
      </c>
      <c r="CD6" s="2" t="s">
        <v>377</v>
      </c>
      <c r="CE6" s="2" t="s">
        <v>993</v>
      </c>
      <c r="CF6" s="2" t="s">
        <v>994</v>
      </c>
      <c r="CG6" s="120" t="s">
        <v>71</v>
      </c>
      <c r="CH6" s="2" t="s">
        <v>16</v>
      </c>
      <c r="CI6" s="2" t="s">
        <v>97</v>
      </c>
      <c r="CJ6" s="2" t="str">
        <f t="shared" si="5"/>
        <v>Financial Services_Small Business (&lt;100 employees)</v>
      </c>
      <c r="CK6" s="2" t="s">
        <v>1003</v>
      </c>
      <c r="CL6" s="2" t="s">
        <v>1004</v>
      </c>
    </row>
    <row r="7" spans="1:90" x14ac:dyDescent="0.2">
      <c r="C7" s="2" t="s">
        <v>132</v>
      </c>
      <c r="M7" s="4" t="s">
        <v>116</v>
      </c>
      <c r="N7" s="4" t="s">
        <v>55</v>
      </c>
      <c r="O7" s="4" t="s">
        <v>117</v>
      </c>
      <c r="Q7" s="4" t="s">
        <v>133</v>
      </c>
      <c r="R7" s="4" t="s">
        <v>133</v>
      </c>
      <c r="S7" s="4" t="s">
        <v>134</v>
      </c>
      <c r="U7" s="2" t="s">
        <v>850</v>
      </c>
      <c r="V7" s="2" t="s">
        <v>866</v>
      </c>
      <c r="W7" s="2" t="s">
        <v>59</v>
      </c>
      <c r="AD7" s="2" t="s">
        <v>887</v>
      </c>
      <c r="AE7" s="2" t="s">
        <v>126</v>
      </c>
      <c r="AF7" s="2" t="s">
        <v>64</v>
      </c>
      <c r="AG7" s="2" t="s">
        <v>127</v>
      </c>
      <c r="AH7" s="2" t="s">
        <v>68</v>
      </c>
      <c r="AI7" s="2" t="s">
        <v>90</v>
      </c>
      <c r="AK7" s="134" t="s">
        <v>155</v>
      </c>
      <c r="AL7" s="134" t="s">
        <v>163</v>
      </c>
      <c r="AM7" s="2" t="s">
        <v>62</v>
      </c>
      <c r="AN7" s="2" t="s">
        <v>135</v>
      </c>
      <c r="AO7" s="5" t="s">
        <v>71</v>
      </c>
      <c r="AP7" s="2" t="s">
        <v>718</v>
      </c>
      <c r="AQ7" s="2" t="s">
        <v>183</v>
      </c>
      <c r="AR7" s="2" t="str">
        <f t="shared" si="0"/>
        <v xml:space="preserve"> Critical Vulnerability Identification </v>
      </c>
      <c r="AS7" s="2" t="str">
        <f t="shared" si="1"/>
        <v>CVI_1</v>
      </c>
      <c r="AT7" s="2" t="str">
        <f t="shared" si="2"/>
        <v>Asset Discovery &amp; Classification</v>
      </c>
      <c r="AV7" s="2" t="s">
        <v>714</v>
      </c>
      <c r="AW7" s="2" t="s">
        <v>712</v>
      </c>
      <c r="AX7" s="2" t="str">
        <f t="shared" si="3"/>
        <v>Q1|FedRAMP</v>
      </c>
      <c r="AY7" s="13" t="s">
        <v>442</v>
      </c>
      <c r="AZ7" s="13" t="s">
        <v>1072</v>
      </c>
      <c r="BA7" s="2">
        <v>1</v>
      </c>
      <c r="BB7" s="5"/>
      <c r="BC7" s="2" t="s">
        <v>712</v>
      </c>
      <c r="BD7" s="5" t="s">
        <v>71</v>
      </c>
      <c r="BE7" s="2" t="s">
        <v>1041</v>
      </c>
      <c r="BF7" s="2" t="s">
        <v>1068</v>
      </c>
      <c r="BG7" s="2" t="str">
        <f t="shared" si="4"/>
        <v>NIST CSF 2.0PR</v>
      </c>
      <c r="BH7" s="2" t="s">
        <v>1102</v>
      </c>
      <c r="BJ7" s="2" t="s">
        <v>133</v>
      </c>
      <c r="BK7" s="2" t="s">
        <v>136</v>
      </c>
      <c r="BP7" s="2" t="s">
        <v>866</v>
      </c>
      <c r="BQ7" s="2" t="s">
        <v>911</v>
      </c>
      <c r="BR7" s="2" t="s">
        <v>912</v>
      </c>
      <c r="BS7" s="120" t="s">
        <v>71</v>
      </c>
      <c r="BT7" s="2" t="s">
        <v>866</v>
      </c>
      <c r="BU7" s="2" t="s">
        <v>911</v>
      </c>
      <c r="BV7" s="2" t="s">
        <v>935</v>
      </c>
      <c r="BW7" s="2" t="s">
        <v>936</v>
      </c>
      <c r="BY7" s="2" t="s">
        <v>866</v>
      </c>
      <c r="BZ7" s="2" t="s">
        <v>959</v>
      </c>
      <c r="CA7" s="2" t="s">
        <v>960</v>
      </c>
      <c r="CB7" s="2" t="s">
        <v>961</v>
      </c>
      <c r="CH7" s="2" t="s">
        <v>50</v>
      </c>
      <c r="CI7" s="2" t="s">
        <v>17</v>
      </c>
      <c r="CJ7" s="2" t="str">
        <f t="shared" si="5"/>
        <v>Healthcare_Fortune 500/Global Enterprise</v>
      </c>
      <c r="CK7" s="2" t="s">
        <v>999</v>
      </c>
      <c r="CL7" s="2" t="s">
        <v>1005</v>
      </c>
    </row>
    <row r="8" spans="1:90" x14ac:dyDescent="0.2">
      <c r="C8" s="2" t="s">
        <v>137</v>
      </c>
      <c r="M8" s="4" t="s">
        <v>132</v>
      </c>
      <c r="N8" s="4" t="s">
        <v>55</v>
      </c>
      <c r="O8" s="4" t="s">
        <v>72</v>
      </c>
      <c r="U8" s="2" t="s">
        <v>851</v>
      </c>
      <c r="V8" s="2" t="s">
        <v>867</v>
      </c>
      <c r="W8" s="2" t="s">
        <v>138</v>
      </c>
      <c r="AD8" s="2" t="s">
        <v>888</v>
      </c>
      <c r="AE8" s="2" t="s">
        <v>101</v>
      </c>
      <c r="AF8" s="2" t="s">
        <v>90</v>
      </c>
      <c r="AG8" s="2" t="s">
        <v>68</v>
      </c>
      <c r="AH8" s="2" t="s">
        <v>83</v>
      </c>
      <c r="AI8" s="2" t="s">
        <v>110</v>
      </c>
      <c r="AK8" s="134" t="s">
        <v>155</v>
      </c>
      <c r="AL8" s="134" t="s">
        <v>163</v>
      </c>
      <c r="AM8" s="2" t="s">
        <v>87</v>
      </c>
      <c r="AN8" s="2" t="s">
        <v>141</v>
      </c>
      <c r="AO8" s="5" t="s">
        <v>71</v>
      </c>
      <c r="AP8" s="2" t="s">
        <v>719</v>
      </c>
      <c r="AQ8" s="2" t="s">
        <v>183</v>
      </c>
      <c r="AR8" s="2" t="str">
        <f t="shared" si="0"/>
        <v xml:space="preserve"> Critical Vulnerability Identification </v>
      </c>
      <c r="AS8" s="2" t="str">
        <f t="shared" si="1"/>
        <v>CVI_1</v>
      </c>
      <c r="AT8" s="2" t="str">
        <f t="shared" si="2"/>
        <v>Asset Discovery &amp; Classification</v>
      </c>
      <c r="AV8" s="2" t="s">
        <v>714</v>
      </c>
      <c r="AW8" s="2" t="s">
        <v>1043</v>
      </c>
      <c r="AX8" s="2" t="str">
        <f t="shared" si="3"/>
        <v>Q1|ISO 27001</v>
      </c>
      <c r="AY8" s="13" t="s">
        <v>443</v>
      </c>
      <c r="AZ8" s="13" t="s">
        <v>1140</v>
      </c>
      <c r="BA8" s="2">
        <v>1</v>
      </c>
      <c r="BB8" s="5"/>
      <c r="BC8" s="2" t="s">
        <v>1043</v>
      </c>
      <c r="BD8" s="5" t="s">
        <v>71</v>
      </c>
      <c r="BE8" s="2" t="s">
        <v>1041</v>
      </c>
      <c r="BF8" s="2" t="s">
        <v>1069</v>
      </c>
      <c r="BG8" s="2" t="str">
        <f t="shared" si="4"/>
        <v>NIST CSF 2.0RC</v>
      </c>
      <c r="BH8" s="2" t="s">
        <v>1105</v>
      </c>
      <c r="BK8" s="6"/>
      <c r="BP8" s="2" t="s">
        <v>867</v>
      </c>
      <c r="BQ8" s="2" t="s">
        <v>913</v>
      </c>
      <c r="BR8" s="2" t="s">
        <v>914</v>
      </c>
      <c r="BS8" s="120" t="s">
        <v>71</v>
      </c>
      <c r="BT8" s="2" t="s">
        <v>867</v>
      </c>
      <c r="BU8" s="2" t="s">
        <v>913</v>
      </c>
      <c r="BV8" s="2" t="s">
        <v>937</v>
      </c>
      <c r="BW8" s="2" t="s">
        <v>932</v>
      </c>
      <c r="BY8" s="2" t="s">
        <v>867</v>
      </c>
      <c r="BZ8" s="2" t="s">
        <v>962</v>
      </c>
      <c r="CA8" s="2" t="s">
        <v>963</v>
      </c>
      <c r="CB8" s="2" t="s">
        <v>964</v>
      </c>
      <c r="CH8" s="2" t="s">
        <v>50</v>
      </c>
      <c r="CI8" s="2" t="s">
        <v>51</v>
      </c>
      <c r="CJ8" s="2" t="str">
        <f t="shared" si="5"/>
        <v>Healthcare_Large Enterprise (1000+ employees)</v>
      </c>
      <c r="CK8" s="2" t="s">
        <v>999</v>
      </c>
      <c r="CL8" s="2" t="s">
        <v>1005</v>
      </c>
    </row>
    <row r="9" spans="1:90" x14ac:dyDescent="0.2">
      <c r="C9" s="2" t="s">
        <v>142</v>
      </c>
      <c r="M9" s="4" t="s">
        <v>137</v>
      </c>
      <c r="N9" s="4" t="s">
        <v>55</v>
      </c>
      <c r="O9" s="4" t="s">
        <v>72</v>
      </c>
      <c r="U9" s="4" t="s">
        <v>852</v>
      </c>
      <c r="V9" s="4" t="s">
        <v>868</v>
      </c>
      <c r="W9" s="4" t="s">
        <v>121</v>
      </c>
      <c r="AD9" s="2" t="s">
        <v>889</v>
      </c>
      <c r="AE9" s="2" t="s">
        <v>111</v>
      </c>
      <c r="AF9" s="2" t="s">
        <v>139</v>
      </c>
      <c r="AG9" s="2" t="s">
        <v>107</v>
      </c>
      <c r="AH9" s="2" t="s">
        <v>108</v>
      </c>
      <c r="AI9" s="2" t="s">
        <v>140</v>
      </c>
      <c r="AK9" s="134" t="s">
        <v>155</v>
      </c>
      <c r="AL9" s="134" t="s">
        <v>163</v>
      </c>
      <c r="AM9" s="2" t="s">
        <v>105</v>
      </c>
      <c r="AN9" s="2" t="s">
        <v>144</v>
      </c>
      <c r="AO9" s="5" t="s">
        <v>71</v>
      </c>
      <c r="AP9" s="2" t="s">
        <v>720</v>
      </c>
      <c r="AQ9" s="2" t="s">
        <v>183</v>
      </c>
      <c r="AR9" s="2" t="str">
        <f t="shared" si="0"/>
        <v xml:space="preserve"> Critical Vulnerability Identification </v>
      </c>
      <c r="AS9" s="2" t="str">
        <f t="shared" si="1"/>
        <v>CVI_1</v>
      </c>
      <c r="AT9" s="2" t="str">
        <f t="shared" si="2"/>
        <v>Asset Discovery &amp; Classification</v>
      </c>
      <c r="AV9" s="2" t="s">
        <v>714</v>
      </c>
      <c r="AW9" s="2" t="s">
        <v>713</v>
      </c>
      <c r="AX9" s="2" t="str">
        <f t="shared" si="3"/>
        <v>Q1|SOC2</v>
      </c>
      <c r="AY9" s="13" t="s">
        <v>444</v>
      </c>
      <c r="AZ9" s="13" t="s">
        <v>1191</v>
      </c>
      <c r="BA9" s="2">
        <v>0.8</v>
      </c>
      <c r="BB9" s="5"/>
      <c r="BC9" s="2" t="s">
        <v>713</v>
      </c>
      <c r="BD9" s="5" t="s">
        <v>71</v>
      </c>
      <c r="BE9" s="2" t="s">
        <v>710</v>
      </c>
      <c r="BF9" s="2" t="s">
        <v>1092</v>
      </c>
      <c r="BG9" s="2" t="str">
        <f t="shared" si="4"/>
        <v>NIST PQC1</v>
      </c>
      <c r="BH9" s="2" t="s">
        <v>1101</v>
      </c>
      <c r="BP9" s="2" t="s">
        <v>868</v>
      </c>
      <c r="BQ9" s="2" t="s">
        <v>915</v>
      </c>
      <c r="BR9" s="2" t="s">
        <v>916</v>
      </c>
      <c r="BS9" s="120" t="s">
        <v>71</v>
      </c>
      <c r="BT9" s="2" t="s">
        <v>868</v>
      </c>
      <c r="BU9" s="2" t="s">
        <v>915</v>
      </c>
      <c r="BV9" s="2" t="s">
        <v>938</v>
      </c>
      <c r="BW9" s="2" t="s">
        <v>930</v>
      </c>
      <c r="BY9" s="2" t="s">
        <v>868</v>
      </c>
      <c r="BZ9" s="2" t="s">
        <v>965</v>
      </c>
      <c r="CA9" s="2" t="s">
        <v>966</v>
      </c>
      <c r="CB9" s="2" t="s">
        <v>967</v>
      </c>
      <c r="CH9" s="2" t="s">
        <v>50</v>
      </c>
      <c r="CI9" s="2" t="s">
        <v>78</v>
      </c>
      <c r="CJ9" s="2" t="str">
        <f t="shared" si="5"/>
        <v>Healthcare_Mid-Market (100-999 employees)</v>
      </c>
      <c r="CK9" s="2" t="s">
        <v>999</v>
      </c>
      <c r="CL9" s="2" t="s">
        <v>1005</v>
      </c>
    </row>
    <row r="10" spans="1:90" x14ac:dyDescent="0.2">
      <c r="C10" s="2" t="s">
        <v>145</v>
      </c>
      <c r="M10" s="4" t="s">
        <v>142</v>
      </c>
      <c r="N10" s="4" t="s">
        <v>55</v>
      </c>
      <c r="O10" s="4" t="s">
        <v>72</v>
      </c>
      <c r="U10" s="4" t="s">
        <v>853</v>
      </c>
      <c r="V10" s="4" t="s">
        <v>869</v>
      </c>
      <c r="W10" s="4" t="s">
        <v>59</v>
      </c>
      <c r="AD10" s="2" t="s">
        <v>890</v>
      </c>
      <c r="AE10" s="2" t="s">
        <v>111</v>
      </c>
      <c r="AF10" s="2" t="s">
        <v>139</v>
      </c>
      <c r="AG10" s="2" t="s">
        <v>107</v>
      </c>
      <c r="AH10" s="2" t="s">
        <v>108</v>
      </c>
      <c r="AI10" s="2" t="s">
        <v>140</v>
      </c>
      <c r="AK10" s="134" t="s">
        <v>155</v>
      </c>
      <c r="AL10" s="134" t="s">
        <v>163</v>
      </c>
      <c r="AM10" s="2" t="s">
        <v>124</v>
      </c>
      <c r="AN10" s="2" t="s">
        <v>146</v>
      </c>
      <c r="AO10" s="5" t="s">
        <v>71</v>
      </c>
      <c r="AP10" s="2" t="s">
        <v>721</v>
      </c>
      <c r="AQ10" s="2" t="s">
        <v>183</v>
      </c>
      <c r="AR10" s="2" t="str">
        <f t="shared" si="0"/>
        <v xml:space="preserve"> Critical Vulnerability Identification </v>
      </c>
      <c r="AS10" s="2" t="str">
        <f t="shared" si="1"/>
        <v>CVI_1</v>
      </c>
      <c r="AT10" s="2" t="str">
        <f t="shared" si="2"/>
        <v>Asset Discovery &amp; Classification</v>
      </c>
      <c r="AV10" s="2" t="s">
        <v>714</v>
      </c>
      <c r="AW10" s="2" t="s">
        <v>1044</v>
      </c>
      <c r="AX10" s="2" t="str">
        <f t="shared" si="3"/>
        <v>Q1|CIS v8</v>
      </c>
      <c r="AY10" s="13">
        <v>1.1000000000000001</v>
      </c>
      <c r="AZ10" s="13" t="s">
        <v>1092</v>
      </c>
      <c r="BA10" s="2">
        <v>1</v>
      </c>
      <c r="BB10" s="5"/>
      <c r="BC10" s="2" t="s">
        <v>1044</v>
      </c>
      <c r="BD10" s="5" t="s">
        <v>71</v>
      </c>
      <c r="BE10" s="2" t="s">
        <v>710</v>
      </c>
      <c r="BF10" s="2" t="s">
        <v>1093</v>
      </c>
      <c r="BG10" s="2" t="str">
        <f t="shared" si="4"/>
        <v>NIST PQC2</v>
      </c>
      <c r="BH10" s="2" t="s">
        <v>1103</v>
      </c>
      <c r="BP10" s="2" t="s">
        <v>869</v>
      </c>
      <c r="BQ10" s="2" t="s">
        <v>917</v>
      </c>
      <c r="BR10" s="2" t="s">
        <v>918</v>
      </c>
      <c r="BS10" s="120" t="s">
        <v>71</v>
      </c>
      <c r="BT10" s="2" t="s">
        <v>869</v>
      </c>
      <c r="BU10" s="2" t="s">
        <v>917</v>
      </c>
      <c r="BV10" s="2" t="s">
        <v>939</v>
      </c>
      <c r="BW10" s="2" t="s">
        <v>932</v>
      </c>
      <c r="BY10" s="2" t="s">
        <v>869</v>
      </c>
      <c r="BZ10" s="2" t="s">
        <v>968</v>
      </c>
      <c r="CA10" s="2" t="s">
        <v>969</v>
      </c>
      <c r="CB10" s="2" t="s">
        <v>970</v>
      </c>
      <c r="CH10" s="2" t="s">
        <v>50</v>
      </c>
      <c r="CI10" s="2" t="s">
        <v>97</v>
      </c>
      <c r="CJ10" s="2" t="str">
        <f t="shared" si="5"/>
        <v>Healthcare_Small Business (&lt;100 employees)</v>
      </c>
      <c r="CK10" s="2" t="s">
        <v>999</v>
      </c>
      <c r="CL10" s="2" t="s">
        <v>1005</v>
      </c>
    </row>
    <row r="11" spans="1:90" x14ac:dyDescent="0.2">
      <c r="C11" s="2" t="s">
        <v>147</v>
      </c>
      <c r="M11" s="4" t="s">
        <v>145</v>
      </c>
      <c r="N11" s="4" t="s">
        <v>55</v>
      </c>
      <c r="O11" s="4" t="s">
        <v>72</v>
      </c>
      <c r="U11" s="4" t="s">
        <v>854</v>
      </c>
      <c r="V11" s="4" t="s">
        <v>870</v>
      </c>
      <c r="W11" s="4" t="s">
        <v>138</v>
      </c>
      <c r="AD11" s="2" t="s">
        <v>891</v>
      </c>
      <c r="AE11" s="2" t="s">
        <v>66</v>
      </c>
      <c r="AF11" s="2" t="s">
        <v>118</v>
      </c>
      <c r="AG11" s="2" t="s">
        <v>65</v>
      </c>
      <c r="AH11" s="2" t="s">
        <v>143</v>
      </c>
      <c r="AI11" s="2" t="s">
        <v>65</v>
      </c>
      <c r="AP11" s="2" t="s">
        <v>722</v>
      </c>
      <c r="AQ11" s="2" t="s">
        <v>183</v>
      </c>
      <c r="AR11" s="2" t="str">
        <f t="shared" si="0"/>
        <v xml:space="preserve"> Critical Vulnerability Identification </v>
      </c>
      <c r="AS11" s="2" t="str">
        <f t="shared" si="1"/>
        <v>CVI_1</v>
      </c>
      <c r="AT11" s="2" t="str">
        <f t="shared" si="2"/>
        <v>Asset Discovery &amp; Classification</v>
      </c>
      <c r="AV11" s="2" t="s">
        <v>715</v>
      </c>
      <c r="AW11" s="2" t="s">
        <v>1041</v>
      </c>
      <c r="AX11" s="2" t="str">
        <f t="shared" si="3"/>
        <v>Q2|NIST CSF 2.0</v>
      </c>
      <c r="AY11" s="13" t="s">
        <v>445</v>
      </c>
      <c r="AZ11" s="13" t="s">
        <v>1064</v>
      </c>
      <c r="BA11" s="2">
        <v>1</v>
      </c>
      <c r="BE11" s="2" t="s">
        <v>710</v>
      </c>
      <c r="BF11" s="2" t="s">
        <v>1094</v>
      </c>
      <c r="BG11" s="2" t="str">
        <f t="shared" si="4"/>
        <v>NIST PQC3</v>
      </c>
      <c r="BH11" s="2" t="s">
        <v>1104</v>
      </c>
      <c r="BP11" s="2" t="s">
        <v>870</v>
      </c>
      <c r="BQ11" s="2" t="s">
        <v>919</v>
      </c>
      <c r="BR11" s="2" t="s">
        <v>920</v>
      </c>
      <c r="BS11" s="120" t="s">
        <v>71</v>
      </c>
      <c r="BT11" s="2" t="s">
        <v>870</v>
      </c>
      <c r="BU11" s="2" t="s">
        <v>919</v>
      </c>
      <c r="BV11" s="2" t="s">
        <v>940</v>
      </c>
      <c r="BW11" s="2" t="s">
        <v>930</v>
      </c>
      <c r="BY11" s="2" t="s">
        <v>870</v>
      </c>
      <c r="BZ11" s="2" t="s">
        <v>971</v>
      </c>
      <c r="CA11" s="2" t="s">
        <v>972</v>
      </c>
      <c r="CB11" s="2" t="s">
        <v>973</v>
      </c>
      <c r="CH11" s="2" t="s">
        <v>142</v>
      </c>
      <c r="CI11" s="2" t="s">
        <v>17</v>
      </c>
      <c r="CJ11" s="2" t="str">
        <f t="shared" si="5"/>
        <v>Government_Fortune 500/Global Enterprise</v>
      </c>
      <c r="CK11" s="2" t="s">
        <v>1006</v>
      </c>
      <c r="CL11" s="2" t="s">
        <v>1007</v>
      </c>
    </row>
    <row r="12" spans="1:90" x14ac:dyDescent="0.2">
      <c r="C12" s="2" t="s">
        <v>148</v>
      </c>
      <c r="M12" s="4" t="s">
        <v>147</v>
      </c>
      <c r="N12" s="4" t="s">
        <v>55</v>
      </c>
      <c r="O12" s="4" t="s">
        <v>72</v>
      </c>
      <c r="U12" s="2" t="s">
        <v>855</v>
      </c>
      <c r="V12" s="2" t="s">
        <v>871</v>
      </c>
      <c r="W12" s="2" t="s">
        <v>59</v>
      </c>
      <c r="AD12" s="2" t="s">
        <v>892</v>
      </c>
      <c r="AE12" s="2" t="s">
        <v>67</v>
      </c>
      <c r="AF12" s="2" t="s">
        <v>126</v>
      </c>
      <c r="AG12" s="2" t="s">
        <v>126</v>
      </c>
      <c r="AH12" s="2" t="s">
        <v>127</v>
      </c>
      <c r="AI12" s="2" t="s">
        <v>126</v>
      </c>
      <c r="AP12" s="2" t="s">
        <v>723</v>
      </c>
      <c r="AQ12" s="2" t="s">
        <v>183</v>
      </c>
      <c r="AR12" s="2" t="str">
        <f t="shared" si="0"/>
        <v xml:space="preserve"> Critical Vulnerability Identification </v>
      </c>
      <c r="AS12" s="2" t="str">
        <f t="shared" si="1"/>
        <v>CVI_1</v>
      </c>
      <c r="AT12" s="2" t="str">
        <f t="shared" si="2"/>
        <v>Asset Discovery &amp; Classification</v>
      </c>
      <c r="AV12" s="2" t="s">
        <v>715</v>
      </c>
      <c r="AW12" s="2" t="s">
        <v>710</v>
      </c>
      <c r="AX12" s="2" t="str">
        <f t="shared" si="3"/>
        <v>Q2|NIST PQC</v>
      </c>
      <c r="AY12" s="13" t="s">
        <v>439</v>
      </c>
      <c r="AZ12" s="13" t="s">
        <v>439</v>
      </c>
      <c r="BA12" s="2"/>
      <c r="BE12" s="2" t="s">
        <v>710</v>
      </c>
      <c r="BF12" s="2" t="s">
        <v>1095</v>
      </c>
      <c r="BG12" s="2" t="str">
        <f t="shared" si="4"/>
        <v>NIST PQC4</v>
      </c>
      <c r="BH12" s="2" t="s">
        <v>1108</v>
      </c>
      <c r="BP12" s="2" t="s">
        <v>871</v>
      </c>
      <c r="BQ12" s="2" t="s">
        <v>921</v>
      </c>
      <c r="BR12" s="2" t="s">
        <v>922</v>
      </c>
      <c r="BS12" s="120" t="s">
        <v>71</v>
      </c>
      <c r="BT12" s="2" t="s">
        <v>871</v>
      </c>
      <c r="BU12" s="2" t="s">
        <v>921</v>
      </c>
      <c r="BV12" s="2" t="s">
        <v>941</v>
      </c>
      <c r="BW12" s="2" t="s">
        <v>936</v>
      </c>
      <c r="BY12" s="2" t="s">
        <v>871</v>
      </c>
      <c r="BZ12" s="2" t="s">
        <v>974</v>
      </c>
      <c r="CA12" s="2" t="s">
        <v>975</v>
      </c>
      <c r="CB12" s="2" t="s">
        <v>976</v>
      </c>
      <c r="CH12" s="2" t="s">
        <v>142</v>
      </c>
      <c r="CI12" s="2" t="s">
        <v>51</v>
      </c>
      <c r="CJ12" s="2" t="str">
        <f t="shared" si="5"/>
        <v>Government_Large Enterprise (1000+ employees)</v>
      </c>
      <c r="CK12" s="2" t="s">
        <v>1006</v>
      </c>
      <c r="CL12" s="2" t="s">
        <v>1007</v>
      </c>
    </row>
    <row r="13" spans="1:90" x14ac:dyDescent="0.2">
      <c r="C13" s="2" t="s">
        <v>150</v>
      </c>
      <c r="M13" s="4" t="s">
        <v>148</v>
      </c>
      <c r="N13" s="4" t="s">
        <v>55</v>
      </c>
      <c r="O13" s="4" t="s">
        <v>72</v>
      </c>
      <c r="U13" s="2" t="s">
        <v>856</v>
      </c>
      <c r="V13" s="2" t="s">
        <v>872</v>
      </c>
      <c r="W13" s="2" t="s">
        <v>59</v>
      </c>
      <c r="AD13" s="2" t="s">
        <v>893</v>
      </c>
      <c r="AE13" s="2" t="s">
        <v>83</v>
      </c>
      <c r="AF13" s="2" t="s">
        <v>109</v>
      </c>
      <c r="AG13" s="2" t="s">
        <v>109</v>
      </c>
      <c r="AH13" s="2" t="s">
        <v>90</v>
      </c>
      <c r="AI13" s="2" t="s">
        <v>109</v>
      </c>
      <c r="AP13" s="2" t="s">
        <v>724</v>
      </c>
      <c r="AQ13" s="2" t="s">
        <v>183</v>
      </c>
      <c r="AR13" s="2" t="str">
        <f t="shared" si="0"/>
        <v xml:space="preserve"> Critical Vulnerability Identification </v>
      </c>
      <c r="AS13" s="2" t="str">
        <f>AQ12 &amp; "_2"</f>
        <v>CVI_2</v>
      </c>
      <c r="AT13" s="2" t="str">
        <f t="shared" si="2"/>
        <v>Vulnerability Scanning &amp; Analysis</v>
      </c>
      <c r="AV13" s="2" t="s">
        <v>715</v>
      </c>
      <c r="AW13" s="2" t="s">
        <v>1042</v>
      </c>
      <c r="AX13" s="2" t="str">
        <f t="shared" si="3"/>
        <v>Q2|CMMC 2.0</v>
      </c>
      <c r="AY13" s="13" t="s">
        <v>446</v>
      </c>
      <c r="AZ13" s="13" t="s">
        <v>1070</v>
      </c>
      <c r="BA13" s="2">
        <v>0.8</v>
      </c>
      <c r="BE13" s="2" t="s">
        <v>710</v>
      </c>
      <c r="BF13" s="2" t="s">
        <v>1096</v>
      </c>
      <c r="BG13" s="2" t="str">
        <f t="shared" si="4"/>
        <v>NIST PQC5</v>
      </c>
      <c r="BH13" s="2" t="s">
        <v>1102</v>
      </c>
      <c r="BP13" s="2" t="s">
        <v>872</v>
      </c>
      <c r="BQ13" s="2" t="s">
        <v>923</v>
      </c>
      <c r="BR13" s="2" t="s">
        <v>924</v>
      </c>
      <c r="BS13" s="120" t="s">
        <v>71</v>
      </c>
      <c r="BT13" s="2" t="s">
        <v>872</v>
      </c>
      <c r="BU13" s="2" t="s">
        <v>923</v>
      </c>
      <c r="BV13" s="2" t="s">
        <v>942</v>
      </c>
      <c r="BW13" s="2" t="s">
        <v>930</v>
      </c>
      <c r="BY13" s="2" t="s">
        <v>872</v>
      </c>
      <c r="BZ13" s="2" t="s">
        <v>977</v>
      </c>
      <c r="CA13" s="2" t="s">
        <v>978</v>
      </c>
      <c r="CB13" s="2" t="s">
        <v>979</v>
      </c>
      <c r="CH13" s="2" t="s">
        <v>142</v>
      </c>
      <c r="CI13" s="2" t="s">
        <v>78</v>
      </c>
      <c r="CJ13" s="2" t="str">
        <f t="shared" si="5"/>
        <v>Government_Mid-Market (100-999 employees)</v>
      </c>
      <c r="CK13" s="2" t="s">
        <v>1006</v>
      </c>
      <c r="CL13" s="2" t="s">
        <v>1007</v>
      </c>
    </row>
    <row r="14" spans="1:90" x14ac:dyDescent="0.2">
      <c r="C14" s="6"/>
      <c r="M14" s="4" t="s">
        <v>150</v>
      </c>
      <c r="N14" s="4" t="s">
        <v>55</v>
      </c>
      <c r="O14" s="4" t="s">
        <v>72</v>
      </c>
      <c r="U14" s="2" t="s">
        <v>857</v>
      </c>
      <c r="V14" s="2" t="s">
        <v>873</v>
      </c>
      <c r="W14" s="2" t="s">
        <v>55</v>
      </c>
      <c r="AD14" s="2" t="s">
        <v>894</v>
      </c>
      <c r="AE14" s="2" t="s">
        <v>83</v>
      </c>
      <c r="AF14" s="2" t="s">
        <v>109</v>
      </c>
      <c r="AG14" s="2" t="s">
        <v>109</v>
      </c>
      <c r="AH14" s="2" t="s">
        <v>90</v>
      </c>
      <c r="AI14" s="2" t="s">
        <v>109</v>
      </c>
      <c r="AP14" s="2" t="s">
        <v>725</v>
      </c>
      <c r="AQ14" s="2" t="s">
        <v>183</v>
      </c>
      <c r="AR14" s="2" t="str">
        <f t="shared" si="0"/>
        <v xml:space="preserve"> Critical Vulnerability Identification </v>
      </c>
      <c r="AS14" s="2" t="str">
        <f t="shared" ref="AS14:AS22" si="6">AQ13 &amp; "_2"</f>
        <v>CVI_2</v>
      </c>
      <c r="AT14" s="2" t="str">
        <f t="shared" si="2"/>
        <v>Vulnerability Scanning &amp; Analysis</v>
      </c>
      <c r="AV14" s="2" t="s">
        <v>715</v>
      </c>
      <c r="AW14" s="2" t="s">
        <v>711</v>
      </c>
      <c r="AX14" s="2" t="str">
        <f t="shared" si="3"/>
        <v>Q2|FISMA</v>
      </c>
      <c r="AY14" s="13" t="s">
        <v>447</v>
      </c>
      <c r="AZ14" s="13" t="s">
        <v>1073</v>
      </c>
      <c r="BA14" s="2">
        <v>1</v>
      </c>
      <c r="BE14" s="2" t="s">
        <v>710</v>
      </c>
      <c r="BF14" s="2" t="s">
        <v>1097</v>
      </c>
      <c r="BG14" s="2" t="str">
        <f t="shared" si="4"/>
        <v>NIST PQC6</v>
      </c>
      <c r="BH14" s="2" t="s">
        <v>1105</v>
      </c>
      <c r="BP14" s="2" t="s">
        <v>873</v>
      </c>
      <c r="BQ14" s="2" t="s">
        <v>925</v>
      </c>
      <c r="BR14" s="2" t="s">
        <v>926</v>
      </c>
      <c r="BS14" s="120" t="s">
        <v>71</v>
      </c>
      <c r="BT14" s="2" t="s">
        <v>873</v>
      </c>
      <c r="BU14" s="2" t="s">
        <v>925</v>
      </c>
      <c r="BV14" s="2" t="s">
        <v>943</v>
      </c>
      <c r="BW14" s="2" t="s">
        <v>930</v>
      </c>
      <c r="BY14" s="2" t="s">
        <v>873</v>
      </c>
      <c r="BZ14" s="2" t="s">
        <v>980</v>
      </c>
      <c r="CA14" s="2" t="s">
        <v>981</v>
      </c>
      <c r="CB14" s="2" t="s">
        <v>982</v>
      </c>
      <c r="CH14" s="2" t="s">
        <v>142</v>
      </c>
      <c r="CI14" s="2" t="s">
        <v>97</v>
      </c>
      <c r="CJ14" s="2" t="str">
        <f t="shared" si="5"/>
        <v>Government_Small Business (&lt;100 employees)</v>
      </c>
      <c r="CK14" s="2" t="s">
        <v>1006</v>
      </c>
      <c r="CL14" s="2" t="s">
        <v>1007</v>
      </c>
    </row>
    <row r="15" spans="1:90" x14ac:dyDescent="0.2">
      <c r="M15" s="2" t="s">
        <v>19</v>
      </c>
      <c r="N15" s="2" t="s">
        <v>138</v>
      </c>
      <c r="O15" s="2" t="s">
        <v>56</v>
      </c>
      <c r="V15" s="6"/>
      <c r="AD15" s="2" t="s">
        <v>899</v>
      </c>
      <c r="AE15" s="2" t="s">
        <v>110</v>
      </c>
      <c r="AF15" s="2" t="s">
        <v>107</v>
      </c>
      <c r="AG15" s="2" t="s">
        <v>83</v>
      </c>
      <c r="AH15" s="2" t="s">
        <v>110</v>
      </c>
      <c r="AI15" s="2" t="s">
        <v>108</v>
      </c>
      <c r="AP15" s="2" t="s">
        <v>726</v>
      </c>
      <c r="AQ15" s="2" t="s">
        <v>183</v>
      </c>
      <c r="AR15" s="2" t="str">
        <f t="shared" si="0"/>
        <v xml:space="preserve"> Critical Vulnerability Identification </v>
      </c>
      <c r="AS15" s="2" t="str">
        <f t="shared" si="6"/>
        <v>CVI_2</v>
      </c>
      <c r="AT15" s="2" t="str">
        <f t="shared" si="2"/>
        <v>Vulnerability Scanning &amp; Analysis</v>
      </c>
      <c r="AV15" s="2" t="s">
        <v>715</v>
      </c>
      <c r="AW15" s="2" t="s">
        <v>712</v>
      </c>
      <c r="AX15" s="2" t="str">
        <f t="shared" si="3"/>
        <v>Q2|FedRAMP</v>
      </c>
      <c r="AY15" s="13" t="s">
        <v>447</v>
      </c>
      <c r="AZ15" s="13" t="s">
        <v>1073</v>
      </c>
      <c r="BA15" s="2">
        <v>1</v>
      </c>
      <c r="BE15" s="2" t="s">
        <v>1042</v>
      </c>
      <c r="BF15" s="2" t="s">
        <v>1070</v>
      </c>
      <c r="BG15" s="2" t="str">
        <f t="shared" si="4"/>
        <v>CMMC 2.0AC</v>
      </c>
      <c r="BH15" s="2" t="s">
        <v>1154</v>
      </c>
      <c r="CH15" s="2" t="s">
        <v>77</v>
      </c>
      <c r="CI15" s="2" t="s">
        <v>17</v>
      </c>
      <c r="CJ15" s="2" t="str">
        <f t="shared" si="5"/>
        <v>Defense/Military_Fortune 500/Global Enterprise</v>
      </c>
      <c r="CK15" s="2" t="s">
        <v>1008</v>
      </c>
      <c r="CL15" s="2" t="s">
        <v>1009</v>
      </c>
    </row>
    <row r="16" spans="1:90" x14ac:dyDescent="0.2">
      <c r="M16" s="2" t="s">
        <v>53</v>
      </c>
      <c r="N16" s="2" t="s">
        <v>138</v>
      </c>
      <c r="O16" s="2" t="s">
        <v>117</v>
      </c>
      <c r="AD16" s="6"/>
      <c r="AP16" s="2" t="s">
        <v>727</v>
      </c>
      <c r="AQ16" s="2" t="s">
        <v>183</v>
      </c>
      <c r="AR16" s="2" t="str">
        <f t="shared" si="0"/>
        <v xml:space="preserve"> Critical Vulnerability Identification </v>
      </c>
      <c r="AS16" s="2" t="str">
        <f t="shared" si="6"/>
        <v>CVI_2</v>
      </c>
      <c r="AT16" s="2" t="str">
        <f t="shared" si="2"/>
        <v>Vulnerability Scanning &amp; Analysis</v>
      </c>
      <c r="AV16" s="2" t="s">
        <v>715</v>
      </c>
      <c r="AW16" s="2" t="s">
        <v>1043</v>
      </c>
      <c r="AX16" s="2" t="str">
        <f t="shared" si="3"/>
        <v>Q2|ISO 27001</v>
      </c>
      <c r="AY16" s="13" t="s">
        <v>448</v>
      </c>
      <c r="AZ16" s="13" t="s">
        <v>1140</v>
      </c>
      <c r="BA16" s="2">
        <v>1</v>
      </c>
      <c r="BE16" s="2" t="s">
        <v>1042</v>
      </c>
      <c r="BF16" s="2" t="s">
        <v>1110</v>
      </c>
      <c r="BG16" s="2" t="str">
        <f t="shared" si="4"/>
        <v>CMMC 2.0AT</v>
      </c>
      <c r="BH16" s="2" t="s">
        <v>1114</v>
      </c>
      <c r="CH16" s="2" t="s">
        <v>77</v>
      </c>
      <c r="CI16" s="2" t="s">
        <v>51</v>
      </c>
      <c r="CJ16" s="2" t="str">
        <f t="shared" si="5"/>
        <v>Defense/Military_Large Enterprise (1000+ employees)</v>
      </c>
      <c r="CK16" s="2" t="s">
        <v>1008</v>
      </c>
      <c r="CL16" s="2" t="s">
        <v>1009</v>
      </c>
    </row>
    <row r="17" spans="13:90" x14ac:dyDescent="0.2">
      <c r="M17" s="2" t="s">
        <v>80</v>
      </c>
      <c r="N17" s="2" t="s">
        <v>138</v>
      </c>
      <c r="O17" s="2" t="s">
        <v>72</v>
      </c>
      <c r="AP17" s="2" t="s">
        <v>728</v>
      </c>
      <c r="AQ17" s="2" t="s">
        <v>183</v>
      </c>
      <c r="AR17" s="2" t="str">
        <f t="shared" si="0"/>
        <v xml:space="preserve"> Critical Vulnerability Identification </v>
      </c>
      <c r="AS17" s="2" t="str">
        <f t="shared" si="6"/>
        <v>CVI_2</v>
      </c>
      <c r="AT17" s="2" t="str">
        <f t="shared" si="2"/>
        <v>Vulnerability Scanning &amp; Analysis</v>
      </c>
      <c r="AV17" s="2" t="s">
        <v>715</v>
      </c>
      <c r="AW17" s="2" t="s">
        <v>713</v>
      </c>
      <c r="AX17" s="2" t="str">
        <f t="shared" si="3"/>
        <v>Q2|SOC2</v>
      </c>
      <c r="AY17" s="13" t="s">
        <v>449</v>
      </c>
      <c r="AZ17" s="13" t="s">
        <v>1191</v>
      </c>
      <c r="BA17" s="2">
        <v>0.8</v>
      </c>
      <c r="BE17" s="2" t="s">
        <v>1042</v>
      </c>
      <c r="BF17" s="2" t="s">
        <v>1081</v>
      </c>
      <c r="BG17" s="2" t="str">
        <f t="shared" si="4"/>
        <v>CMMC 2.0AU</v>
      </c>
      <c r="BH17" s="2" t="s">
        <v>1115</v>
      </c>
      <c r="CH17" s="2" t="s">
        <v>77</v>
      </c>
      <c r="CI17" s="2" t="s">
        <v>78</v>
      </c>
      <c r="CJ17" s="2" t="str">
        <f t="shared" si="5"/>
        <v>Defense/Military_Mid-Market (100-999 employees)</v>
      </c>
      <c r="CK17" s="2" t="s">
        <v>1008</v>
      </c>
      <c r="CL17" s="2" t="s">
        <v>1009</v>
      </c>
    </row>
    <row r="18" spans="13:90" x14ac:dyDescent="0.2">
      <c r="M18" s="2" t="s">
        <v>99</v>
      </c>
      <c r="N18" s="2" t="s">
        <v>138</v>
      </c>
      <c r="O18" s="2" t="s">
        <v>72</v>
      </c>
      <c r="AP18" s="2" t="s">
        <v>729</v>
      </c>
      <c r="AQ18" s="2" t="s">
        <v>183</v>
      </c>
      <c r="AR18" s="2" t="str">
        <f t="shared" si="0"/>
        <v xml:space="preserve"> Critical Vulnerability Identification </v>
      </c>
      <c r="AS18" s="2" t="str">
        <f t="shared" si="6"/>
        <v>CVI_2</v>
      </c>
      <c r="AT18" s="2" t="str">
        <f t="shared" si="2"/>
        <v>Vulnerability Scanning &amp; Analysis</v>
      </c>
      <c r="AV18" s="2" t="s">
        <v>715</v>
      </c>
      <c r="AW18" s="2" t="s">
        <v>1044</v>
      </c>
      <c r="AX18" s="2" t="str">
        <f t="shared" si="3"/>
        <v>Q2|CIS v8</v>
      </c>
      <c r="AY18" s="13">
        <v>2.1</v>
      </c>
      <c r="AZ18" s="13" t="s">
        <v>1093</v>
      </c>
      <c r="BA18" s="2">
        <v>0.8</v>
      </c>
      <c r="BE18" s="2" t="s">
        <v>1042</v>
      </c>
      <c r="BF18" s="2" t="s">
        <v>1076</v>
      </c>
      <c r="BG18" s="2" t="str">
        <f t="shared" si="4"/>
        <v>CMMC 2.0CA</v>
      </c>
      <c r="BH18" s="2" t="s">
        <v>1116</v>
      </c>
      <c r="CH18" s="2" t="s">
        <v>77</v>
      </c>
      <c r="CI18" s="2" t="s">
        <v>97</v>
      </c>
      <c r="CJ18" s="2" t="str">
        <f t="shared" si="5"/>
        <v>Defense/Military_Small Business (&lt;100 employees)</v>
      </c>
      <c r="CK18" s="2" t="s">
        <v>1008</v>
      </c>
      <c r="CL18" s="2" t="s">
        <v>1009</v>
      </c>
    </row>
    <row r="19" spans="13:90" x14ac:dyDescent="0.2">
      <c r="M19" s="4" t="s">
        <v>20</v>
      </c>
      <c r="N19" s="4" t="s">
        <v>149</v>
      </c>
      <c r="O19" s="4" t="s">
        <v>56</v>
      </c>
      <c r="AP19" s="2" t="s">
        <v>730</v>
      </c>
      <c r="AQ19" s="2" t="s">
        <v>183</v>
      </c>
      <c r="AR19" s="2" t="str">
        <f t="shared" si="0"/>
        <v xml:space="preserve"> Critical Vulnerability Identification </v>
      </c>
      <c r="AS19" s="2" t="str">
        <f t="shared" si="6"/>
        <v>CVI_2</v>
      </c>
      <c r="AT19" s="2" t="str">
        <f t="shared" si="2"/>
        <v>Vulnerability Scanning &amp; Analysis</v>
      </c>
      <c r="AV19" s="2" t="s">
        <v>716</v>
      </c>
      <c r="AW19" s="2" t="s">
        <v>1041</v>
      </c>
      <c r="AX19" s="2" t="str">
        <f t="shared" si="3"/>
        <v>Q3|NIST CSF 2.0</v>
      </c>
      <c r="AY19" s="13" t="s">
        <v>450</v>
      </c>
      <c r="AZ19" s="13" t="s">
        <v>1064</v>
      </c>
      <c r="BA19" s="2">
        <v>1</v>
      </c>
      <c r="BE19" s="2" t="s">
        <v>1042</v>
      </c>
      <c r="BF19" s="2" t="s">
        <v>1072</v>
      </c>
      <c r="BG19" s="2" t="str">
        <f t="shared" si="4"/>
        <v>CMMC 2.0CM</v>
      </c>
      <c r="BH19" s="2" t="s">
        <v>1117</v>
      </c>
      <c r="CH19" s="2" t="s">
        <v>116</v>
      </c>
      <c r="CI19" s="2" t="s">
        <v>17</v>
      </c>
      <c r="CJ19" s="2" t="str">
        <f>_xlfn.CONCAT(CH19,"_",CI19)</f>
        <v>Energy/Utilities_Fortune 500/Global Enterprise</v>
      </c>
      <c r="CK19" s="2" t="s">
        <v>1010</v>
      </c>
      <c r="CL19" s="2" t="s">
        <v>1011</v>
      </c>
    </row>
    <row r="20" spans="13:90" x14ac:dyDescent="0.2">
      <c r="M20" s="4" t="s">
        <v>54</v>
      </c>
      <c r="N20" s="4" t="s">
        <v>149</v>
      </c>
      <c r="O20" s="4" t="s">
        <v>117</v>
      </c>
      <c r="AP20" s="2" t="s">
        <v>731</v>
      </c>
      <c r="AQ20" s="2" t="s">
        <v>183</v>
      </c>
      <c r="AR20" s="2" t="str">
        <f t="shared" si="0"/>
        <v xml:space="preserve"> Critical Vulnerability Identification </v>
      </c>
      <c r="AS20" s="2" t="str">
        <f t="shared" si="6"/>
        <v>CVI_2</v>
      </c>
      <c r="AT20" s="2" t="str">
        <f t="shared" si="2"/>
        <v>Vulnerability Scanning &amp; Analysis</v>
      </c>
      <c r="AV20" s="2" t="s">
        <v>716</v>
      </c>
      <c r="AW20" s="2" t="s">
        <v>710</v>
      </c>
      <c r="AX20" s="2" t="str">
        <f t="shared" si="3"/>
        <v>Q3|NIST PQC</v>
      </c>
      <c r="AY20" s="13" t="s">
        <v>451</v>
      </c>
      <c r="AZ20" s="13" t="s">
        <v>1092</v>
      </c>
      <c r="BA20" s="2">
        <v>1</v>
      </c>
      <c r="BE20" s="2" t="s">
        <v>1042</v>
      </c>
      <c r="BF20" s="2" t="s">
        <v>1079</v>
      </c>
      <c r="BG20" s="2" t="str">
        <f t="shared" si="4"/>
        <v>CMMC 2.0CP</v>
      </c>
      <c r="BH20" s="2" t="s">
        <v>1118</v>
      </c>
      <c r="CH20" s="2" t="s">
        <v>116</v>
      </c>
      <c r="CI20" s="2" t="s">
        <v>51</v>
      </c>
      <c r="CJ20" s="2" t="str">
        <f>_xlfn.CONCAT(CH20,"_",CI20)</f>
        <v>Energy/Utilities_Large Enterprise (1000+ employees)</v>
      </c>
      <c r="CK20" s="2" t="s">
        <v>1010</v>
      </c>
      <c r="CL20" s="2" t="s">
        <v>1011</v>
      </c>
    </row>
    <row r="21" spans="13:90" x14ac:dyDescent="0.2">
      <c r="M21" s="4" t="s">
        <v>81</v>
      </c>
      <c r="N21" s="4" t="s">
        <v>149</v>
      </c>
      <c r="O21" s="4" t="s">
        <v>72</v>
      </c>
      <c r="AP21" s="2" t="s">
        <v>732</v>
      </c>
      <c r="AQ21" s="2" t="s">
        <v>183</v>
      </c>
      <c r="AR21" s="2" t="str">
        <f t="shared" si="0"/>
        <v xml:space="preserve"> Critical Vulnerability Identification </v>
      </c>
      <c r="AS21" s="2" t="str">
        <f t="shared" si="6"/>
        <v>CVI_2</v>
      </c>
      <c r="AT21" s="2" t="str">
        <f t="shared" si="2"/>
        <v>Vulnerability Scanning &amp; Analysis</v>
      </c>
      <c r="AV21" s="2" t="s">
        <v>716</v>
      </c>
      <c r="AW21" s="2" t="s">
        <v>1042</v>
      </c>
      <c r="AX21" s="2" t="str">
        <f t="shared" si="3"/>
        <v>Q3|CMMC 2.0</v>
      </c>
      <c r="AY21" s="13" t="s">
        <v>452</v>
      </c>
      <c r="AZ21" s="13" t="s">
        <v>1071</v>
      </c>
      <c r="BA21" s="2">
        <v>1</v>
      </c>
      <c r="BE21" s="2" t="s">
        <v>1042</v>
      </c>
      <c r="BF21" s="2" t="s">
        <v>1080</v>
      </c>
      <c r="BG21" s="2" t="str">
        <f t="shared" si="4"/>
        <v>CMMC 2.0IA</v>
      </c>
      <c r="BH21" s="2" t="s">
        <v>1119</v>
      </c>
      <c r="CH21" s="2" t="s">
        <v>147</v>
      </c>
      <c r="CI21" s="2" t="s">
        <v>17</v>
      </c>
      <c r="CJ21" s="2" t="str">
        <f>_xlfn.CONCAT(CH21,"_",CI21)</f>
        <v>Telecommunications_Fortune 500/Global Enterprise</v>
      </c>
      <c r="CK21" s="2" t="s">
        <v>1010</v>
      </c>
      <c r="CL21" s="2" t="s">
        <v>1011</v>
      </c>
    </row>
    <row r="22" spans="13:90" x14ac:dyDescent="0.2">
      <c r="M22" s="4" t="s">
        <v>100</v>
      </c>
      <c r="N22" s="4" t="s">
        <v>149</v>
      </c>
      <c r="O22" s="4" t="s">
        <v>72</v>
      </c>
      <c r="AP22" s="2" t="s">
        <v>733</v>
      </c>
      <c r="AQ22" s="2" t="s">
        <v>183</v>
      </c>
      <c r="AR22" s="2" t="str">
        <f t="shared" si="0"/>
        <v xml:space="preserve"> Critical Vulnerability Identification </v>
      </c>
      <c r="AS22" s="2" t="str">
        <f t="shared" si="6"/>
        <v>CVI_2</v>
      </c>
      <c r="AT22" s="2" t="str">
        <f t="shared" si="2"/>
        <v>Vulnerability Scanning &amp; Analysis</v>
      </c>
      <c r="AV22" s="2" t="s">
        <v>716</v>
      </c>
      <c r="AW22" s="2" t="s">
        <v>711</v>
      </c>
      <c r="AX22" s="2" t="str">
        <f t="shared" si="3"/>
        <v>Q3|FISMA</v>
      </c>
      <c r="AY22" s="13" t="s">
        <v>453</v>
      </c>
      <c r="AZ22" s="13" t="s">
        <v>1071</v>
      </c>
      <c r="BA22" s="2">
        <v>1</v>
      </c>
      <c r="BE22" s="2" t="s">
        <v>1042</v>
      </c>
      <c r="BF22" s="2" t="s">
        <v>1078</v>
      </c>
      <c r="BG22" s="2" t="str">
        <f t="shared" si="4"/>
        <v>CMMC 2.0IR</v>
      </c>
      <c r="BH22" s="2" t="s">
        <v>1120</v>
      </c>
      <c r="CH22" s="2" t="s">
        <v>147</v>
      </c>
      <c r="CI22" s="2" t="s">
        <v>51</v>
      </c>
      <c r="CJ22" s="2" t="str">
        <f>_xlfn.CONCAT(CH22,"_",CI22)</f>
        <v>Telecommunications_Large Enterprise (1000+ employees)</v>
      </c>
      <c r="CK22" s="2" t="s">
        <v>1010</v>
      </c>
      <c r="CL22" s="2" t="s">
        <v>1011</v>
      </c>
    </row>
    <row r="23" spans="13:90" x14ac:dyDescent="0.2">
      <c r="M23" s="2" t="s">
        <v>18</v>
      </c>
      <c r="N23" s="2" t="s">
        <v>151</v>
      </c>
      <c r="O23" s="2" t="s">
        <v>56</v>
      </c>
      <c r="AP23" s="2" t="s">
        <v>734</v>
      </c>
      <c r="AQ23" s="2" t="s">
        <v>183</v>
      </c>
      <c r="AR23" s="2" t="str">
        <f t="shared" si="0"/>
        <v xml:space="preserve"> Critical Vulnerability Identification </v>
      </c>
      <c r="AS23" s="2" t="str">
        <f>AQ21 &amp; "_3"</f>
        <v>CVI_3</v>
      </c>
      <c r="AT23" s="2" t="str">
        <f t="shared" si="2"/>
        <v>Risk Prioritization &amp; Tracking</v>
      </c>
      <c r="AV23" s="2" t="s">
        <v>716</v>
      </c>
      <c r="AW23" s="2" t="s">
        <v>712</v>
      </c>
      <c r="AX23" s="2" t="str">
        <f t="shared" si="3"/>
        <v>Q3|FedRAMP</v>
      </c>
      <c r="AY23" s="13" t="s">
        <v>453</v>
      </c>
      <c r="AZ23" s="13" t="s">
        <v>1071</v>
      </c>
      <c r="BA23" s="2">
        <v>1</v>
      </c>
      <c r="BE23" s="2" t="s">
        <v>1042</v>
      </c>
      <c r="BF23" s="2" t="s">
        <v>1111</v>
      </c>
      <c r="BG23" s="2" t="str">
        <f t="shared" si="4"/>
        <v>CMMC 2.0MA</v>
      </c>
      <c r="BH23" s="2" t="s">
        <v>1121</v>
      </c>
      <c r="CH23" s="2" t="s">
        <v>96</v>
      </c>
      <c r="CI23" s="2" t="s">
        <v>17</v>
      </c>
      <c r="CJ23" s="2" t="str">
        <f>_xlfn.CONCAT(CH23,"_",CI23)</f>
        <v>Technology_Fortune 500/Global Enterprise</v>
      </c>
      <c r="CK23" s="2" t="s">
        <v>1012</v>
      </c>
      <c r="CL23" s="2" t="s">
        <v>1013</v>
      </c>
    </row>
    <row r="24" spans="13:90" x14ac:dyDescent="0.2">
      <c r="M24" s="2" t="s">
        <v>52</v>
      </c>
      <c r="N24" s="2" t="s">
        <v>151</v>
      </c>
      <c r="O24" s="2" t="s">
        <v>117</v>
      </c>
      <c r="AP24" s="2" t="s">
        <v>735</v>
      </c>
      <c r="AQ24" s="2" t="s">
        <v>183</v>
      </c>
      <c r="AR24" s="2" t="str">
        <f t="shared" si="0"/>
        <v xml:space="preserve"> Critical Vulnerability Identification </v>
      </c>
      <c r="AS24" s="2" t="str">
        <f t="shared" ref="AS24:AS32" si="7">AQ22 &amp; "_3"</f>
        <v>CVI_3</v>
      </c>
      <c r="AT24" s="2" t="str">
        <f t="shared" si="2"/>
        <v>Risk Prioritization &amp; Tracking</v>
      </c>
      <c r="AV24" s="2" t="s">
        <v>716</v>
      </c>
      <c r="AW24" s="2" t="s">
        <v>1043</v>
      </c>
      <c r="AX24" s="2" t="str">
        <f t="shared" si="3"/>
        <v>Q3|ISO 27001</v>
      </c>
      <c r="AY24" s="13" t="s">
        <v>454</v>
      </c>
      <c r="AZ24" s="13" t="s">
        <v>1140</v>
      </c>
      <c r="BA24" s="2">
        <v>0.8</v>
      </c>
      <c r="BE24" s="2" t="s">
        <v>1042</v>
      </c>
      <c r="BF24" s="2" t="s">
        <v>1082</v>
      </c>
      <c r="BG24" s="2" t="str">
        <f t="shared" si="4"/>
        <v>CMMC 2.0MP</v>
      </c>
      <c r="BH24" s="2" t="s">
        <v>1122</v>
      </c>
      <c r="CH24" s="2" t="s">
        <v>96</v>
      </c>
      <c r="CI24" s="2" t="s">
        <v>51</v>
      </c>
      <c r="CJ24" s="2" t="str">
        <f t="shared" ref="CJ24:CJ26" si="8">_xlfn.CONCAT(CH24,"_",CI24)</f>
        <v>Technology_Large Enterprise (1000+ employees)</v>
      </c>
      <c r="CK24" s="2" t="s">
        <v>1012</v>
      </c>
      <c r="CL24" s="2" t="s">
        <v>1013</v>
      </c>
    </row>
    <row r="25" spans="13:90" x14ac:dyDescent="0.2">
      <c r="M25" s="2" t="s">
        <v>79</v>
      </c>
      <c r="N25" s="2" t="s">
        <v>151</v>
      </c>
      <c r="O25" s="2" t="s">
        <v>72</v>
      </c>
      <c r="AP25" s="2" t="s">
        <v>736</v>
      </c>
      <c r="AQ25" s="2" t="s">
        <v>183</v>
      </c>
      <c r="AR25" s="2" t="str">
        <f t="shared" si="0"/>
        <v xml:space="preserve"> Critical Vulnerability Identification </v>
      </c>
      <c r="AS25" s="2" t="str">
        <f t="shared" si="7"/>
        <v>CVI_3</v>
      </c>
      <c r="AT25" s="2" t="str">
        <f t="shared" si="2"/>
        <v>Risk Prioritization &amp; Tracking</v>
      </c>
      <c r="AV25" s="2" t="s">
        <v>716</v>
      </c>
      <c r="AW25" s="2" t="s">
        <v>713</v>
      </c>
      <c r="AX25" s="2" t="str">
        <f t="shared" si="3"/>
        <v>Q3|SOC2</v>
      </c>
      <c r="AY25" s="13" t="s">
        <v>444</v>
      </c>
      <c r="AZ25" s="13" t="s">
        <v>1191</v>
      </c>
      <c r="BA25" s="2">
        <v>0.6</v>
      </c>
      <c r="BE25" s="2" t="s">
        <v>1042</v>
      </c>
      <c r="BF25" s="2" t="s">
        <v>1112</v>
      </c>
      <c r="BG25" s="2" t="str">
        <f t="shared" si="4"/>
        <v>CMMC 2.0PE</v>
      </c>
      <c r="BH25" s="2" t="s">
        <v>1123</v>
      </c>
      <c r="CH25" s="2" t="s">
        <v>96</v>
      </c>
      <c r="CI25" s="2" t="s">
        <v>78</v>
      </c>
      <c r="CJ25" s="2" t="str">
        <f t="shared" si="8"/>
        <v>Technology_Mid-Market (100-999 employees)</v>
      </c>
      <c r="CK25" s="2" t="s">
        <v>1012</v>
      </c>
      <c r="CL25" s="2" t="s">
        <v>1013</v>
      </c>
    </row>
    <row r="26" spans="13:90" x14ac:dyDescent="0.2">
      <c r="M26" s="2" t="s">
        <v>98</v>
      </c>
      <c r="N26" s="2" t="s">
        <v>151</v>
      </c>
      <c r="O26" s="2" t="s">
        <v>72</v>
      </c>
      <c r="AP26" s="2" t="s">
        <v>737</v>
      </c>
      <c r="AQ26" s="2" t="s">
        <v>183</v>
      </c>
      <c r="AR26" s="2" t="str">
        <f t="shared" si="0"/>
        <v xml:space="preserve"> Critical Vulnerability Identification </v>
      </c>
      <c r="AS26" s="2" t="str">
        <f t="shared" si="7"/>
        <v>CVI_3</v>
      </c>
      <c r="AT26" s="2" t="str">
        <f t="shared" si="2"/>
        <v>Risk Prioritization &amp; Tracking</v>
      </c>
      <c r="AV26" s="2" t="s">
        <v>716</v>
      </c>
      <c r="AW26" s="2" t="s">
        <v>1044</v>
      </c>
      <c r="AX26" s="2" t="str">
        <f t="shared" si="3"/>
        <v>Q3|CIS v8</v>
      </c>
      <c r="AY26" s="13">
        <v>3.11</v>
      </c>
      <c r="AZ26" s="13" t="s">
        <v>1094</v>
      </c>
      <c r="BA26" s="2">
        <v>1</v>
      </c>
      <c r="BE26" s="2" t="s">
        <v>1042</v>
      </c>
      <c r="BF26" s="2" t="s">
        <v>1084</v>
      </c>
      <c r="BG26" s="2" t="str">
        <f t="shared" si="4"/>
        <v>CMMC 2.0PL</v>
      </c>
      <c r="BH26" s="2" t="s">
        <v>1124</v>
      </c>
      <c r="CH26" s="2" t="s">
        <v>96</v>
      </c>
      <c r="CI26" s="2" t="s">
        <v>97</v>
      </c>
      <c r="CJ26" s="2" t="str">
        <f t="shared" si="8"/>
        <v>Technology_Small Business (&lt;100 employees)</v>
      </c>
      <c r="CK26" s="2" t="s">
        <v>1012</v>
      </c>
      <c r="CL26" s="2" t="s">
        <v>1013</v>
      </c>
    </row>
    <row r="27" spans="13:90" x14ac:dyDescent="0.2">
      <c r="M27" s="4" t="s">
        <v>17</v>
      </c>
      <c r="N27" s="4" t="s">
        <v>152</v>
      </c>
      <c r="O27" s="4" t="s">
        <v>56</v>
      </c>
      <c r="AP27" s="2" t="s">
        <v>738</v>
      </c>
      <c r="AQ27" s="2" t="s">
        <v>183</v>
      </c>
      <c r="AR27" s="2" t="str">
        <f t="shared" si="0"/>
        <v xml:space="preserve"> Critical Vulnerability Identification </v>
      </c>
      <c r="AS27" s="2" t="str">
        <f t="shared" si="7"/>
        <v>CVI_3</v>
      </c>
      <c r="AT27" s="2" t="str">
        <f t="shared" si="2"/>
        <v>Risk Prioritization &amp; Tracking</v>
      </c>
      <c r="AV27" s="2" t="s">
        <v>717</v>
      </c>
      <c r="AW27" s="2" t="s">
        <v>1041</v>
      </c>
      <c r="AX27" s="2" t="str">
        <f t="shared" si="3"/>
        <v>Q4|NIST CSF 2.0</v>
      </c>
      <c r="AY27" s="13" t="s">
        <v>438</v>
      </c>
      <c r="AZ27" s="13" t="s">
        <v>1064</v>
      </c>
      <c r="BA27" s="2">
        <v>1</v>
      </c>
      <c r="BE27" s="2" t="s">
        <v>1042</v>
      </c>
      <c r="BF27" s="2" t="s">
        <v>1077</v>
      </c>
      <c r="BG27" s="2" t="str">
        <f t="shared" si="4"/>
        <v>CMMC 2.0PM</v>
      </c>
      <c r="BH27" s="2" t="s">
        <v>1125</v>
      </c>
      <c r="CH27" s="2" t="s">
        <v>137</v>
      </c>
      <c r="CI27" s="2" t="s">
        <v>17</v>
      </c>
      <c r="CJ27" s="2" t="str">
        <f>_xlfn.CONCAT(CH27,"_",CI27)</f>
        <v>Retail_Fortune 500/Global Enterprise</v>
      </c>
      <c r="CK27" s="2" t="s">
        <v>1008</v>
      </c>
      <c r="CL27" s="2" t="s">
        <v>1014</v>
      </c>
    </row>
    <row r="28" spans="13:90" x14ac:dyDescent="0.2">
      <c r="M28" s="4" t="s">
        <v>51</v>
      </c>
      <c r="N28" s="4" t="s">
        <v>152</v>
      </c>
      <c r="O28" s="4" t="s">
        <v>117</v>
      </c>
      <c r="AP28" s="2" t="s">
        <v>739</v>
      </c>
      <c r="AQ28" s="2" t="s">
        <v>183</v>
      </c>
      <c r="AR28" s="2" t="str">
        <f t="shared" si="0"/>
        <v xml:space="preserve"> Critical Vulnerability Identification </v>
      </c>
      <c r="AS28" s="2" t="str">
        <f t="shared" si="7"/>
        <v>CVI_3</v>
      </c>
      <c r="AT28" s="2" t="str">
        <f t="shared" si="2"/>
        <v>Risk Prioritization &amp; Tracking</v>
      </c>
      <c r="AV28" s="2" t="s">
        <v>717</v>
      </c>
      <c r="AW28" s="2" t="s">
        <v>710</v>
      </c>
      <c r="AX28" s="2" t="str">
        <f t="shared" si="3"/>
        <v>Q4|NIST PQC</v>
      </c>
      <c r="AY28" s="13" t="s">
        <v>439</v>
      </c>
      <c r="AZ28" s="13" t="s">
        <v>439</v>
      </c>
      <c r="BA28" s="2"/>
      <c r="BE28" s="2" t="s">
        <v>1042</v>
      </c>
      <c r="BF28" s="2" t="s">
        <v>1113</v>
      </c>
      <c r="BG28" s="2" t="str">
        <f t="shared" si="4"/>
        <v>CMMC 2.0PS</v>
      </c>
      <c r="BH28" s="2" t="s">
        <v>1126</v>
      </c>
      <c r="BP28" t="str">
        <f t="shared" ref="BP28" si="9">SUBSTITUTE(BP15,"-","_")</f>
        <v/>
      </c>
      <c r="CH28" s="2" t="s">
        <v>137</v>
      </c>
      <c r="CI28" s="2" t="s">
        <v>51</v>
      </c>
      <c r="CJ28" s="2" t="str">
        <f t="shared" ref="CJ28:CJ34" si="10">_xlfn.CONCAT(CH28,"_",CI28)</f>
        <v>Retail_Large Enterprise (1000+ employees)</v>
      </c>
      <c r="CK28" s="2" t="s">
        <v>1008</v>
      </c>
      <c r="CL28" s="2" t="s">
        <v>1014</v>
      </c>
    </row>
    <row r="29" spans="13:90" x14ac:dyDescent="0.2">
      <c r="M29" s="4" t="s">
        <v>78</v>
      </c>
      <c r="N29" s="4" t="s">
        <v>152</v>
      </c>
      <c r="O29" s="4" t="s">
        <v>72</v>
      </c>
      <c r="AP29" s="2" t="s">
        <v>740</v>
      </c>
      <c r="AQ29" s="2" t="s">
        <v>183</v>
      </c>
      <c r="AR29" s="2" t="str">
        <f t="shared" si="0"/>
        <v xml:space="preserve"> Critical Vulnerability Identification </v>
      </c>
      <c r="AS29" s="2" t="str">
        <f t="shared" si="7"/>
        <v>CVI_3</v>
      </c>
      <c r="AT29" s="2" t="str">
        <f t="shared" si="2"/>
        <v>Risk Prioritization &amp; Tracking</v>
      </c>
      <c r="AV29" s="2" t="s">
        <v>717</v>
      </c>
      <c r="AW29" s="2" t="s">
        <v>1042</v>
      </c>
      <c r="AX29" s="2" t="str">
        <f t="shared" si="3"/>
        <v>Q4|CMMC 2.0</v>
      </c>
      <c r="AY29" s="13" t="s">
        <v>455</v>
      </c>
      <c r="AZ29" s="13" t="s">
        <v>1072</v>
      </c>
      <c r="BA29" s="2">
        <v>1</v>
      </c>
      <c r="BE29" s="2" t="s">
        <v>1042</v>
      </c>
      <c r="BF29" s="2" t="s">
        <v>1073</v>
      </c>
      <c r="BG29" s="2" t="str">
        <f t="shared" si="4"/>
        <v>CMMC 2.0RA</v>
      </c>
      <c r="BH29" s="2" t="s">
        <v>1127</v>
      </c>
      <c r="CH29" s="2" t="s">
        <v>137</v>
      </c>
      <c r="CI29" s="2" t="s">
        <v>78</v>
      </c>
      <c r="CJ29" s="2" t="str">
        <f t="shared" si="10"/>
        <v>Retail_Mid-Market (100-999 employees)</v>
      </c>
      <c r="CK29" s="2" t="s">
        <v>1008</v>
      </c>
      <c r="CL29" s="2" t="s">
        <v>1014</v>
      </c>
    </row>
    <row r="30" spans="13:90" x14ac:dyDescent="0.2">
      <c r="M30" s="4" t="s">
        <v>97</v>
      </c>
      <c r="N30" s="4" t="s">
        <v>152</v>
      </c>
      <c r="O30" s="4" t="s">
        <v>72</v>
      </c>
      <c r="AP30" s="2" t="s">
        <v>741</v>
      </c>
      <c r="AQ30" s="2" t="s">
        <v>183</v>
      </c>
      <c r="AR30" s="2" t="str">
        <f t="shared" si="0"/>
        <v xml:space="preserve"> Critical Vulnerability Identification </v>
      </c>
      <c r="AS30" s="2" t="str">
        <f t="shared" si="7"/>
        <v>CVI_3</v>
      </c>
      <c r="AT30" s="2" t="str">
        <f t="shared" si="2"/>
        <v>Risk Prioritization &amp; Tracking</v>
      </c>
      <c r="AV30" s="2" t="s">
        <v>717</v>
      </c>
      <c r="AW30" s="2" t="s">
        <v>711</v>
      </c>
      <c r="AX30" s="2" t="str">
        <f t="shared" si="3"/>
        <v>Q4|FISMA</v>
      </c>
      <c r="AY30" s="13" t="s">
        <v>442</v>
      </c>
      <c r="AZ30" s="13" t="s">
        <v>1072</v>
      </c>
      <c r="BA30" s="2">
        <v>1</v>
      </c>
      <c r="BE30" s="2" t="s">
        <v>1042</v>
      </c>
      <c r="BF30" s="2" t="s">
        <v>1083</v>
      </c>
      <c r="BG30" s="2" t="str">
        <f t="shared" si="4"/>
        <v>CMMC 2.0SA</v>
      </c>
      <c r="BH30" s="2" t="s">
        <v>1128</v>
      </c>
      <c r="CH30" s="2" t="s">
        <v>137</v>
      </c>
      <c r="CI30" s="2" t="s">
        <v>97</v>
      </c>
      <c r="CJ30" s="2" t="str">
        <f t="shared" si="10"/>
        <v>Retail_Small Business (&lt;100 employees)</v>
      </c>
      <c r="CK30" s="2" t="s">
        <v>1008</v>
      </c>
      <c r="CL30" s="2" t="s">
        <v>1014</v>
      </c>
    </row>
    <row r="31" spans="13:90" x14ac:dyDescent="0.2">
      <c r="AP31" s="2" t="s">
        <v>742</v>
      </c>
      <c r="AQ31" s="2" t="s">
        <v>183</v>
      </c>
      <c r="AR31" s="2" t="str">
        <f t="shared" si="0"/>
        <v xml:space="preserve"> Critical Vulnerability Identification </v>
      </c>
      <c r="AS31" s="2" t="str">
        <f t="shared" si="7"/>
        <v>CVI_3</v>
      </c>
      <c r="AT31" s="2" t="str">
        <f t="shared" si="2"/>
        <v>Risk Prioritization &amp; Tracking</v>
      </c>
      <c r="AV31" s="2" t="s">
        <v>717</v>
      </c>
      <c r="AW31" s="2" t="s">
        <v>712</v>
      </c>
      <c r="AX31" s="2" t="str">
        <f t="shared" si="3"/>
        <v>Q4|FedRAMP</v>
      </c>
      <c r="AY31" s="13" t="s">
        <v>456</v>
      </c>
      <c r="AZ31" s="13" t="s">
        <v>1072</v>
      </c>
      <c r="BA31" s="2">
        <v>1</v>
      </c>
      <c r="BE31" s="2" t="s">
        <v>1042</v>
      </c>
      <c r="BF31" s="2" t="s">
        <v>1071</v>
      </c>
      <c r="BG31" s="2" t="str">
        <f t="shared" si="4"/>
        <v>CMMC 2.0SC</v>
      </c>
      <c r="BH31" s="2" t="s">
        <v>1129</v>
      </c>
      <c r="CH31" s="2" t="s">
        <v>132</v>
      </c>
      <c r="CI31" s="2" t="s">
        <v>17</v>
      </c>
      <c r="CJ31" s="2" t="str">
        <f t="shared" si="10"/>
        <v>Manufacturing_Fortune 500/Global Enterprise</v>
      </c>
      <c r="CK31" s="2" t="s">
        <v>1008</v>
      </c>
      <c r="CL31" s="2" t="s">
        <v>1014</v>
      </c>
    </row>
    <row r="32" spans="13:90" x14ac:dyDescent="0.2">
      <c r="AP32" s="2" t="s">
        <v>743</v>
      </c>
      <c r="AQ32" s="2" t="s">
        <v>183</v>
      </c>
      <c r="AR32" s="2" t="str">
        <f t="shared" si="0"/>
        <v xml:space="preserve"> Critical Vulnerability Identification </v>
      </c>
      <c r="AS32" s="2" t="str">
        <f t="shared" si="7"/>
        <v>CVI_3</v>
      </c>
      <c r="AT32" s="2" t="str">
        <f t="shared" si="2"/>
        <v>Risk Prioritization &amp; Tracking</v>
      </c>
      <c r="AV32" s="2" t="s">
        <v>717</v>
      </c>
      <c r="AW32" s="2" t="s">
        <v>1043</v>
      </c>
      <c r="AX32" s="2" t="str">
        <f t="shared" si="3"/>
        <v>Q4|ISO 27001</v>
      </c>
      <c r="AY32" s="13" t="s">
        <v>443</v>
      </c>
      <c r="AZ32" s="13" t="s">
        <v>1140</v>
      </c>
      <c r="BA32" s="2">
        <v>1</v>
      </c>
      <c r="BE32" s="2" t="s">
        <v>1042</v>
      </c>
      <c r="BF32" s="2" t="s">
        <v>1075</v>
      </c>
      <c r="BG32" s="2" t="str">
        <f t="shared" si="4"/>
        <v>CMMC 2.0SI</v>
      </c>
      <c r="BH32" s="2" t="s">
        <v>1130</v>
      </c>
      <c r="CH32" s="2" t="s">
        <v>132</v>
      </c>
      <c r="CI32" s="2" t="s">
        <v>51</v>
      </c>
      <c r="CJ32" s="2" t="str">
        <f t="shared" si="10"/>
        <v>Manufacturing_Large Enterprise (1000+ employees)</v>
      </c>
      <c r="CK32" s="2" t="s">
        <v>1008</v>
      </c>
      <c r="CL32" s="2" t="s">
        <v>1014</v>
      </c>
    </row>
    <row r="33" spans="42:90" x14ac:dyDescent="0.2">
      <c r="AP33" s="2" t="s">
        <v>744</v>
      </c>
      <c r="AQ33" s="2" t="s">
        <v>254</v>
      </c>
      <c r="AR33" s="2" t="str">
        <f t="shared" si="0"/>
        <v xml:space="preserve"> Strategic Governance &amp; Risk Management </v>
      </c>
      <c r="AS33" s="2" t="str">
        <f>AQ33 &amp; "_1"</f>
        <v>SGRM_1</v>
      </c>
      <c r="AT33" s="2" t="str">
        <f t="shared" si="2"/>
        <v>Governance Structure &amp; Leadership</v>
      </c>
      <c r="AV33" s="2" t="s">
        <v>717</v>
      </c>
      <c r="AW33" s="2" t="s">
        <v>713</v>
      </c>
      <c r="AX33" s="2" t="str">
        <f t="shared" si="3"/>
        <v>Q4|SOC2</v>
      </c>
      <c r="AY33" s="13" t="s">
        <v>444</v>
      </c>
      <c r="AZ33" s="13" t="s">
        <v>1191</v>
      </c>
      <c r="BA33" s="2">
        <v>1</v>
      </c>
      <c r="BE33" s="2" t="s">
        <v>1042</v>
      </c>
      <c r="BF33" s="2" t="s">
        <v>1074</v>
      </c>
      <c r="BG33" s="2" t="str">
        <f t="shared" si="4"/>
        <v>CMMC 2.0SR</v>
      </c>
      <c r="BH33" s="2" t="s">
        <v>1131</v>
      </c>
      <c r="CH33" s="2" t="s">
        <v>132</v>
      </c>
      <c r="CI33" s="2" t="s">
        <v>78</v>
      </c>
      <c r="CJ33" s="2" t="str">
        <f t="shared" si="10"/>
        <v>Manufacturing_Mid-Market (100-999 employees)</v>
      </c>
      <c r="CK33" s="2" t="s">
        <v>1008</v>
      </c>
      <c r="CL33" s="2" t="s">
        <v>1014</v>
      </c>
    </row>
    <row r="34" spans="42:90" x14ac:dyDescent="0.2">
      <c r="AP34" s="2" t="s">
        <v>745</v>
      </c>
      <c r="AQ34" s="2" t="s">
        <v>254</v>
      </c>
      <c r="AR34" s="2" t="str">
        <f t="shared" si="0"/>
        <v xml:space="preserve"> Strategic Governance &amp; Risk Management </v>
      </c>
      <c r="AS34" s="2" t="str">
        <f t="shared" ref="AS34:AS42" si="11">AQ34 &amp; "_1"</f>
        <v>SGRM_1</v>
      </c>
      <c r="AT34" s="2" t="str">
        <f t="shared" si="2"/>
        <v>Governance Structure &amp; Leadership</v>
      </c>
      <c r="AV34" s="2" t="s">
        <v>717</v>
      </c>
      <c r="AW34" s="2" t="s">
        <v>1044</v>
      </c>
      <c r="AX34" s="2" t="str">
        <f t="shared" si="3"/>
        <v>Q4|CIS v8</v>
      </c>
      <c r="AY34" s="13">
        <v>1.1000000000000001</v>
      </c>
      <c r="AZ34" s="13" t="s">
        <v>1092</v>
      </c>
      <c r="BA34" s="2">
        <v>1</v>
      </c>
      <c r="BE34" s="2" t="s">
        <v>711</v>
      </c>
      <c r="BF34" s="2" t="s">
        <v>1075</v>
      </c>
      <c r="BG34" s="2" t="str">
        <f t="shared" si="4"/>
        <v>FISMASI</v>
      </c>
      <c r="BH34" s="2" t="s">
        <v>1130</v>
      </c>
      <c r="CH34" s="2" t="s">
        <v>132</v>
      </c>
      <c r="CI34" s="2" t="s">
        <v>97</v>
      </c>
      <c r="CJ34" s="2" t="str">
        <f t="shared" si="10"/>
        <v>Manufacturing_Small Business (&lt;100 employees)</v>
      </c>
      <c r="CK34" s="2" t="s">
        <v>1008</v>
      </c>
      <c r="CL34" s="2" t="s">
        <v>1014</v>
      </c>
    </row>
    <row r="35" spans="42:90" x14ac:dyDescent="0.2">
      <c r="AP35" s="2" t="s">
        <v>746</v>
      </c>
      <c r="AQ35" s="2" t="s">
        <v>254</v>
      </c>
      <c r="AR35" s="2" t="str">
        <f t="shared" si="0"/>
        <v xml:space="preserve"> Strategic Governance &amp; Risk Management </v>
      </c>
      <c r="AS35" s="2" t="str">
        <f t="shared" si="11"/>
        <v>SGRM_1</v>
      </c>
      <c r="AT35" s="2" t="str">
        <f t="shared" si="2"/>
        <v>Governance Structure &amp; Leadership</v>
      </c>
      <c r="AV35" s="2" t="s">
        <v>718</v>
      </c>
      <c r="AW35" s="2" t="s">
        <v>1041</v>
      </c>
      <c r="AX35" s="2" t="str">
        <f t="shared" si="3"/>
        <v>Q5|NIST CSF 2.0</v>
      </c>
      <c r="AY35" s="13" t="s">
        <v>450</v>
      </c>
      <c r="AZ35" s="13" t="s">
        <v>1064</v>
      </c>
      <c r="BA35" s="2">
        <v>1</v>
      </c>
      <c r="BE35" s="2" t="s">
        <v>711</v>
      </c>
      <c r="BF35" s="2" t="s">
        <v>1073</v>
      </c>
      <c r="BG35" s="2" t="str">
        <f t="shared" si="4"/>
        <v>FISMARA</v>
      </c>
      <c r="BH35" s="2" t="s">
        <v>1127</v>
      </c>
    </row>
    <row r="36" spans="42:90" x14ac:dyDescent="0.2">
      <c r="AP36" s="2" t="s">
        <v>747</v>
      </c>
      <c r="AQ36" s="2" t="s">
        <v>254</v>
      </c>
      <c r="AR36" s="2" t="str">
        <f t="shared" si="0"/>
        <v xml:space="preserve"> Strategic Governance &amp; Risk Management </v>
      </c>
      <c r="AS36" s="2" t="str">
        <f t="shared" si="11"/>
        <v>SGRM_1</v>
      </c>
      <c r="AT36" s="2" t="str">
        <f t="shared" si="2"/>
        <v>Governance Structure &amp; Leadership</v>
      </c>
      <c r="AV36" s="2" t="s">
        <v>718</v>
      </c>
      <c r="AW36" s="2" t="s">
        <v>710</v>
      </c>
      <c r="AX36" s="2" t="str">
        <f t="shared" si="3"/>
        <v>Q5|NIST PQC</v>
      </c>
      <c r="AY36" s="13" t="s">
        <v>439</v>
      </c>
      <c r="AZ36" s="13" t="s">
        <v>439</v>
      </c>
      <c r="BA36" s="2"/>
      <c r="BE36" s="2" t="s">
        <v>711</v>
      </c>
      <c r="BF36" s="2" t="s">
        <v>1071</v>
      </c>
      <c r="BG36" s="2" t="str">
        <f t="shared" si="4"/>
        <v>FISMASC</v>
      </c>
      <c r="BH36" s="2" t="s">
        <v>1129</v>
      </c>
    </row>
    <row r="37" spans="42:90" x14ac:dyDescent="0.2">
      <c r="AP37" s="2" t="s">
        <v>748</v>
      </c>
      <c r="AQ37" s="2" t="s">
        <v>254</v>
      </c>
      <c r="AR37" s="2" t="str">
        <f t="shared" si="0"/>
        <v xml:space="preserve"> Strategic Governance &amp; Risk Management </v>
      </c>
      <c r="AS37" s="2" t="str">
        <f t="shared" si="11"/>
        <v>SGRM_1</v>
      </c>
      <c r="AT37" s="2" t="str">
        <f t="shared" si="2"/>
        <v>Governance Structure &amp; Leadership</v>
      </c>
      <c r="AV37" s="2" t="s">
        <v>718</v>
      </c>
      <c r="AW37" s="2" t="s">
        <v>1042</v>
      </c>
      <c r="AX37" s="2" t="str">
        <f t="shared" si="3"/>
        <v>Q5|CMMC 2.0</v>
      </c>
      <c r="AY37" s="13" t="s">
        <v>457</v>
      </c>
      <c r="AZ37" s="13" t="s">
        <v>1072</v>
      </c>
      <c r="BA37" s="2">
        <v>1</v>
      </c>
      <c r="BE37" s="2" t="s">
        <v>711</v>
      </c>
      <c r="BF37" s="2" t="s">
        <v>1072</v>
      </c>
      <c r="BG37" s="2" t="str">
        <f t="shared" si="4"/>
        <v>FISMACM</v>
      </c>
      <c r="BH37" s="2" t="s">
        <v>1117</v>
      </c>
    </row>
    <row r="38" spans="42:90" x14ac:dyDescent="0.2">
      <c r="AP38" s="2" t="s">
        <v>749</v>
      </c>
      <c r="AQ38" s="2" t="s">
        <v>254</v>
      </c>
      <c r="AR38" s="2" t="str">
        <f t="shared" si="0"/>
        <v xml:space="preserve"> Strategic Governance &amp; Risk Management </v>
      </c>
      <c r="AS38" s="2" t="str">
        <f t="shared" si="11"/>
        <v>SGRM_1</v>
      </c>
      <c r="AT38" s="2" t="str">
        <f t="shared" si="2"/>
        <v>Governance Structure &amp; Leadership</v>
      </c>
      <c r="AV38" s="2" t="s">
        <v>718</v>
      </c>
      <c r="AW38" s="2" t="s">
        <v>711</v>
      </c>
      <c r="AX38" s="2" t="str">
        <f t="shared" si="3"/>
        <v>Q5|FISMA</v>
      </c>
      <c r="AY38" s="13" t="s">
        <v>442</v>
      </c>
      <c r="AZ38" s="13" t="s">
        <v>1072</v>
      </c>
      <c r="BA38" s="2">
        <v>1</v>
      </c>
      <c r="BE38" s="2" t="s">
        <v>711</v>
      </c>
      <c r="BF38" s="2" t="s">
        <v>1083</v>
      </c>
      <c r="BG38" s="2" t="str">
        <f t="shared" si="4"/>
        <v>FISMASA</v>
      </c>
      <c r="BH38" s="2" t="s">
        <v>1128</v>
      </c>
    </row>
    <row r="39" spans="42:90" x14ac:dyDescent="0.2">
      <c r="AP39" s="2" t="s">
        <v>750</v>
      </c>
      <c r="AQ39" s="2" t="s">
        <v>254</v>
      </c>
      <c r="AR39" s="2" t="str">
        <f t="shared" si="0"/>
        <v xml:space="preserve"> Strategic Governance &amp; Risk Management </v>
      </c>
      <c r="AS39" s="2" t="str">
        <f t="shared" si="11"/>
        <v>SGRM_1</v>
      </c>
      <c r="AT39" s="2" t="str">
        <f t="shared" si="2"/>
        <v>Governance Structure &amp; Leadership</v>
      </c>
      <c r="AV39" s="2" t="s">
        <v>718</v>
      </c>
      <c r="AW39" s="2" t="s">
        <v>712</v>
      </c>
      <c r="AX39" s="2" t="str">
        <f t="shared" si="3"/>
        <v>Q5|FedRAMP</v>
      </c>
      <c r="AY39" s="13" t="s">
        <v>458</v>
      </c>
      <c r="AZ39" s="13" t="s">
        <v>1072</v>
      </c>
      <c r="BA39" s="2">
        <v>1</v>
      </c>
      <c r="BE39" s="2" t="s">
        <v>711</v>
      </c>
      <c r="BF39" s="2" t="s">
        <v>1076</v>
      </c>
      <c r="BG39" s="2" t="str">
        <f t="shared" si="4"/>
        <v>FISMACA</v>
      </c>
      <c r="BH39" s="2" t="s">
        <v>1116</v>
      </c>
    </row>
    <row r="40" spans="42:90" x14ac:dyDescent="0.2">
      <c r="AP40" s="2" t="s">
        <v>751</v>
      </c>
      <c r="AQ40" s="2" t="s">
        <v>254</v>
      </c>
      <c r="AR40" s="2" t="str">
        <f t="shared" si="0"/>
        <v xml:space="preserve"> Strategic Governance &amp; Risk Management </v>
      </c>
      <c r="AS40" s="2" t="str">
        <f t="shared" si="11"/>
        <v>SGRM_1</v>
      </c>
      <c r="AT40" s="2" t="str">
        <f t="shared" si="2"/>
        <v>Governance Structure &amp; Leadership</v>
      </c>
      <c r="AV40" s="2" t="s">
        <v>718</v>
      </c>
      <c r="AW40" s="2" t="s">
        <v>1043</v>
      </c>
      <c r="AX40" s="2" t="str">
        <f t="shared" si="3"/>
        <v>Q5|ISO 27001</v>
      </c>
      <c r="AY40" s="13" t="s">
        <v>454</v>
      </c>
      <c r="AZ40" s="13" t="s">
        <v>1140</v>
      </c>
      <c r="BA40" s="2">
        <v>1</v>
      </c>
      <c r="BE40" s="2" t="s">
        <v>711</v>
      </c>
      <c r="BF40" s="2" t="s">
        <v>1077</v>
      </c>
      <c r="BG40" s="2" t="str">
        <f t="shared" si="4"/>
        <v>FISMAPM</v>
      </c>
      <c r="BH40" s="2" t="s">
        <v>1125</v>
      </c>
    </row>
    <row r="41" spans="42:90" x14ac:dyDescent="0.2">
      <c r="AP41" s="2" t="s">
        <v>752</v>
      </c>
      <c r="AQ41" s="2" t="s">
        <v>254</v>
      </c>
      <c r="AR41" s="2" t="str">
        <f t="shared" si="0"/>
        <v xml:space="preserve"> Strategic Governance &amp; Risk Management </v>
      </c>
      <c r="AS41" s="2" t="str">
        <f t="shared" si="11"/>
        <v>SGRM_1</v>
      </c>
      <c r="AT41" s="2" t="str">
        <f t="shared" si="2"/>
        <v>Governance Structure &amp; Leadership</v>
      </c>
      <c r="AV41" s="2" t="s">
        <v>718</v>
      </c>
      <c r="AW41" s="2" t="s">
        <v>713</v>
      </c>
      <c r="AX41" s="2" t="str">
        <f t="shared" si="3"/>
        <v>Q5|SOC2</v>
      </c>
      <c r="AY41" s="13" t="s">
        <v>444</v>
      </c>
      <c r="AZ41" s="13" t="s">
        <v>1191</v>
      </c>
      <c r="BA41" s="2">
        <v>1</v>
      </c>
      <c r="BE41" s="2" t="s">
        <v>711</v>
      </c>
      <c r="BF41" s="2" t="s">
        <v>1084</v>
      </c>
      <c r="BG41" s="2" t="str">
        <f t="shared" si="4"/>
        <v>FISMAPL</v>
      </c>
      <c r="BH41" s="2" t="s">
        <v>1124</v>
      </c>
    </row>
    <row r="42" spans="42:90" x14ac:dyDescent="0.2">
      <c r="AP42" s="2" t="s">
        <v>753</v>
      </c>
      <c r="AQ42" s="2" t="s">
        <v>254</v>
      </c>
      <c r="AR42" s="2" t="str">
        <f t="shared" si="0"/>
        <v xml:space="preserve"> Strategic Governance &amp; Risk Management </v>
      </c>
      <c r="AS42" s="2" t="str">
        <f t="shared" si="11"/>
        <v>SGRM_1</v>
      </c>
      <c r="AT42" s="2" t="str">
        <f t="shared" si="2"/>
        <v>Governance Structure &amp; Leadership</v>
      </c>
      <c r="AV42" s="2" t="s">
        <v>718</v>
      </c>
      <c r="AW42" s="2" t="s">
        <v>1044</v>
      </c>
      <c r="AX42" s="2" t="str">
        <f t="shared" si="3"/>
        <v>Q5|CIS v8</v>
      </c>
      <c r="AY42" s="13">
        <v>2.1</v>
      </c>
      <c r="AZ42" s="13" t="s">
        <v>1093</v>
      </c>
      <c r="BA42" s="2">
        <v>1</v>
      </c>
      <c r="BE42" s="2" t="s">
        <v>711</v>
      </c>
      <c r="BF42" s="2" t="s">
        <v>1078</v>
      </c>
      <c r="BG42" s="2" t="str">
        <f t="shared" si="4"/>
        <v>FISMAIR</v>
      </c>
      <c r="BH42" s="2" t="s">
        <v>1120</v>
      </c>
    </row>
    <row r="43" spans="42:90" x14ac:dyDescent="0.2">
      <c r="AP43" s="2" t="s">
        <v>754</v>
      </c>
      <c r="AQ43" s="2" t="s">
        <v>254</v>
      </c>
      <c r="AR43" s="2" t="str">
        <f t="shared" si="0"/>
        <v xml:space="preserve"> Strategic Governance &amp; Risk Management </v>
      </c>
      <c r="AS43" s="2" t="str">
        <f>AQ42 &amp; "_2"</f>
        <v>SGRM_2</v>
      </c>
      <c r="AT43" s="2" t="str">
        <f t="shared" si="2"/>
        <v>Risk Management Framework</v>
      </c>
      <c r="AV43" s="2" t="s">
        <v>719</v>
      </c>
      <c r="AW43" s="2" t="s">
        <v>1041</v>
      </c>
      <c r="AX43" s="2" t="str">
        <f t="shared" si="3"/>
        <v>Q6|NIST CSF 2.0</v>
      </c>
      <c r="AY43" s="13" t="s">
        <v>459</v>
      </c>
      <c r="AZ43" s="13" t="s">
        <v>1064</v>
      </c>
      <c r="BA43" s="2">
        <v>1</v>
      </c>
      <c r="BE43" s="2" t="s">
        <v>711</v>
      </c>
      <c r="BF43" s="2" t="s">
        <v>1079</v>
      </c>
      <c r="BG43" s="2" t="str">
        <f t="shared" si="4"/>
        <v>FISMACP</v>
      </c>
      <c r="BH43" s="2" t="s">
        <v>1118</v>
      </c>
    </row>
    <row r="44" spans="42:90" x14ac:dyDescent="0.2">
      <c r="AP44" s="2" t="s">
        <v>755</v>
      </c>
      <c r="AQ44" s="2" t="s">
        <v>254</v>
      </c>
      <c r="AR44" s="2" t="str">
        <f t="shared" si="0"/>
        <v xml:space="preserve"> Strategic Governance &amp; Risk Management </v>
      </c>
      <c r="AS44" s="2" t="str">
        <f t="shared" ref="AS44:AS52" si="12">AQ43 &amp; "_2"</f>
        <v>SGRM_2</v>
      </c>
      <c r="AT44" s="2" t="str">
        <f t="shared" si="2"/>
        <v>Risk Management Framework</v>
      </c>
      <c r="AV44" s="2" t="s">
        <v>719</v>
      </c>
      <c r="AW44" s="2" t="s">
        <v>710</v>
      </c>
      <c r="AX44" s="2" t="str">
        <f t="shared" si="3"/>
        <v>Q6|NIST PQC</v>
      </c>
      <c r="AY44" s="13" t="s">
        <v>439</v>
      </c>
      <c r="AZ44" s="13" t="s">
        <v>439</v>
      </c>
      <c r="BA44" s="2"/>
      <c r="BE44" s="2" t="s">
        <v>711</v>
      </c>
      <c r="BF44" s="2" t="s">
        <v>1080</v>
      </c>
      <c r="BG44" s="2" t="str">
        <f t="shared" si="4"/>
        <v>FISMAIA</v>
      </c>
      <c r="BH44" s="2" t="s">
        <v>1119</v>
      </c>
    </row>
    <row r="45" spans="42:90" x14ac:dyDescent="0.2">
      <c r="AP45" s="2" t="s">
        <v>756</v>
      </c>
      <c r="AQ45" s="2" t="s">
        <v>254</v>
      </c>
      <c r="AR45" s="2" t="str">
        <f t="shared" si="0"/>
        <v xml:space="preserve"> Strategic Governance &amp; Risk Management </v>
      </c>
      <c r="AS45" s="2" t="str">
        <f t="shared" si="12"/>
        <v>SGRM_2</v>
      </c>
      <c r="AT45" s="2" t="str">
        <f t="shared" si="2"/>
        <v>Risk Management Framework</v>
      </c>
      <c r="AV45" s="2" t="s">
        <v>719</v>
      </c>
      <c r="AW45" s="2" t="s">
        <v>1042</v>
      </c>
      <c r="AX45" s="2" t="str">
        <f t="shared" si="3"/>
        <v>Q6|CMMC 2.0</v>
      </c>
      <c r="AY45" s="13" t="s">
        <v>1825</v>
      </c>
      <c r="AZ45" s="13" t="s">
        <v>1070</v>
      </c>
      <c r="BA45" s="2">
        <v>0.8</v>
      </c>
      <c r="BE45" s="2" t="s">
        <v>711</v>
      </c>
      <c r="BF45" s="2" t="s">
        <v>1081</v>
      </c>
      <c r="BG45" s="2" t="str">
        <f t="shared" si="4"/>
        <v>FISMAAU</v>
      </c>
      <c r="BH45" s="2" t="s">
        <v>1115</v>
      </c>
    </row>
    <row r="46" spans="42:90" x14ac:dyDescent="0.2">
      <c r="AP46" s="2" t="s">
        <v>757</v>
      </c>
      <c r="AQ46" s="2" t="s">
        <v>254</v>
      </c>
      <c r="AR46" s="2" t="str">
        <f t="shared" si="0"/>
        <v xml:space="preserve"> Strategic Governance &amp; Risk Management </v>
      </c>
      <c r="AS46" s="2" t="str">
        <f t="shared" si="12"/>
        <v>SGRM_2</v>
      </c>
      <c r="AT46" s="2" t="str">
        <f t="shared" si="2"/>
        <v>Risk Management Framework</v>
      </c>
      <c r="AV46" s="2" t="s">
        <v>719</v>
      </c>
      <c r="AW46" s="2" t="s">
        <v>711</v>
      </c>
      <c r="AX46" s="2" t="str">
        <f t="shared" si="3"/>
        <v>Q6|FISMA</v>
      </c>
      <c r="AY46" s="13" t="s">
        <v>442</v>
      </c>
      <c r="AZ46" s="13" t="s">
        <v>1072</v>
      </c>
      <c r="BA46" s="2">
        <v>0.8</v>
      </c>
      <c r="BE46" s="2" t="s">
        <v>711</v>
      </c>
      <c r="BF46" s="2" t="s">
        <v>1082</v>
      </c>
      <c r="BG46" s="2" t="str">
        <f t="shared" si="4"/>
        <v>FISMAMP</v>
      </c>
      <c r="BH46" s="2" t="s">
        <v>1122</v>
      </c>
    </row>
    <row r="47" spans="42:90" x14ac:dyDescent="0.2">
      <c r="AP47" s="2" t="s">
        <v>758</v>
      </c>
      <c r="AQ47" s="2" t="s">
        <v>254</v>
      </c>
      <c r="AR47" s="2" t="str">
        <f t="shared" si="0"/>
        <v xml:space="preserve"> Strategic Governance &amp; Risk Management </v>
      </c>
      <c r="AS47" s="2" t="str">
        <f t="shared" si="12"/>
        <v>SGRM_2</v>
      </c>
      <c r="AT47" s="2" t="str">
        <f t="shared" si="2"/>
        <v>Risk Management Framework</v>
      </c>
      <c r="AV47" s="2" t="s">
        <v>719</v>
      </c>
      <c r="AW47" s="2" t="s">
        <v>712</v>
      </c>
      <c r="AX47" s="2" t="str">
        <f t="shared" si="3"/>
        <v>Q6|FedRAMP</v>
      </c>
      <c r="AY47" s="13" t="s">
        <v>442</v>
      </c>
      <c r="AZ47" s="13" t="s">
        <v>1072</v>
      </c>
      <c r="BA47" s="2">
        <v>0.8</v>
      </c>
      <c r="BE47" s="2" t="s">
        <v>711</v>
      </c>
      <c r="BF47" s="2" t="s">
        <v>1070</v>
      </c>
      <c r="BG47" s="2" t="str">
        <f t="shared" si="4"/>
        <v>FISMAAC</v>
      </c>
      <c r="BH47" s="2" t="s">
        <v>1154</v>
      </c>
    </row>
    <row r="48" spans="42:90" x14ac:dyDescent="0.2">
      <c r="AP48" s="2" t="s">
        <v>759</v>
      </c>
      <c r="AQ48" s="2" t="s">
        <v>254</v>
      </c>
      <c r="AR48" s="2" t="str">
        <f t="shared" si="0"/>
        <v xml:space="preserve"> Strategic Governance &amp; Risk Management </v>
      </c>
      <c r="AS48" s="2" t="str">
        <f t="shared" si="12"/>
        <v>SGRM_2</v>
      </c>
      <c r="AT48" s="2" t="str">
        <f t="shared" si="2"/>
        <v>Risk Management Framework</v>
      </c>
      <c r="AV48" s="2" t="s">
        <v>719</v>
      </c>
      <c r="AW48" s="2" t="s">
        <v>1043</v>
      </c>
      <c r="AX48" s="2" t="str">
        <f t="shared" si="3"/>
        <v>Q6|ISO 27001</v>
      </c>
      <c r="AY48" s="13" t="s">
        <v>461</v>
      </c>
      <c r="AZ48" s="13" t="s">
        <v>1145</v>
      </c>
      <c r="BA48" s="2">
        <v>1</v>
      </c>
      <c r="BE48" s="2" t="s">
        <v>712</v>
      </c>
      <c r="BF48" s="2" t="s">
        <v>1072</v>
      </c>
      <c r="BG48" s="2" t="str">
        <f t="shared" si="4"/>
        <v>FedRAMPCM</v>
      </c>
      <c r="BH48" s="2" t="s">
        <v>1117</v>
      </c>
    </row>
    <row r="49" spans="42:63" x14ac:dyDescent="0.2">
      <c r="AP49" s="2" t="s">
        <v>760</v>
      </c>
      <c r="AQ49" s="2" t="s">
        <v>254</v>
      </c>
      <c r="AR49" s="2" t="str">
        <f t="shared" si="0"/>
        <v xml:space="preserve"> Strategic Governance &amp; Risk Management </v>
      </c>
      <c r="AS49" s="2" t="str">
        <f t="shared" si="12"/>
        <v>SGRM_2</v>
      </c>
      <c r="AT49" s="2" t="str">
        <f t="shared" si="2"/>
        <v>Risk Management Framework</v>
      </c>
      <c r="AV49" s="2" t="s">
        <v>719</v>
      </c>
      <c r="AW49" s="2" t="s">
        <v>713</v>
      </c>
      <c r="AX49" s="2" t="str">
        <f t="shared" si="3"/>
        <v>Q6|SOC2</v>
      </c>
      <c r="AY49" s="13" t="s">
        <v>462</v>
      </c>
      <c r="AZ49" s="13" t="s">
        <v>1191</v>
      </c>
      <c r="BA49" s="2">
        <v>0.8</v>
      </c>
      <c r="BE49" s="2" t="s">
        <v>712</v>
      </c>
      <c r="BF49" s="2" t="s">
        <v>1073</v>
      </c>
      <c r="BG49" s="2" t="str">
        <f t="shared" si="4"/>
        <v>FedRAMPRA</v>
      </c>
      <c r="BH49" s="2" t="s">
        <v>1127</v>
      </c>
    </row>
    <row r="50" spans="42:63" x14ac:dyDescent="0.2">
      <c r="AP50" s="2" t="s">
        <v>761</v>
      </c>
      <c r="AQ50" s="2" t="s">
        <v>254</v>
      </c>
      <c r="AR50" s="2" t="str">
        <f t="shared" si="0"/>
        <v xml:space="preserve"> Strategic Governance &amp; Risk Management </v>
      </c>
      <c r="AS50" s="2" t="str">
        <f t="shared" si="12"/>
        <v>SGRM_2</v>
      </c>
      <c r="AT50" s="2" t="str">
        <f t="shared" si="2"/>
        <v>Risk Management Framework</v>
      </c>
      <c r="AV50" s="2" t="s">
        <v>719</v>
      </c>
      <c r="AW50" s="2" t="s">
        <v>1044</v>
      </c>
      <c r="AX50" s="2" t="str">
        <f t="shared" si="3"/>
        <v>Q6|CIS v8</v>
      </c>
      <c r="AY50" s="13">
        <v>12.1</v>
      </c>
      <c r="AZ50" s="13" t="s">
        <v>1085</v>
      </c>
      <c r="BA50" s="2">
        <v>1</v>
      </c>
      <c r="BE50" s="2" t="s">
        <v>712</v>
      </c>
      <c r="BF50" s="2" t="s">
        <v>1071</v>
      </c>
      <c r="BG50" s="2" t="str">
        <f t="shared" si="4"/>
        <v>FedRAMPSC</v>
      </c>
      <c r="BH50" s="2" t="s">
        <v>1129</v>
      </c>
    </row>
    <row r="51" spans="42:63" x14ac:dyDescent="0.2">
      <c r="AP51" s="2" t="s">
        <v>762</v>
      </c>
      <c r="AQ51" s="2" t="s">
        <v>254</v>
      </c>
      <c r="AR51" s="2" t="str">
        <f t="shared" si="0"/>
        <v xml:space="preserve"> Strategic Governance &amp; Risk Management </v>
      </c>
      <c r="AS51" s="2" t="str">
        <f t="shared" si="12"/>
        <v>SGRM_2</v>
      </c>
      <c r="AT51" s="2" t="str">
        <f t="shared" si="2"/>
        <v>Risk Management Framework</v>
      </c>
      <c r="AV51" s="2" t="s">
        <v>720</v>
      </c>
      <c r="AW51" s="2" t="s">
        <v>1041</v>
      </c>
      <c r="AX51" s="2" t="str">
        <f t="shared" si="3"/>
        <v>Q7|NIST CSF 2.0</v>
      </c>
      <c r="AY51" s="13" t="s">
        <v>459</v>
      </c>
      <c r="AZ51" s="13" t="s">
        <v>1064</v>
      </c>
      <c r="BA51" s="2">
        <v>1</v>
      </c>
      <c r="BE51" s="2" t="s">
        <v>712</v>
      </c>
      <c r="BF51" s="2" t="s">
        <v>1083</v>
      </c>
      <c r="BG51" s="2" t="str">
        <f t="shared" si="4"/>
        <v>FedRAMPSA</v>
      </c>
      <c r="BH51" s="2" t="s">
        <v>1128</v>
      </c>
    </row>
    <row r="52" spans="42:63" x14ac:dyDescent="0.2">
      <c r="AP52" s="2" t="s">
        <v>763</v>
      </c>
      <c r="AQ52" s="2" t="s">
        <v>254</v>
      </c>
      <c r="AR52" s="2" t="str">
        <f t="shared" si="0"/>
        <v xml:space="preserve"> Strategic Governance &amp; Risk Management </v>
      </c>
      <c r="AS52" s="2" t="str">
        <f t="shared" si="12"/>
        <v>SGRM_2</v>
      </c>
      <c r="AT52" s="2" t="str">
        <f t="shared" si="2"/>
        <v>Risk Management Framework</v>
      </c>
      <c r="AV52" s="2" t="s">
        <v>720</v>
      </c>
      <c r="AW52" s="2" t="s">
        <v>710</v>
      </c>
      <c r="AX52" s="2" t="str">
        <f t="shared" si="3"/>
        <v>Q7|NIST PQC</v>
      </c>
      <c r="AY52" s="13" t="s">
        <v>439</v>
      </c>
      <c r="AZ52" s="13" t="s">
        <v>439</v>
      </c>
      <c r="BA52" s="2"/>
      <c r="BE52" s="2" t="s">
        <v>712</v>
      </c>
      <c r="BF52" s="2" t="s">
        <v>1075</v>
      </c>
      <c r="BG52" s="2" t="str">
        <f t="shared" si="4"/>
        <v>FedRAMPSI</v>
      </c>
      <c r="BH52" s="2" t="s">
        <v>1130</v>
      </c>
    </row>
    <row r="53" spans="42:63" x14ac:dyDescent="0.2">
      <c r="AP53" s="2" t="s">
        <v>764</v>
      </c>
      <c r="AQ53" s="2" t="s">
        <v>254</v>
      </c>
      <c r="AR53" s="2" t="str">
        <f t="shared" si="0"/>
        <v xml:space="preserve"> Strategic Governance &amp; Risk Management </v>
      </c>
      <c r="AS53" s="2" t="str">
        <f>AQ51 &amp; "_3"</f>
        <v>SGRM_3</v>
      </c>
      <c r="AT53" s="2" t="str">
        <f t="shared" si="2"/>
        <v>Compliance &amp; Audit</v>
      </c>
      <c r="AV53" s="2" t="s">
        <v>720</v>
      </c>
      <c r="AW53" s="2" t="s">
        <v>1042</v>
      </c>
      <c r="AX53" s="2" t="str">
        <f t="shared" si="3"/>
        <v>Q7|CMMC 2.0</v>
      </c>
      <c r="AY53" s="13" t="s">
        <v>463</v>
      </c>
      <c r="AZ53" s="13" t="s">
        <v>1071</v>
      </c>
      <c r="BA53" s="2">
        <v>0.8</v>
      </c>
      <c r="BE53" s="2" t="s">
        <v>712</v>
      </c>
      <c r="BF53" s="2" t="s">
        <v>1076</v>
      </c>
      <c r="BG53" s="2" t="str">
        <f t="shared" si="4"/>
        <v>FedRAMPCA</v>
      </c>
      <c r="BH53" s="2" t="s">
        <v>1116</v>
      </c>
    </row>
    <row r="54" spans="42:63" x14ac:dyDescent="0.2">
      <c r="AP54" s="2" t="s">
        <v>765</v>
      </c>
      <c r="AQ54" s="2" t="s">
        <v>254</v>
      </c>
      <c r="AR54" s="2" t="str">
        <f t="shared" si="0"/>
        <v xml:space="preserve"> Strategic Governance &amp; Risk Management </v>
      </c>
      <c r="AS54" s="2" t="str">
        <f t="shared" ref="AS54:AS62" si="13">AQ52 &amp; "_3"</f>
        <v>SGRM_3</v>
      </c>
      <c r="AT54" s="2" t="str">
        <f t="shared" si="2"/>
        <v>Compliance &amp; Audit</v>
      </c>
      <c r="AV54" s="2" t="s">
        <v>720</v>
      </c>
      <c r="AW54" s="2" t="s">
        <v>711</v>
      </c>
      <c r="AX54" s="2" t="str">
        <f t="shared" si="3"/>
        <v>Q7|FISMA</v>
      </c>
      <c r="AY54" s="13" t="s">
        <v>464</v>
      </c>
      <c r="AZ54" s="13" t="s">
        <v>1071</v>
      </c>
      <c r="BA54" s="2">
        <v>1</v>
      </c>
      <c r="BE54" s="2" t="s">
        <v>712</v>
      </c>
      <c r="BF54" s="2" t="s">
        <v>1077</v>
      </c>
      <c r="BG54" s="2" t="str">
        <f t="shared" si="4"/>
        <v>FedRAMPPM</v>
      </c>
      <c r="BH54" s="2" t="s">
        <v>1125</v>
      </c>
    </row>
    <row r="55" spans="42:63" x14ac:dyDescent="0.2">
      <c r="AP55" s="2" t="s">
        <v>766</v>
      </c>
      <c r="AQ55" s="2" t="s">
        <v>254</v>
      </c>
      <c r="AR55" s="2" t="str">
        <f t="shared" si="0"/>
        <v xml:space="preserve"> Strategic Governance &amp; Risk Management </v>
      </c>
      <c r="AS55" s="2" t="str">
        <f t="shared" si="13"/>
        <v>SGRM_3</v>
      </c>
      <c r="AT55" s="2" t="str">
        <f t="shared" si="2"/>
        <v>Compliance &amp; Audit</v>
      </c>
      <c r="AV55" s="2" t="s">
        <v>720</v>
      </c>
      <c r="AW55" s="2" t="s">
        <v>712</v>
      </c>
      <c r="AX55" s="2" t="str">
        <f t="shared" si="3"/>
        <v>Q7|FedRAMP</v>
      </c>
      <c r="AY55" s="13" t="s">
        <v>464</v>
      </c>
      <c r="AZ55" s="13" t="s">
        <v>1071</v>
      </c>
      <c r="BA55" s="2">
        <v>1</v>
      </c>
      <c r="BE55" s="2" t="s">
        <v>712</v>
      </c>
      <c r="BF55" s="2" t="s">
        <v>1084</v>
      </c>
      <c r="BG55" s="2" t="str">
        <f t="shared" si="4"/>
        <v>FedRAMPPL</v>
      </c>
      <c r="BH55" s="2" t="s">
        <v>1124</v>
      </c>
    </row>
    <row r="56" spans="42:63" x14ac:dyDescent="0.2">
      <c r="AP56" s="2" t="s">
        <v>767</v>
      </c>
      <c r="AQ56" s="2" t="s">
        <v>254</v>
      </c>
      <c r="AR56" s="2" t="str">
        <f t="shared" si="0"/>
        <v xml:space="preserve"> Strategic Governance &amp; Risk Management </v>
      </c>
      <c r="AS56" s="2" t="str">
        <f t="shared" si="13"/>
        <v>SGRM_3</v>
      </c>
      <c r="AT56" s="2" t="str">
        <f t="shared" si="2"/>
        <v>Compliance &amp; Audit</v>
      </c>
      <c r="AV56" s="2" t="s">
        <v>720</v>
      </c>
      <c r="AW56" s="2" t="s">
        <v>1043</v>
      </c>
      <c r="AX56" s="2" t="str">
        <f t="shared" si="3"/>
        <v>Q7|ISO 27001</v>
      </c>
      <c r="AY56" s="13" t="s">
        <v>465</v>
      </c>
      <c r="AZ56" s="13" t="s">
        <v>1145</v>
      </c>
      <c r="BA56" s="2">
        <v>1</v>
      </c>
      <c r="BE56" s="2" t="s">
        <v>712</v>
      </c>
      <c r="BF56" s="2" t="s">
        <v>1078</v>
      </c>
      <c r="BG56" s="2" t="str">
        <f t="shared" si="4"/>
        <v>FedRAMPIR</v>
      </c>
      <c r="BH56" s="2" t="s">
        <v>1120</v>
      </c>
    </row>
    <row r="57" spans="42:63" x14ac:dyDescent="0.2">
      <c r="AP57" s="2" t="s">
        <v>768</v>
      </c>
      <c r="AQ57" s="2" t="s">
        <v>254</v>
      </c>
      <c r="AR57" s="2" t="str">
        <f t="shared" si="0"/>
        <v xml:space="preserve"> Strategic Governance &amp; Risk Management </v>
      </c>
      <c r="AS57" s="2" t="str">
        <f t="shared" si="13"/>
        <v>SGRM_3</v>
      </c>
      <c r="AT57" s="2" t="str">
        <f t="shared" si="2"/>
        <v>Compliance &amp; Audit</v>
      </c>
      <c r="AV57" s="2" t="s">
        <v>720</v>
      </c>
      <c r="AW57" s="2" t="s">
        <v>713</v>
      </c>
      <c r="AX57" s="2" t="str">
        <f t="shared" si="3"/>
        <v>Q7|SOC2</v>
      </c>
      <c r="AY57" s="13" t="s">
        <v>462</v>
      </c>
      <c r="AZ57" s="13" t="s">
        <v>1191</v>
      </c>
      <c r="BA57" s="2">
        <v>1</v>
      </c>
      <c r="BE57" s="2" t="s">
        <v>712</v>
      </c>
      <c r="BF57" s="2" t="s">
        <v>1079</v>
      </c>
      <c r="BG57" s="2" t="str">
        <f t="shared" si="4"/>
        <v>FedRAMPCP</v>
      </c>
      <c r="BH57" s="2" t="s">
        <v>1118</v>
      </c>
    </row>
    <row r="58" spans="42:63" x14ac:dyDescent="0.2">
      <c r="AP58" s="2" t="s">
        <v>769</v>
      </c>
      <c r="AQ58" s="2" t="s">
        <v>254</v>
      </c>
      <c r="AR58" s="2" t="str">
        <f t="shared" si="0"/>
        <v xml:space="preserve"> Strategic Governance &amp; Risk Management </v>
      </c>
      <c r="AS58" s="2" t="str">
        <f t="shared" si="13"/>
        <v>SGRM_3</v>
      </c>
      <c r="AT58" s="2" t="str">
        <f t="shared" si="2"/>
        <v>Compliance &amp; Audit</v>
      </c>
      <c r="AV58" s="2" t="s">
        <v>720</v>
      </c>
      <c r="AW58" s="2" t="s">
        <v>1044</v>
      </c>
      <c r="AX58" s="2" t="str">
        <f t="shared" si="3"/>
        <v>Q7|CIS v8</v>
      </c>
      <c r="AY58" s="13">
        <v>13.1</v>
      </c>
      <c r="AZ58" s="13" t="s">
        <v>1086</v>
      </c>
      <c r="BA58" s="2">
        <v>0.8</v>
      </c>
      <c r="BE58" s="2" t="s">
        <v>712</v>
      </c>
      <c r="BF58" s="2" t="s">
        <v>1080</v>
      </c>
      <c r="BG58" s="2" t="str">
        <f t="shared" si="4"/>
        <v>FedRAMPIA</v>
      </c>
      <c r="BH58" s="2" t="s">
        <v>1119</v>
      </c>
    </row>
    <row r="59" spans="42:63" x14ac:dyDescent="0.2">
      <c r="AP59" s="2" t="s">
        <v>770</v>
      </c>
      <c r="AQ59" s="2" t="s">
        <v>254</v>
      </c>
      <c r="AR59" s="2" t="str">
        <f t="shared" si="0"/>
        <v xml:space="preserve"> Strategic Governance &amp; Risk Management </v>
      </c>
      <c r="AS59" s="2" t="str">
        <f t="shared" si="13"/>
        <v>SGRM_3</v>
      </c>
      <c r="AT59" s="2" t="str">
        <f t="shared" si="2"/>
        <v>Compliance &amp; Audit</v>
      </c>
      <c r="AV59" s="2" t="s">
        <v>721</v>
      </c>
      <c r="AW59" s="2" t="s">
        <v>1041</v>
      </c>
      <c r="AX59" s="2" t="str">
        <f t="shared" si="3"/>
        <v>Q8|NIST CSF 2.0</v>
      </c>
      <c r="AY59" s="13" t="s">
        <v>466</v>
      </c>
      <c r="AZ59" s="13" t="s">
        <v>1064</v>
      </c>
      <c r="BA59" s="2">
        <v>1</v>
      </c>
      <c r="BE59" s="2" t="s">
        <v>712</v>
      </c>
      <c r="BF59" s="2" t="s">
        <v>1081</v>
      </c>
      <c r="BG59" s="2" t="str">
        <f t="shared" si="4"/>
        <v>FedRAMPAU</v>
      </c>
      <c r="BH59" s="2" t="s">
        <v>1115</v>
      </c>
    </row>
    <row r="60" spans="42:63" x14ac:dyDescent="0.2">
      <c r="AP60" s="2" t="s">
        <v>771</v>
      </c>
      <c r="AQ60" s="2" t="s">
        <v>254</v>
      </c>
      <c r="AR60" s="2" t="str">
        <f t="shared" si="0"/>
        <v xml:space="preserve"> Strategic Governance &amp; Risk Management </v>
      </c>
      <c r="AS60" s="2" t="str">
        <f t="shared" si="13"/>
        <v>SGRM_3</v>
      </c>
      <c r="AT60" s="2" t="str">
        <f t="shared" si="2"/>
        <v>Compliance &amp; Audit</v>
      </c>
      <c r="AV60" s="2" t="s">
        <v>721</v>
      </c>
      <c r="AW60" s="2" t="s">
        <v>710</v>
      </c>
      <c r="AX60" s="2" t="str">
        <f t="shared" si="3"/>
        <v>Q8|NIST PQC</v>
      </c>
      <c r="AY60" s="13" t="s">
        <v>467</v>
      </c>
      <c r="AZ60" s="13" t="s">
        <v>1092</v>
      </c>
      <c r="BA60" s="2">
        <v>1</v>
      </c>
      <c r="BE60" s="2" t="s">
        <v>712</v>
      </c>
      <c r="BF60" s="2" t="s">
        <v>1082</v>
      </c>
      <c r="BG60" s="2" t="str">
        <f t="shared" si="4"/>
        <v>FedRAMPMP</v>
      </c>
      <c r="BH60" s="2" t="s">
        <v>1122</v>
      </c>
    </row>
    <row r="61" spans="42:63" x14ac:dyDescent="0.2">
      <c r="AP61" s="2" t="s">
        <v>772</v>
      </c>
      <c r="AQ61" s="2" t="s">
        <v>254</v>
      </c>
      <c r="AR61" s="2" t="str">
        <f t="shared" si="0"/>
        <v xml:space="preserve"> Strategic Governance &amp; Risk Management </v>
      </c>
      <c r="AS61" s="2" t="str">
        <f t="shared" si="13"/>
        <v>SGRM_3</v>
      </c>
      <c r="AT61" s="2" t="str">
        <f t="shared" si="2"/>
        <v>Compliance &amp; Audit</v>
      </c>
      <c r="AV61" s="2" t="s">
        <v>721</v>
      </c>
      <c r="AW61" s="2" t="s">
        <v>1042</v>
      </c>
      <c r="AX61" s="2" t="str">
        <f t="shared" si="3"/>
        <v>Q8|CMMC 2.0</v>
      </c>
      <c r="AY61" s="13" t="s">
        <v>468</v>
      </c>
      <c r="AZ61" s="13" t="s">
        <v>1073</v>
      </c>
      <c r="BA61" s="2">
        <v>1</v>
      </c>
      <c r="BE61" s="2" t="s">
        <v>712</v>
      </c>
      <c r="BF61" s="2" t="s">
        <v>1070</v>
      </c>
      <c r="BG61" s="2" t="str">
        <f t="shared" si="4"/>
        <v>FedRAMPAC</v>
      </c>
      <c r="BH61" s="2" t="s">
        <v>1154</v>
      </c>
    </row>
    <row r="62" spans="42:63" x14ac:dyDescent="0.2">
      <c r="AP62" s="2" t="s">
        <v>773</v>
      </c>
      <c r="AQ62" s="2" t="s">
        <v>254</v>
      </c>
      <c r="AR62" s="2" t="str">
        <f t="shared" si="0"/>
        <v xml:space="preserve"> Strategic Governance &amp; Risk Management </v>
      </c>
      <c r="AS62" s="2" t="str">
        <f t="shared" si="13"/>
        <v>SGRM_3</v>
      </c>
      <c r="AT62" s="2" t="str">
        <f t="shared" si="2"/>
        <v>Compliance &amp; Audit</v>
      </c>
      <c r="AV62" s="2" t="s">
        <v>721</v>
      </c>
      <c r="AW62" s="2" t="s">
        <v>711</v>
      </c>
      <c r="AX62" s="2" t="str">
        <f t="shared" si="3"/>
        <v>Q8|FISMA</v>
      </c>
      <c r="AY62" s="13" t="s">
        <v>447</v>
      </c>
      <c r="AZ62" s="13" t="s">
        <v>1073</v>
      </c>
      <c r="BA62" s="2">
        <v>1</v>
      </c>
      <c r="BE62" s="2" t="s">
        <v>1043</v>
      </c>
      <c r="BF62" s="2" t="s">
        <v>1137</v>
      </c>
      <c r="BG62" s="2" t="str">
        <f t="shared" si="4"/>
        <v>ISO 27001A.5</v>
      </c>
      <c r="BH62" s="2" t="s">
        <v>1151</v>
      </c>
      <c r="BK62" s="151"/>
    </row>
    <row r="63" spans="42:63" x14ac:dyDescent="0.2">
      <c r="AP63" s="2" t="s">
        <v>774</v>
      </c>
      <c r="AQ63" s="2" t="s">
        <v>316</v>
      </c>
      <c r="AR63" s="2" t="str">
        <f t="shared" si="0"/>
        <v xml:space="preserve"> Data Protection &amp; Encryption </v>
      </c>
      <c r="AS63" s="2" t="str">
        <f>AQ63 &amp; "_1"</f>
        <v>DPE_1</v>
      </c>
      <c r="AT63" s="2" t="str">
        <f t="shared" si="2"/>
        <v>Encryption Implementation</v>
      </c>
      <c r="AV63" s="2" t="s">
        <v>721</v>
      </c>
      <c r="AW63" s="2" t="s">
        <v>712</v>
      </c>
      <c r="AX63" s="2" t="str">
        <f t="shared" si="3"/>
        <v>Q8|FedRAMP</v>
      </c>
      <c r="AY63" s="13" t="s">
        <v>447</v>
      </c>
      <c r="AZ63" s="13" t="s">
        <v>1073</v>
      </c>
      <c r="BA63" s="2">
        <v>1</v>
      </c>
      <c r="BE63" s="2" t="s">
        <v>1043</v>
      </c>
      <c r="BF63" s="2" t="s">
        <v>1138</v>
      </c>
      <c r="BG63" s="2" t="str">
        <f t="shared" si="4"/>
        <v>ISO 27001A.6</v>
      </c>
      <c r="BH63" s="2" t="s">
        <v>1157</v>
      </c>
      <c r="BK63" s="151"/>
    </row>
    <row r="64" spans="42:63" x14ac:dyDescent="0.2">
      <c r="AP64" s="2" t="s">
        <v>775</v>
      </c>
      <c r="AQ64" s="2" t="s">
        <v>316</v>
      </c>
      <c r="AR64" s="2" t="str">
        <f t="shared" si="0"/>
        <v xml:space="preserve"> Data Protection &amp; Encryption </v>
      </c>
      <c r="AS64" s="2" t="str">
        <f t="shared" ref="AS64:AS72" si="14">AQ64 &amp; "_1"</f>
        <v>DPE_1</v>
      </c>
      <c r="AT64" s="2" t="str">
        <f t="shared" si="2"/>
        <v>Encryption Implementation</v>
      </c>
      <c r="AV64" s="2" t="s">
        <v>721</v>
      </c>
      <c r="AW64" s="2" t="s">
        <v>1043</v>
      </c>
      <c r="AX64" s="2" t="str">
        <f t="shared" si="3"/>
        <v>Q8|ISO 27001</v>
      </c>
      <c r="AY64" s="13" t="s">
        <v>469</v>
      </c>
      <c r="AZ64" s="13" t="s">
        <v>1137</v>
      </c>
      <c r="BA64" s="2">
        <v>1</v>
      </c>
      <c r="BE64" s="2" t="s">
        <v>1043</v>
      </c>
      <c r="BF64" s="2" t="s">
        <v>1139</v>
      </c>
      <c r="BG64" s="2" t="str">
        <f t="shared" si="4"/>
        <v>ISO 27001A.7</v>
      </c>
      <c r="BH64" s="2" t="s">
        <v>1152</v>
      </c>
      <c r="BK64" s="151"/>
    </row>
    <row r="65" spans="42:63" x14ac:dyDescent="0.2">
      <c r="AP65" s="2" t="s">
        <v>776</v>
      </c>
      <c r="AQ65" s="2" t="s">
        <v>316</v>
      </c>
      <c r="AR65" s="2" t="str">
        <f t="shared" si="0"/>
        <v xml:space="preserve"> Data Protection &amp; Encryption </v>
      </c>
      <c r="AS65" s="2" t="str">
        <f t="shared" si="14"/>
        <v>DPE_1</v>
      </c>
      <c r="AT65" s="2" t="str">
        <f t="shared" si="2"/>
        <v>Encryption Implementation</v>
      </c>
      <c r="AV65" s="2" t="s">
        <v>721</v>
      </c>
      <c r="AW65" s="2" t="s">
        <v>713</v>
      </c>
      <c r="AX65" s="2" t="str">
        <f t="shared" si="3"/>
        <v>Q8|SOC2</v>
      </c>
      <c r="AY65" s="13" t="s">
        <v>470</v>
      </c>
      <c r="AZ65" s="13" t="s">
        <v>1192</v>
      </c>
      <c r="BA65" s="2">
        <v>1</v>
      </c>
      <c r="BE65" s="2" t="s">
        <v>1043</v>
      </c>
      <c r="BF65" s="2" t="s">
        <v>1140</v>
      </c>
      <c r="BG65" s="2" t="str">
        <f t="shared" si="4"/>
        <v>ISO 27001A.8</v>
      </c>
      <c r="BH65" s="2" t="s">
        <v>1153</v>
      </c>
      <c r="BK65" s="151"/>
    </row>
    <row r="66" spans="42:63" x14ac:dyDescent="0.2">
      <c r="AP66" s="2" t="s">
        <v>777</v>
      </c>
      <c r="AQ66" s="2" t="s">
        <v>316</v>
      </c>
      <c r="AR66" s="2" t="str">
        <f t="shared" si="0"/>
        <v xml:space="preserve"> Data Protection &amp; Encryption </v>
      </c>
      <c r="AS66" s="2" t="str">
        <f t="shared" si="14"/>
        <v>DPE_1</v>
      </c>
      <c r="AT66" s="2" t="str">
        <f t="shared" si="2"/>
        <v>Encryption Implementation</v>
      </c>
      <c r="AV66" s="2" t="s">
        <v>721</v>
      </c>
      <c r="AW66" s="2" t="s">
        <v>1044</v>
      </c>
      <c r="AX66" s="2" t="str">
        <f t="shared" si="3"/>
        <v>Q8|CIS v8</v>
      </c>
      <c r="AY66" s="13">
        <v>13.1</v>
      </c>
      <c r="AZ66" s="13" t="s">
        <v>1086</v>
      </c>
      <c r="BA66" s="2">
        <v>0.8</v>
      </c>
      <c r="BE66" s="2" t="s">
        <v>1043</v>
      </c>
      <c r="BF66" s="2" t="s">
        <v>1141</v>
      </c>
      <c r="BG66" s="2" t="str">
        <f t="shared" si="4"/>
        <v>ISO 27001A.9</v>
      </c>
      <c r="BH66" s="2" t="s">
        <v>1154</v>
      </c>
      <c r="BK66" s="151"/>
    </row>
    <row r="67" spans="42:63" x14ac:dyDescent="0.2">
      <c r="AP67" s="2" t="s">
        <v>778</v>
      </c>
      <c r="AQ67" s="2" t="s">
        <v>316</v>
      </c>
      <c r="AR67" s="2" t="str">
        <f t="shared" si="0"/>
        <v xml:space="preserve"> Data Protection &amp; Encryption </v>
      </c>
      <c r="AS67" s="2" t="str">
        <f t="shared" si="14"/>
        <v>DPE_1</v>
      </c>
      <c r="AT67" s="2" t="str">
        <f t="shared" si="2"/>
        <v>Encryption Implementation</v>
      </c>
      <c r="AV67" s="2" t="s">
        <v>722</v>
      </c>
      <c r="AW67" s="2" t="s">
        <v>1041</v>
      </c>
      <c r="AX67" s="2" t="str">
        <f t="shared" si="3"/>
        <v>Q9|NIST CSF 2.0</v>
      </c>
      <c r="AY67" s="13" t="s">
        <v>471</v>
      </c>
      <c r="AZ67" s="13" t="s">
        <v>1064</v>
      </c>
      <c r="BA67" s="2">
        <v>1</v>
      </c>
      <c r="BE67" s="2" t="s">
        <v>1043</v>
      </c>
      <c r="BF67" s="2" t="s">
        <v>1142</v>
      </c>
      <c r="BG67" s="2" t="str">
        <f t="shared" si="4"/>
        <v>ISO 27001A.10</v>
      </c>
      <c r="BH67" s="2" t="s">
        <v>1155</v>
      </c>
      <c r="BK67" s="151"/>
    </row>
    <row r="68" spans="42:63" x14ac:dyDescent="0.2">
      <c r="AP68" s="2" t="s">
        <v>779</v>
      </c>
      <c r="AQ68" s="2" t="s">
        <v>316</v>
      </c>
      <c r="AR68" s="2" t="str">
        <f t="shared" ref="AR68:AR122" si="15">INDEX($Z$3:$Z$6,MATCH(AQ68,$AA$3:$AA$6,0))</f>
        <v xml:space="preserve"> Data Protection &amp; Encryption </v>
      </c>
      <c r="AS68" s="2" t="str">
        <f t="shared" si="14"/>
        <v>DPE_1</v>
      </c>
      <c r="AT68" s="2" t="str">
        <f t="shared" ref="AT68:AT122" si="16">INDEX($U$3:$U$14,MATCH(AS68,$V$3:$V$14,0))</f>
        <v>Encryption Implementation</v>
      </c>
      <c r="AV68" s="2" t="s">
        <v>722</v>
      </c>
      <c r="AW68" s="2" t="s">
        <v>710</v>
      </c>
      <c r="AX68" s="2" t="str">
        <f t="shared" ref="AX68:AX131" si="17">_xlfn.CONCAT(AV68,"|",AW68)</f>
        <v>Q9|NIST PQC</v>
      </c>
      <c r="AY68" s="13" t="s">
        <v>439</v>
      </c>
      <c r="AZ68" s="13" t="s">
        <v>439</v>
      </c>
      <c r="BA68" s="2"/>
      <c r="BE68" s="2" t="s">
        <v>1043</v>
      </c>
      <c r="BF68" s="2" t="s">
        <v>1143</v>
      </c>
      <c r="BG68" s="2" t="str">
        <f t="shared" si="4"/>
        <v>ISO 27001A.11</v>
      </c>
      <c r="BH68" s="2" t="s">
        <v>1156</v>
      </c>
      <c r="BK68" s="151"/>
    </row>
    <row r="69" spans="42:63" x14ac:dyDescent="0.2">
      <c r="AP69" s="2" t="s">
        <v>780</v>
      </c>
      <c r="AQ69" s="2" t="s">
        <v>316</v>
      </c>
      <c r="AR69" s="2" t="str">
        <f t="shared" si="15"/>
        <v xml:space="preserve"> Data Protection &amp; Encryption </v>
      </c>
      <c r="AS69" s="2" t="str">
        <f t="shared" si="14"/>
        <v>DPE_1</v>
      </c>
      <c r="AT69" s="2" t="str">
        <f t="shared" si="16"/>
        <v>Encryption Implementation</v>
      </c>
      <c r="AV69" s="2" t="s">
        <v>722</v>
      </c>
      <c r="AW69" s="2" t="s">
        <v>1042</v>
      </c>
      <c r="AX69" s="2" t="str">
        <f t="shared" si="17"/>
        <v>Q9|CMMC 2.0</v>
      </c>
      <c r="AY69" s="13" t="s">
        <v>472</v>
      </c>
      <c r="AZ69" s="13" t="s">
        <v>1072</v>
      </c>
      <c r="BA69" s="2">
        <v>0.8</v>
      </c>
      <c r="BE69" s="2" t="s">
        <v>1043</v>
      </c>
      <c r="BF69" s="2" t="s">
        <v>1144</v>
      </c>
      <c r="BG69" s="2" t="str">
        <f t="shared" si="4"/>
        <v>ISO 27001A.12</v>
      </c>
      <c r="BH69" s="2" t="s">
        <v>1158</v>
      </c>
      <c r="BK69" s="151"/>
    </row>
    <row r="70" spans="42:63" x14ac:dyDescent="0.2">
      <c r="AP70" s="2" t="s">
        <v>781</v>
      </c>
      <c r="AQ70" s="2" t="s">
        <v>316</v>
      </c>
      <c r="AR70" s="2" t="str">
        <f t="shared" si="15"/>
        <v xml:space="preserve"> Data Protection &amp; Encryption </v>
      </c>
      <c r="AS70" s="2" t="str">
        <f t="shared" si="14"/>
        <v>DPE_1</v>
      </c>
      <c r="AT70" s="2" t="str">
        <f t="shared" si="16"/>
        <v>Encryption Implementation</v>
      </c>
      <c r="AV70" s="2" t="s">
        <v>722</v>
      </c>
      <c r="AW70" s="2" t="s">
        <v>711</v>
      </c>
      <c r="AX70" s="2" t="str">
        <f t="shared" si="17"/>
        <v>Q9|FISMA</v>
      </c>
      <c r="AY70" s="13" t="s">
        <v>473</v>
      </c>
      <c r="AZ70" s="13" t="s">
        <v>1083</v>
      </c>
      <c r="BA70" s="2">
        <v>1</v>
      </c>
      <c r="BE70" s="2" t="s">
        <v>1043</v>
      </c>
      <c r="BF70" s="2" t="s">
        <v>1145</v>
      </c>
      <c r="BG70" s="2" t="str">
        <f t="shared" si="4"/>
        <v>ISO 27001A.13</v>
      </c>
      <c r="BH70" s="2" t="s">
        <v>1159</v>
      </c>
      <c r="BK70" s="151"/>
    </row>
    <row r="71" spans="42:63" x14ac:dyDescent="0.2">
      <c r="AP71" s="2" t="s">
        <v>782</v>
      </c>
      <c r="AQ71" s="2" t="s">
        <v>316</v>
      </c>
      <c r="AR71" s="2" t="str">
        <f t="shared" si="15"/>
        <v xml:space="preserve"> Data Protection &amp; Encryption </v>
      </c>
      <c r="AS71" s="2" t="str">
        <f t="shared" si="14"/>
        <v>DPE_1</v>
      </c>
      <c r="AT71" s="2" t="str">
        <f t="shared" si="16"/>
        <v>Encryption Implementation</v>
      </c>
      <c r="AV71" s="2" t="s">
        <v>722</v>
      </c>
      <c r="AW71" s="2" t="s">
        <v>712</v>
      </c>
      <c r="AX71" s="2" t="str">
        <f t="shared" si="17"/>
        <v>Q9|FedRAMP</v>
      </c>
      <c r="AY71" s="13" t="s">
        <v>473</v>
      </c>
      <c r="AZ71" s="13" t="s">
        <v>1083</v>
      </c>
      <c r="BA71" s="2">
        <v>1</v>
      </c>
      <c r="BE71" s="2" t="s">
        <v>1043</v>
      </c>
      <c r="BF71" s="2" t="s">
        <v>1146</v>
      </c>
      <c r="BG71" s="2" t="str">
        <f t="shared" si="4"/>
        <v>ISO 27001A.14</v>
      </c>
      <c r="BH71" s="2" t="s">
        <v>1160</v>
      </c>
      <c r="BK71" s="151"/>
    </row>
    <row r="72" spans="42:63" x14ac:dyDescent="0.2">
      <c r="AP72" s="2" t="s">
        <v>783</v>
      </c>
      <c r="AQ72" s="2" t="s">
        <v>316</v>
      </c>
      <c r="AR72" s="2" t="str">
        <f t="shared" si="15"/>
        <v xml:space="preserve"> Data Protection &amp; Encryption </v>
      </c>
      <c r="AS72" s="2" t="str">
        <f t="shared" si="14"/>
        <v>DPE_1</v>
      </c>
      <c r="AT72" s="2" t="str">
        <f t="shared" si="16"/>
        <v>Encryption Implementation</v>
      </c>
      <c r="AV72" s="2" t="s">
        <v>722</v>
      </c>
      <c r="AW72" s="2" t="s">
        <v>1043</v>
      </c>
      <c r="AX72" s="2" t="str">
        <f t="shared" si="17"/>
        <v>Q9|ISO 27001</v>
      </c>
      <c r="AY72" s="13" t="s">
        <v>474</v>
      </c>
      <c r="AZ72" s="13" t="s">
        <v>1147</v>
      </c>
      <c r="BA72" s="2">
        <v>1</v>
      </c>
      <c r="BE72" s="2" t="s">
        <v>1043</v>
      </c>
      <c r="BF72" s="2" t="s">
        <v>1147</v>
      </c>
      <c r="BG72" s="2" t="str">
        <f t="shared" si="4"/>
        <v>ISO 27001A.15</v>
      </c>
      <c r="BH72" s="2" t="s">
        <v>1161</v>
      </c>
      <c r="BK72" s="151"/>
    </row>
    <row r="73" spans="42:63" x14ac:dyDescent="0.2">
      <c r="AP73" s="2" t="s">
        <v>784</v>
      </c>
      <c r="AQ73" s="2" t="s">
        <v>316</v>
      </c>
      <c r="AR73" s="2" t="str">
        <f t="shared" si="15"/>
        <v xml:space="preserve"> Data Protection &amp; Encryption </v>
      </c>
      <c r="AS73" s="2" t="str">
        <f>AQ72 &amp; "_2"</f>
        <v>DPE_2</v>
      </c>
      <c r="AT73" s="2" t="str">
        <f t="shared" si="16"/>
        <v>Key Management Systems</v>
      </c>
      <c r="AV73" s="2" t="s">
        <v>722</v>
      </c>
      <c r="AW73" s="2" t="s">
        <v>713</v>
      </c>
      <c r="AX73" s="2" t="str">
        <f t="shared" si="17"/>
        <v>Q9|SOC2</v>
      </c>
      <c r="AY73" s="13" t="s">
        <v>475</v>
      </c>
      <c r="AZ73" s="13" t="s">
        <v>1193</v>
      </c>
      <c r="BA73" s="2">
        <v>1</v>
      </c>
      <c r="BE73" s="2" t="s">
        <v>1043</v>
      </c>
      <c r="BF73" s="2" t="s">
        <v>1148</v>
      </c>
      <c r="BG73" s="2" t="str">
        <f t="shared" si="4"/>
        <v>ISO 27001A.16</v>
      </c>
      <c r="BH73" s="2" t="s">
        <v>1162</v>
      </c>
      <c r="BK73" s="151"/>
    </row>
    <row r="74" spans="42:63" x14ac:dyDescent="0.2">
      <c r="AP74" s="2" t="s">
        <v>785</v>
      </c>
      <c r="AQ74" s="2" t="s">
        <v>316</v>
      </c>
      <c r="AR74" s="2" t="str">
        <f t="shared" si="15"/>
        <v xml:space="preserve"> Data Protection &amp; Encryption </v>
      </c>
      <c r="AS74" s="2" t="str">
        <f t="shared" ref="AS74:AS82" si="18">AQ73 &amp; "_2"</f>
        <v>DPE_2</v>
      </c>
      <c r="AT74" s="2" t="str">
        <f t="shared" si="16"/>
        <v>Key Management Systems</v>
      </c>
      <c r="AV74" s="2" t="s">
        <v>722</v>
      </c>
      <c r="AW74" s="2" t="s">
        <v>1044</v>
      </c>
      <c r="AX74" s="2" t="str">
        <f t="shared" si="17"/>
        <v>Q9|CIS v8</v>
      </c>
      <c r="AY74" s="13">
        <v>15.1</v>
      </c>
      <c r="AZ74" s="13" t="s">
        <v>1087</v>
      </c>
      <c r="BA74" s="2">
        <v>1</v>
      </c>
      <c r="BE74" s="2" t="s">
        <v>1043</v>
      </c>
      <c r="BF74" s="2" t="s">
        <v>1149</v>
      </c>
      <c r="BG74" s="2" t="str">
        <f t="shared" si="4"/>
        <v>ISO 27001A.17</v>
      </c>
      <c r="BH74" s="2" t="s">
        <v>1163</v>
      </c>
      <c r="BK74" s="151"/>
    </row>
    <row r="75" spans="42:63" x14ac:dyDescent="0.2">
      <c r="AP75" s="2" t="s">
        <v>786</v>
      </c>
      <c r="AQ75" s="2" t="s">
        <v>316</v>
      </c>
      <c r="AR75" s="2" t="str">
        <f t="shared" si="15"/>
        <v xml:space="preserve"> Data Protection &amp; Encryption </v>
      </c>
      <c r="AS75" s="2" t="str">
        <f t="shared" si="18"/>
        <v>DPE_2</v>
      </c>
      <c r="AT75" s="2" t="str">
        <f t="shared" si="16"/>
        <v>Key Management Systems</v>
      </c>
      <c r="AV75" s="2" t="s">
        <v>723</v>
      </c>
      <c r="AW75" s="2" t="s">
        <v>1041</v>
      </c>
      <c r="AX75" s="2" t="str">
        <f t="shared" si="17"/>
        <v>Q10|NIST CSF 2.0</v>
      </c>
      <c r="AY75" s="13" t="s">
        <v>476</v>
      </c>
      <c r="AZ75" s="13" t="s">
        <v>1064</v>
      </c>
      <c r="BA75" s="2">
        <v>1</v>
      </c>
      <c r="BE75" s="2" t="s">
        <v>1043</v>
      </c>
      <c r="BF75" s="2" t="s">
        <v>1150</v>
      </c>
      <c r="BG75" s="2" t="str">
        <f t="shared" si="4"/>
        <v>ISO 27001A.18</v>
      </c>
      <c r="BH75" s="2" t="s">
        <v>1164</v>
      </c>
      <c r="BK75" s="151"/>
    </row>
    <row r="76" spans="42:63" x14ac:dyDescent="0.2">
      <c r="AP76" s="2" t="s">
        <v>787</v>
      </c>
      <c r="AQ76" s="2" t="s">
        <v>316</v>
      </c>
      <c r="AR76" s="2" t="str">
        <f t="shared" si="15"/>
        <v xml:space="preserve"> Data Protection &amp; Encryption </v>
      </c>
      <c r="AS76" s="2" t="str">
        <f t="shared" si="18"/>
        <v>DPE_2</v>
      </c>
      <c r="AT76" s="2" t="str">
        <f t="shared" si="16"/>
        <v>Key Management Systems</v>
      </c>
      <c r="AV76" s="2" t="s">
        <v>723</v>
      </c>
      <c r="AW76" s="2" t="s">
        <v>710</v>
      </c>
      <c r="AX76" s="2" t="str">
        <f t="shared" si="17"/>
        <v>Q10|NIST PQC</v>
      </c>
      <c r="AY76" s="13" t="s">
        <v>439</v>
      </c>
      <c r="AZ76" s="13" t="s">
        <v>439</v>
      </c>
      <c r="BA76" s="2"/>
      <c r="BE76" s="2" t="s">
        <v>713</v>
      </c>
      <c r="BF76" s="2" t="s">
        <v>1196</v>
      </c>
      <c r="BG76" s="2" t="str">
        <f t="shared" si="4"/>
        <v>SOC2CC1</v>
      </c>
      <c r="BH76" s="2" t="s">
        <v>1201</v>
      </c>
    </row>
    <row r="77" spans="42:63" x14ac:dyDescent="0.2">
      <c r="AP77" s="2" t="s">
        <v>788</v>
      </c>
      <c r="AQ77" s="2" t="s">
        <v>316</v>
      </c>
      <c r="AR77" s="2" t="str">
        <f t="shared" si="15"/>
        <v xml:space="preserve"> Data Protection &amp; Encryption </v>
      </c>
      <c r="AS77" s="2" t="str">
        <f t="shared" si="18"/>
        <v>DPE_2</v>
      </c>
      <c r="AT77" s="2" t="str">
        <f t="shared" si="16"/>
        <v>Key Management Systems</v>
      </c>
      <c r="AV77" s="2" t="s">
        <v>723</v>
      </c>
      <c r="AW77" s="2" t="s">
        <v>1042</v>
      </c>
      <c r="AX77" s="2" t="str">
        <f t="shared" si="17"/>
        <v>Q10|CMMC 2.0</v>
      </c>
      <c r="AY77" s="13" t="s">
        <v>477</v>
      </c>
      <c r="AZ77" s="13" t="s">
        <v>1072</v>
      </c>
      <c r="BA77" s="2">
        <v>0.8</v>
      </c>
      <c r="BE77" s="2" t="s">
        <v>713</v>
      </c>
      <c r="BF77" s="2" t="s">
        <v>1197</v>
      </c>
      <c r="BG77" s="2" t="str">
        <f t="shared" si="4"/>
        <v>SOC2CC2</v>
      </c>
      <c r="BH77" s="2" t="s">
        <v>1202</v>
      </c>
    </row>
    <row r="78" spans="42:63" x14ac:dyDescent="0.2">
      <c r="AP78" s="2" t="s">
        <v>789</v>
      </c>
      <c r="AQ78" s="2" t="s">
        <v>316</v>
      </c>
      <c r="AR78" s="2" t="str">
        <f t="shared" si="15"/>
        <v xml:space="preserve"> Data Protection &amp; Encryption </v>
      </c>
      <c r="AS78" s="2" t="str">
        <f t="shared" si="18"/>
        <v>DPE_2</v>
      </c>
      <c r="AT78" s="2" t="str">
        <f t="shared" si="16"/>
        <v>Key Management Systems</v>
      </c>
      <c r="AV78" s="2" t="s">
        <v>723</v>
      </c>
      <c r="AW78" s="2" t="s">
        <v>711</v>
      </c>
      <c r="AX78" s="2" t="str">
        <f t="shared" si="17"/>
        <v>Q10|FISMA</v>
      </c>
      <c r="AY78" s="13" t="s">
        <v>478</v>
      </c>
      <c r="AZ78" s="13" t="s">
        <v>1072</v>
      </c>
      <c r="BA78" s="2">
        <v>1</v>
      </c>
      <c r="BE78" s="2" t="s">
        <v>713</v>
      </c>
      <c r="BF78" s="2" t="s">
        <v>1192</v>
      </c>
      <c r="BG78" s="2" t="str">
        <f t="shared" si="4"/>
        <v>SOC2CC3</v>
      </c>
      <c r="BH78" s="2" t="s">
        <v>1127</v>
      </c>
    </row>
    <row r="79" spans="42:63" x14ac:dyDescent="0.2">
      <c r="AP79" s="2" t="s">
        <v>790</v>
      </c>
      <c r="AQ79" s="2" t="s">
        <v>316</v>
      </c>
      <c r="AR79" s="2" t="str">
        <f t="shared" si="15"/>
        <v xml:space="preserve"> Data Protection &amp; Encryption </v>
      </c>
      <c r="AS79" s="2" t="str">
        <f t="shared" si="18"/>
        <v>DPE_2</v>
      </c>
      <c r="AT79" s="2" t="str">
        <f t="shared" si="16"/>
        <v>Key Management Systems</v>
      </c>
      <c r="AV79" s="2" t="s">
        <v>723</v>
      </c>
      <c r="AW79" s="2" t="s">
        <v>712</v>
      </c>
      <c r="AX79" s="2" t="str">
        <f t="shared" si="17"/>
        <v>Q10|FedRAMP</v>
      </c>
      <c r="AY79" s="13" t="s">
        <v>478</v>
      </c>
      <c r="AZ79" s="13" t="s">
        <v>1072</v>
      </c>
      <c r="BA79" s="2">
        <v>1</v>
      </c>
      <c r="BE79" s="2" t="s">
        <v>713</v>
      </c>
      <c r="BF79" s="2" t="s">
        <v>1195</v>
      </c>
      <c r="BG79" s="2" t="str">
        <f t="shared" si="4"/>
        <v>SOC2CC4</v>
      </c>
      <c r="BH79" s="2" t="s">
        <v>1203</v>
      </c>
    </row>
    <row r="80" spans="42:63" x14ac:dyDescent="0.2">
      <c r="AP80" s="2" t="s">
        <v>791</v>
      </c>
      <c r="AQ80" s="2" t="s">
        <v>316</v>
      </c>
      <c r="AR80" s="2" t="str">
        <f t="shared" si="15"/>
        <v xml:space="preserve"> Data Protection &amp; Encryption </v>
      </c>
      <c r="AS80" s="2" t="str">
        <f t="shared" si="18"/>
        <v>DPE_2</v>
      </c>
      <c r="AT80" s="2" t="str">
        <f t="shared" si="16"/>
        <v>Key Management Systems</v>
      </c>
      <c r="AV80" s="2" t="s">
        <v>723</v>
      </c>
      <c r="AW80" s="2" t="s">
        <v>1043</v>
      </c>
      <c r="AX80" s="2" t="str">
        <f t="shared" si="17"/>
        <v>Q10|ISO 27001</v>
      </c>
      <c r="AY80" s="13" t="s">
        <v>479</v>
      </c>
      <c r="AZ80" s="13" t="s">
        <v>1140</v>
      </c>
      <c r="BA80" s="2">
        <v>1</v>
      </c>
      <c r="BE80" s="2" t="s">
        <v>713</v>
      </c>
      <c r="BF80" s="2" t="s">
        <v>1198</v>
      </c>
      <c r="BG80" s="2" t="str">
        <f t="shared" si="4"/>
        <v>SOC2CC5</v>
      </c>
      <c r="BH80" s="2" t="s">
        <v>1204</v>
      </c>
    </row>
    <row r="81" spans="42:63" x14ac:dyDescent="0.2">
      <c r="AP81" s="2" t="s">
        <v>792</v>
      </c>
      <c r="AQ81" s="2" t="s">
        <v>316</v>
      </c>
      <c r="AR81" s="2" t="str">
        <f t="shared" si="15"/>
        <v xml:space="preserve"> Data Protection &amp; Encryption </v>
      </c>
      <c r="AS81" s="2" t="str">
        <f t="shared" si="18"/>
        <v>DPE_2</v>
      </c>
      <c r="AT81" s="2" t="str">
        <f t="shared" si="16"/>
        <v>Key Management Systems</v>
      </c>
      <c r="AV81" s="2" t="s">
        <v>723</v>
      </c>
      <c r="AW81" s="2" t="s">
        <v>713</v>
      </c>
      <c r="AX81" s="2" t="str">
        <f t="shared" si="17"/>
        <v>Q10|SOC2</v>
      </c>
      <c r="AY81" s="13" t="s">
        <v>444</v>
      </c>
      <c r="AZ81" s="13" t="s">
        <v>1191</v>
      </c>
      <c r="BA81" s="2">
        <v>0.8</v>
      </c>
      <c r="BE81" s="2" t="s">
        <v>713</v>
      </c>
      <c r="BF81" s="2" t="s">
        <v>1191</v>
      </c>
      <c r="BG81" s="2" t="str">
        <f t="shared" si="4"/>
        <v>SOC2CC6</v>
      </c>
      <c r="BH81" s="2" t="s">
        <v>1205</v>
      </c>
      <c r="BJ81" s="173"/>
      <c r="BK81" s="151"/>
    </row>
    <row r="82" spans="42:63" x14ac:dyDescent="0.2">
      <c r="AP82" s="2" t="s">
        <v>793</v>
      </c>
      <c r="AQ82" s="2" t="s">
        <v>316</v>
      </c>
      <c r="AR82" s="2" t="str">
        <f t="shared" si="15"/>
        <v xml:space="preserve"> Data Protection &amp; Encryption </v>
      </c>
      <c r="AS82" s="2" t="str">
        <f t="shared" si="18"/>
        <v>DPE_2</v>
      </c>
      <c r="AT82" s="2" t="str">
        <f t="shared" si="16"/>
        <v>Key Management Systems</v>
      </c>
      <c r="AV82" s="2" t="s">
        <v>723</v>
      </c>
      <c r="AW82" s="2" t="s">
        <v>1044</v>
      </c>
      <c r="AX82" s="2" t="str">
        <f t="shared" si="17"/>
        <v>Q10|CIS v8</v>
      </c>
      <c r="AY82" s="13">
        <v>2.7</v>
      </c>
      <c r="AZ82" s="13" t="s">
        <v>1093</v>
      </c>
      <c r="BA82" s="2">
        <v>0.8</v>
      </c>
      <c r="BE82" s="2" t="s">
        <v>713</v>
      </c>
      <c r="BF82" s="2" t="s">
        <v>1194</v>
      </c>
      <c r="BG82" s="2" t="str">
        <f t="shared" si="4"/>
        <v>SOC2CC7</v>
      </c>
      <c r="BH82" s="2" t="s">
        <v>1206</v>
      </c>
      <c r="BJ82" s="173"/>
      <c r="BK82" s="151"/>
    </row>
    <row r="83" spans="42:63" x14ac:dyDescent="0.2">
      <c r="AP83" s="2" t="s">
        <v>794</v>
      </c>
      <c r="AQ83" s="2" t="s">
        <v>316</v>
      </c>
      <c r="AR83" s="2" t="str">
        <f t="shared" si="15"/>
        <v xml:space="preserve"> Data Protection &amp; Encryption </v>
      </c>
      <c r="AS83" s="2" t="str">
        <f>AQ81 &amp; "_3"</f>
        <v>DPE_3</v>
      </c>
      <c r="AT83" s="2" t="str">
        <f t="shared" si="16"/>
        <v>Data Classification &amp; Handling</v>
      </c>
      <c r="AV83" s="2" t="s">
        <v>724</v>
      </c>
      <c r="AW83" s="2" t="s">
        <v>1041</v>
      </c>
      <c r="AX83" s="2" t="str">
        <f t="shared" si="17"/>
        <v>Q11|NIST CSF 2.0</v>
      </c>
      <c r="AY83" s="13" t="s">
        <v>480</v>
      </c>
      <c r="AZ83" s="13" t="s">
        <v>1064</v>
      </c>
      <c r="BA83" s="2">
        <v>1</v>
      </c>
      <c r="BE83" s="2" t="s">
        <v>713</v>
      </c>
      <c r="BF83" s="2" t="s">
        <v>1200</v>
      </c>
      <c r="BG83" s="2" t="str">
        <f t="shared" si="4"/>
        <v>SOC2CC8</v>
      </c>
      <c r="BH83" s="2" t="s">
        <v>1207</v>
      </c>
      <c r="BJ83" s="173"/>
      <c r="BK83" s="151"/>
    </row>
    <row r="84" spans="42:63" x14ac:dyDescent="0.2">
      <c r="AP84" s="2" t="s">
        <v>795</v>
      </c>
      <c r="AQ84" s="2" t="s">
        <v>316</v>
      </c>
      <c r="AR84" s="2" t="str">
        <f t="shared" si="15"/>
        <v xml:space="preserve"> Data Protection &amp; Encryption </v>
      </c>
      <c r="AS84" s="2" t="str">
        <f t="shared" ref="AS84:AS92" si="19">AQ82 &amp; "_3"</f>
        <v>DPE_3</v>
      </c>
      <c r="AT84" s="2" t="str">
        <f t="shared" si="16"/>
        <v>Data Classification &amp; Handling</v>
      </c>
      <c r="AV84" s="2" t="s">
        <v>724</v>
      </c>
      <c r="AW84" s="2" t="s">
        <v>710</v>
      </c>
      <c r="AX84" s="2" t="str">
        <f t="shared" si="17"/>
        <v>Q11|NIST PQC</v>
      </c>
      <c r="AY84" s="13" t="s">
        <v>439</v>
      </c>
      <c r="AZ84" s="13" t="s">
        <v>439</v>
      </c>
      <c r="BA84" s="2"/>
      <c r="BE84" s="2" t="s">
        <v>713</v>
      </c>
      <c r="BF84" s="2" t="s">
        <v>1193</v>
      </c>
      <c r="BG84" s="2" t="str">
        <f t="shared" si="4"/>
        <v>SOC2CC9</v>
      </c>
      <c r="BH84" s="2" t="s">
        <v>1208</v>
      </c>
      <c r="BJ84" s="173"/>
      <c r="BK84" s="151"/>
    </row>
    <row r="85" spans="42:63" x14ac:dyDescent="0.2">
      <c r="AP85" s="2" t="s">
        <v>796</v>
      </c>
      <c r="AQ85" s="2" t="s">
        <v>316</v>
      </c>
      <c r="AR85" s="2" t="str">
        <f t="shared" si="15"/>
        <v xml:space="preserve"> Data Protection &amp; Encryption </v>
      </c>
      <c r="AS85" s="2" t="str">
        <f t="shared" si="19"/>
        <v>DPE_3</v>
      </c>
      <c r="AT85" s="2" t="str">
        <f t="shared" si="16"/>
        <v>Data Classification &amp; Handling</v>
      </c>
      <c r="AV85" s="2" t="s">
        <v>724</v>
      </c>
      <c r="AW85" s="2" t="s">
        <v>1042</v>
      </c>
      <c r="AX85" s="2" t="str">
        <f t="shared" si="17"/>
        <v>Q11|CMMC 2.0</v>
      </c>
      <c r="AY85" s="13" t="s">
        <v>481</v>
      </c>
      <c r="AZ85" s="13" t="s">
        <v>1073</v>
      </c>
      <c r="BA85" s="2">
        <v>1</v>
      </c>
      <c r="BE85" s="2" t="s">
        <v>713</v>
      </c>
      <c r="BF85" s="2" t="s">
        <v>1098</v>
      </c>
      <c r="BG85" s="2" t="str">
        <f t="shared" si="4"/>
        <v>SOC2A</v>
      </c>
      <c r="BH85" s="2" t="s">
        <v>1209</v>
      </c>
      <c r="BJ85" s="173"/>
      <c r="BK85" s="151"/>
    </row>
    <row r="86" spans="42:63" x14ac:dyDescent="0.2">
      <c r="AP86" s="2" t="s">
        <v>797</v>
      </c>
      <c r="AQ86" s="2" t="s">
        <v>316</v>
      </c>
      <c r="AR86" s="2" t="str">
        <f t="shared" si="15"/>
        <v xml:space="preserve"> Data Protection &amp; Encryption </v>
      </c>
      <c r="AS86" s="2" t="str">
        <f t="shared" si="19"/>
        <v>DPE_3</v>
      </c>
      <c r="AT86" s="2" t="str">
        <f t="shared" si="16"/>
        <v>Data Classification &amp; Handling</v>
      </c>
      <c r="AV86" s="2" t="s">
        <v>724</v>
      </c>
      <c r="AW86" s="2" t="s">
        <v>711</v>
      </c>
      <c r="AX86" s="2" t="str">
        <f t="shared" si="17"/>
        <v>Q11|FISMA</v>
      </c>
      <c r="AY86" s="13" t="s">
        <v>482</v>
      </c>
      <c r="AZ86" s="13" t="s">
        <v>1073</v>
      </c>
      <c r="BA86" s="2">
        <v>1</v>
      </c>
      <c r="BE86" s="2" t="s">
        <v>713</v>
      </c>
      <c r="BF86" s="2" t="s">
        <v>1165</v>
      </c>
      <c r="BG86" s="2" t="str">
        <f t="shared" si="4"/>
        <v>SOC2P</v>
      </c>
      <c r="BH86" s="2" t="s">
        <v>1210</v>
      </c>
      <c r="BJ86" s="173"/>
      <c r="BK86" s="151"/>
    </row>
    <row r="87" spans="42:63" x14ac:dyDescent="0.2">
      <c r="AP87" s="2" t="s">
        <v>798</v>
      </c>
      <c r="AQ87" s="2" t="s">
        <v>316</v>
      </c>
      <c r="AR87" s="2" t="str">
        <f t="shared" si="15"/>
        <v xml:space="preserve"> Data Protection &amp; Encryption </v>
      </c>
      <c r="AS87" s="2" t="str">
        <f t="shared" si="19"/>
        <v>DPE_3</v>
      </c>
      <c r="AT87" s="2" t="str">
        <f t="shared" si="16"/>
        <v>Data Classification &amp; Handling</v>
      </c>
      <c r="AV87" s="2" t="s">
        <v>724</v>
      </c>
      <c r="AW87" s="2" t="s">
        <v>712</v>
      </c>
      <c r="AX87" s="2" t="str">
        <f t="shared" si="17"/>
        <v>Q11|FedRAMP</v>
      </c>
      <c r="AY87" s="13" t="s">
        <v>482</v>
      </c>
      <c r="AZ87" s="13" t="s">
        <v>1073</v>
      </c>
      <c r="BA87" s="2">
        <v>1</v>
      </c>
      <c r="BE87" s="2" t="s">
        <v>713</v>
      </c>
      <c r="BF87" s="2" t="s">
        <v>1166</v>
      </c>
      <c r="BG87" s="2" t="str">
        <f t="shared" si="4"/>
        <v>SOC2C</v>
      </c>
      <c r="BH87" s="2" t="s">
        <v>1211</v>
      </c>
      <c r="BJ87" s="173"/>
      <c r="BK87" s="151"/>
    </row>
    <row r="88" spans="42:63" x14ac:dyDescent="0.2">
      <c r="AP88" s="2" t="s">
        <v>799</v>
      </c>
      <c r="AQ88" s="2" t="s">
        <v>316</v>
      </c>
      <c r="AR88" s="2" t="str">
        <f t="shared" si="15"/>
        <v xml:space="preserve"> Data Protection &amp; Encryption </v>
      </c>
      <c r="AS88" s="2" t="str">
        <f t="shared" si="19"/>
        <v>DPE_3</v>
      </c>
      <c r="AT88" s="2" t="str">
        <f t="shared" si="16"/>
        <v>Data Classification &amp; Handling</v>
      </c>
      <c r="AV88" s="2" t="s">
        <v>724</v>
      </c>
      <c r="AW88" s="2" t="s">
        <v>1043</v>
      </c>
      <c r="AX88" s="2" t="str">
        <f t="shared" si="17"/>
        <v>Q11|ISO 27001</v>
      </c>
      <c r="AY88" s="13" t="s">
        <v>483</v>
      </c>
      <c r="AZ88" s="13" t="s">
        <v>1144</v>
      </c>
      <c r="BA88" s="2">
        <v>1</v>
      </c>
      <c r="BE88" s="2" t="s">
        <v>713</v>
      </c>
      <c r="BF88" s="2" t="s">
        <v>1167</v>
      </c>
      <c r="BG88" s="2" t="str">
        <f t="shared" si="4"/>
        <v>SOC2PI</v>
      </c>
      <c r="BH88" s="2" t="s">
        <v>1212</v>
      </c>
      <c r="BJ88" s="173"/>
      <c r="BK88" s="151"/>
    </row>
    <row r="89" spans="42:63" x14ac:dyDescent="0.2">
      <c r="AP89" s="2" t="s">
        <v>800</v>
      </c>
      <c r="AQ89" s="2" t="s">
        <v>316</v>
      </c>
      <c r="AR89" s="2" t="str">
        <f t="shared" si="15"/>
        <v xml:space="preserve"> Data Protection &amp; Encryption </v>
      </c>
      <c r="AS89" s="2" t="str">
        <f t="shared" si="19"/>
        <v>DPE_3</v>
      </c>
      <c r="AT89" s="2" t="str">
        <f t="shared" si="16"/>
        <v>Data Classification &amp; Handling</v>
      </c>
      <c r="AV89" s="2" t="s">
        <v>724</v>
      </c>
      <c r="AW89" s="2" t="s">
        <v>713</v>
      </c>
      <c r="AX89" s="2" t="str">
        <f t="shared" si="17"/>
        <v>Q11|SOC2</v>
      </c>
      <c r="AY89" s="13" t="s">
        <v>484</v>
      </c>
      <c r="AZ89" s="13" t="s">
        <v>1194</v>
      </c>
      <c r="BA89" s="2">
        <v>1</v>
      </c>
      <c r="BE89" s="2" t="s">
        <v>1044</v>
      </c>
      <c r="BF89" s="2" t="s">
        <v>1092</v>
      </c>
      <c r="BG89" s="2" t="str">
        <f t="shared" si="4"/>
        <v>CIS v81</v>
      </c>
      <c r="BH89" s="2" t="s">
        <v>1171</v>
      </c>
      <c r="BJ89" s="173"/>
      <c r="BK89" s="151"/>
    </row>
    <row r="90" spans="42:63" x14ac:dyDescent="0.2">
      <c r="AP90" s="2" t="s">
        <v>801</v>
      </c>
      <c r="AQ90" s="2" t="s">
        <v>316</v>
      </c>
      <c r="AR90" s="2" t="str">
        <f t="shared" si="15"/>
        <v xml:space="preserve"> Data Protection &amp; Encryption </v>
      </c>
      <c r="AS90" s="2" t="str">
        <f t="shared" si="19"/>
        <v>DPE_3</v>
      </c>
      <c r="AT90" s="2" t="str">
        <f t="shared" si="16"/>
        <v>Data Classification &amp; Handling</v>
      </c>
      <c r="AV90" s="2" t="s">
        <v>724</v>
      </c>
      <c r="AW90" s="2" t="s">
        <v>1044</v>
      </c>
      <c r="AX90" s="2" t="str">
        <f t="shared" si="17"/>
        <v>Q11|CIS v8</v>
      </c>
      <c r="AY90" s="13">
        <v>7.1</v>
      </c>
      <c r="AZ90" s="13" t="s">
        <v>1099</v>
      </c>
      <c r="BA90" s="2">
        <v>1</v>
      </c>
      <c r="BE90" s="2" t="s">
        <v>1044</v>
      </c>
      <c r="BF90" s="2" t="s">
        <v>1093</v>
      </c>
      <c r="BG90" s="2" t="str">
        <f t="shared" si="4"/>
        <v>CIS v82</v>
      </c>
      <c r="BH90" s="2" t="s">
        <v>1172</v>
      </c>
      <c r="BJ90" s="151"/>
      <c r="BK90" s="151"/>
    </row>
    <row r="91" spans="42:63" x14ac:dyDescent="0.2">
      <c r="AP91" s="2" t="s">
        <v>802</v>
      </c>
      <c r="AQ91" s="2" t="s">
        <v>316</v>
      </c>
      <c r="AR91" s="2" t="str">
        <f t="shared" si="15"/>
        <v xml:space="preserve"> Data Protection &amp; Encryption </v>
      </c>
      <c r="AS91" s="2" t="str">
        <f t="shared" si="19"/>
        <v>DPE_3</v>
      </c>
      <c r="AT91" s="2" t="str">
        <f t="shared" si="16"/>
        <v>Data Classification &amp; Handling</v>
      </c>
      <c r="AV91" s="2" t="s">
        <v>725</v>
      </c>
      <c r="AW91" s="2" t="s">
        <v>1041</v>
      </c>
      <c r="AX91" s="2" t="str">
        <f t="shared" si="17"/>
        <v>Q12|NIST CSF 2.0</v>
      </c>
      <c r="AY91" s="13" t="s">
        <v>480</v>
      </c>
      <c r="AZ91" s="13" t="s">
        <v>1064</v>
      </c>
      <c r="BA91" s="2">
        <v>1</v>
      </c>
      <c r="BE91" s="2" t="s">
        <v>1044</v>
      </c>
      <c r="BF91" s="2" t="s">
        <v>1094</v>
      </c>
      <c r="BG91" s="2" t="str">
        <f t="shared" ref="BG91:BG106" si="20">_xlfn.CONCAT(BE91,BF91)</f>
        <v>CIS v83</v>
      </c>
      <c r="BH91" s="2" t="s">
        <v>1173</v>
      </c>
      <c r="BJ91" s="151"/>
      <c r="BK91" s="151"/>
    </row>
    <row r="92" spans="42:63" x14ac:dyDescent="0.2">
      <c r="AP92" s="2" t="s">
        <v>803</v>
      </c>
      <c r="AQ92" s="2" t="s">
        <v>316</v>
      </c>
      <c r="AR92" s="2" t="str">
        <f t="shared" si="15"/>
        <v xml:space="preserve"> Data Protection &amp; Encryption </v>
      </c>
      <c r="AS92" s="2" t="str">
        <f t="shared" si="19"/>
        <v>DPE_3</v>
      </c>
      <c r="AT92" s="2" t="str">
        <f t="shared" si="16"/>
        <v>Data Classification &amp; Handling</v>
      </c>
      <c r="AV92" s="2" t="s">
        <v>725</v>
      </c>
      <c r="AW92" s="2" t="s">
        <v>710</v>
      </c>
      <c r="AX92" s="2" t="str">
        <f t="shared" si="17"/>
        <v>Q12|NIST PQC</v>
      </c>
      <c r="AY92" s="13" t="s">
        <v>485</v>
      </c>
      <c r="AZ92" s="13" t="s">
        <v>1093</v>
      </c>
      <c r="BA92" s="2">
        <v>1</v>
      </c>
      <c r="BE92" s="2" t="s">
        <v>1044</v>
      </c>
      <c r="BF92" s="2" t="s">
        <v>1095</v>
      </c>
      <c r="BG92" s="2" t="str">
        <f t="shared" si="20"/>
        <v>CIS v84</v>
      </c>
      <c r="BH92" s="2" t="s">
        <v>1174</v>
      </c>
      <c r="BJ92" s="151"/>
      <c r="BK92" s="151"/>
    </row>
    <row r="93" spans="42:63" x14ac:dyDescent="0.2">
      <c r="AP93" s="2" t="s">
        <v>804</v>
      </c>
      <c r="AQ93" s="2" t="s">
        <v>377</v>
      </c>
      <c r="AR93" s="2" t="str">
        <f t="shared" si="15"/>
        <v xml:space="preserve"> Infrastructure &amp; Technical Readiness </v>
      </c>
      <c r="AS93" s="2" t="str">
        <f>AQ93 &amp; "_1"</f>
        <v>ITR_1</v>
      </c>
      <c r="AT93" s="2" t="str">
        <f t="shared" si="16"/>
        <v>Network Security Architecture</v>
      </c>
      <c r="AV93" s="2" t="s">
        <v>725</v>
      </c>
      <c r="AW93" s="2" t="s">
        <v>1042</v>
      </c>
      <c r="AX93" s="2" t="str">
        <f t="shared" si="17"/>
        <v>Q12|CMMC 2.0</v>
      </c>
      <c r="AY93" s="13" t="s">
        <v>452</v>
      </c>
      <c r="AZ93" s="13" t="s">
        <v>1071</v>
      </c>
      <c r="BA93" s="2">
        <v>1</v>
      </c>
      <c r="BE93" s="2" t="s">
        <v>1044</v>
      </c>
      <c r="BF93" s="2" t="s">
        <v>1096</v>
      </c>
      <c r="BG93" s="2" t="str">
        <f t="shared" si="20"/>
        <v>CIS v85</v>
      </c>
      <c r="BH93" s="2" t="s">
        <v>1175</v>
      </c>
      <c r="BJ93" s="151"/>
      <c r="BK93" s="151"/>
    </row>
    <row r="94" spans="42:63" x14ac:dyDescent="0.2">
      <c r="AP94" s="2" t="s">
        <v>805</v>
      </c>
      <c r="AQ94" s="2" t="s">
        <v>377</v>
      </c>
      <c r="AR94" s="2" t="str">
        <f t="shared" si="15"/>
        <v xml:space="preserve"> Infrastructure &amp; Technical Readiness </v>
      </c>
      <c r="AS94" s="2" t="str">
        <f t="shared" ref="AS94:AS102" si="21">AQ94 &amp; "_1"</f>
        <v>ITR_1</v>
      </c>
      <c r="AT94" s="2" t="str">
        <f t="shared" si="16"/>
        <v>Network Security Architecture</v>
      </c>
      <c r="AV94" s="2" t="s">
        <v>725</v>
      </c>
      <c r="AW94" s="2" t="s">
        <v>711</v>
      </c>
      <c r="AX94" s="2" t="str">
        <f t="shared" si="17"/>
        <v>Q12|FISMA</v>
      </c>
      <c r="AY94" s="13" t="s">
        <v>453</v>
      </c>
      <c r="AZ94" s="13" t="s">
        <v>1071</v>
      </c>
      <c r="BA94" s="2">
        <v>1</v>
      </c>
      <c r="BE94" s="2" t="s">
        <v>1044</v>
      </c>
      <c r="BF94" s="2" t="s">
        <v>1097</v>
      </c>
      <c r="BG94" s="2" t="str">
        <f t="shared" si="20"/>
        <v>CIS v86</v>
      </c>
      <c r="BH94" s="2" t="s">
        <v>1176</v>
      </c>
      <c r="BK94" s="151"/>
    </row>
    <row r="95" spans="42:63" x14ac:dyDescent="0.2">
      <c r="AP95" s="2" t="s">
        <v>806</v>
      </c>
      <c r="AQ95" s="2" t="s">
        <v>377</v>
      </c>
      <c r="AR95" s="2" t="str">
        <f t="shared" si="15"/>
        <v xml:space="preserve"> Infrastructure &amp; Technical Readiness </v>
      </c>
      <c r="AS95" s="2" t="str">
        <f t="shared" si="21"/>
        <v>ITR_1</v>
      </c>
      <c r="AT95" s="2" t="str">
        <f t="shared" si="16"/>
        <v>Network Security Architecture</v>
      </c>
      <c r="AV95" s="2" t="s">
        <v>725</v>
      </c>
      <c r="AW95" s="2" t="s">
        <v>712</v>
      </c>
      <c r="AX95" s="2" t="str">
        <f t="shared" si="17"/>
        <v>Q12|FedRAMP</v>
      </c>
      <c r="AY95" s="13" t="s">
        <v>453</v>
      </c>
      <c r="AZ95" s="13" t="s">
        <v>1071</v>
      </c>
      <c r="BA95" s="2">
        <v>1</v>
      </c>
      <c r="BE95" s="2" t="s">
        <v>1044</v>
      </c>
      <c r="BF95" s="2" t="s">
        <v>1099</v>
      </c>
      <c r="BG95" s="2" t="str">
        <f t="shared" si="20"/>
        <v>CIS v87</v>
      </c>
      <c r="BH95" s="2" t="s">
        <v>1177</v>
      </c>
      <c r="BK95" s="151"/>
    </row>
    <row r="96" spans="42:63" x14ac:dyDescent="0.2">
      <c r="AP96" s="2" t="s">
        <v>807</v>
      </c>
      <c r="AQ96" s="2" t="s">
        <v>377</v>
      </c>
      <c r="AR96" s="2" t="str">
        <f t="shared" si="15"/>
        <v xml:space="preserve"> Infrastructure &amp; Technical Readiness </v>
      </c>
      <c r="AS96" s="2" t="str">
        <f t="shared" si="21"/>
        <v>ITR_1</v>
      </c>
      <c r="AT96" s="2" t="str">
        <f t="shared" si="16"/>
        <v>Network Security Architecture</v>
      </c>
      <c r="AV96" s="2" t="s">
        <v>725</v>
      </c>
      <c r="AW96" s="2" t="s">
        <v>1043</v>
      </c>
      <c r="AX96" s="2" t="str">
        <f t="shared" si="17"/>
        <v>Q12|ISO 27001</v>
      </c>
      <c r="AY96" s="13" t="s">
        <v>486</v>
      </c>
      <c r="AZ96" s="13" t="s">
        <v>1150</v>
      </c>
      <c r="BA96" s="2">
        <v>0.8</v>
      </c>
      <c r="BE96" s="2" t="s">
        <v>1044</v>
      </c>
      <c r="BF96" s="2" t="s">
        <v>1100</v>
      </c>
      <c r="BG96" s="2" t="str">
        <f t="shared" si="20"/>
        <v>CIS v88</v>
      </c>
      <c r="BH96" s="2" t="s">
        <v>1178</v>
      </c>
      <c r="BK96" s="151"/>
    </row>
    <row r="97" spans="42:63" x14ac:dyDescent="0.2">
      <c r="AP97" s="2" t="s">
        <v>808</v>
      </c>
      <c r="AQ97" s="2" t="s">
        <v>377</v>
      </c>
      <c r="AR97" s="2" t="str">
        <f t="shared" si="15"/>
        <v xml:space="preserve"> Infrastructure &amp; Technical Readiness </v>
      </c>
      <c r="AS97" s="2" t="str">
        <f t="shared" si="21"/>
        <v>ITR_1</v>
      </c>
      <c r="AT97" s="2" t="str">
        <f t="shared" si="16"/>
        <v>Network Security Architecture</v>
      </c>
      <c r="AV97" s="2" t="s">
        <v>725</v>
      </c>
      <c r="AW97" s="2" t="s">
        <v>713</v>
      </c>
      <c r="AX97" s="2" t="str">
        <f t="shared" si="17"/>
        <v>Q12|SOC2</v>
      </c>
      <c r="AY97" s="13" t="s">
        <v>444</v>
      </c>
      <c r="AZ97" s="13" t="s">
        <v>1191</v>
      </c>
      <c r="BA97" s="2">
        <v>0.8</v>
      </c>
      <c r="BE97" s="2" t="s">
        <v>1044</v>
      </c>
      <c r="BF97" s="2" t="s">
        <v>1168</v>
      </c>
      <c r="BG97" s="2" t="str">
        <f t="shared" si="20"/>
        <v>CIS v89</v>
      </c>
      <c r="BH97" s="2" t="s">
        <v>1179</v>
      </c>
      <c r="BK97" s="151"/>
    </row>
    <row r="98" spans="42:63" x14ac:dyDescent="0.2">
      <c r="AP98" s="2" t="s">
        <v>809</v>
      </c>
      <c r="AQ98" s="2" t="s">
        <v>377</v>
      </c>
      <c r="AR98" s="2" t="str">
        <f t="shared" si="15"/>
        <v xml:space="preserve"> Infrastructure &amp; Technical Readiness </v>
      </c>
      <c r="AS98" s="2" t="str">
        <f t="shared" si="21"/>
        <v>ITR_1</v>
      </c>
      <c r="AT98" s="2" t="str">
        <f t="shared" si="16"/>
        <v>Network Security Architecture</v>
      </c>
      <c r="AV98" s="2" t="s">
        <v>725</v>
      </c>
      <c r="AW98" s="2" t="s">
        <v>1044</v>
      </c>
      <c r="AX98" s="2" t="str">
        <f t="shared" si="17"/>
        <v>Q12|CIS v8</v>
      </c>
      <c r="AY98" s="13">
        <v>3.11</v>
      </c>
      <c r="AZ98" s="13" t="s">
        <v>1094</v>
      </c>
      <c r="BA98" s="2">
        <v>1</v>
      </c>
      <c r="BE98" s="2" t="s">
        <v>1044</v>
      </c>
      <c r="BF98" s="2" t="s">
        <v>1169</v>
      </c>
      <c r="BG98" s="2" t="str">
        <f t="shared" si="20"/>
        <v>CIS v810</v>
      </c>
      <c r="BH98" s="2" t="s">
        <v>1180</v>
      </c>
      <c r="BK98" s="151"/>
    </row>
    <row r="99" spans="42:63" x14ac:dyDescent="0.2">
      <c r="AP99" s="2" t="s">
        <v>810</v>
      </c>
      <c r="AQ99" s="2" t="s">
        <v>377</v>
      </c>
      <c r="AR99" s="2" t="str">
        <f t="shared" si="15"/>
        <v xml:space="preserve"> Infrastructure &amp; Technical Readiness </v>
      </c>
      <c r="AS99" s="2" t="str">
        <f t="shared" si="21"/>
        <v>ITR_1</v>
      </c>
      <c r="AT99" s="2" t="str">
        <f t="shared" si="16"/>
        <v>Network Security Architecture</v>
      </c>
      <c r="AV99" s="2" t="s">
        <v>726</v>
      </c>
      <c r="AW99" s="2" t="s">
        <v>1041</v>
      </c>
      <c r="AX99" s="2" t="str">
        <f t="shared" si="17"/>
        <v>Q13|NIST CSF 2.0</v>
      </c>
      <c r="AY99" s="13" t="s">
        <v>487</v>
      </c>
      <c r="AZ99" s="13" t="s">
        <v>1064</v>
      </c>
      <c r="BA99" s="2">
        <v>1</v>
      </c>
      <c r="BE99" s="2" t="s">
        <v>1044</v>
      </c>
      <c r="BF99" s="2" t="s">
        <v>1090</v>
      </c>
      <c r="BG99" s="2" t="str">
        <f t="shared" si="20"/>
        <v>CIS v811</v>
      </c>
      <c r="BH99" s="2" t="s">
        <v>1181</v>
      </c>
    </row>
    <row r="100" spans="42:63" x14ac:dyDescent="0.2">
      <c r="AP100" s="2" t="s">
        <v>811</v>
      </c>
      <c r="AQ100" s="2" t="s">
        <v>377</v>
      </c>
      <c r="AR100" s="2" t="str">
        <f t="shared" si="15"/>
        <v xml:space="preserve"> Infrastructure &amp; Technical Readiness </v>
      </c>
      <c r="AS100" s="2" t="str">
        <f t="shared" si="21"/>
        <v>ITR_1</v>
      </c>
      <c r="AT100" s="2" t="str">
        <f t="shared" si="16"/>
        <v>Network Security Architecture</v>
      </c>
      <c r="AV100" s="2" t="s">
        <v>726</v>
      </c>
      <c r="AW100" s="2" t="s">
        <v>710</v>
      </c>
      <c r="AX100" s="2" t="str">
        <f t="shared" si="17"/>
        <v>Q13|NIST PQC</v>
      </c>
      <c r="AY100" s="13" t="s">
        <v>488</v>
      </c>
      <c r="AZ100" s="13" t="s">
        <v>1093</v>
      </c>
      <c r="BA100" s="2">
        <v>1</v>
      </c>
      <c r="BE100" s="2" t="s">
        <v>1044</v>
      </c>
      <c r="BF100" s="2" t="s">
        <v>1085</v>
      </c>
      <c r="BG100" s="2" t="str">
        <f t="shared" si="20"/>
        <v>CIS v812</v>
      </c>
      <c r="BH100" s="2" t="s">
        <v>1182</v>
      </c>
    </row>
    <row r="101" spans="42:63" x14ac:dyDescent="0.2">
      <c r="AP101" s="2" t="s">
        <v>812</v>
      </c>
      <c r="AQ101" s="2" t="s">
        <v>377</v>
      </c>
      <c r="AR101" s="2" t="str">
        <f t="shared" si="15"/>
        <v xml:space="preserve"> Infrastructure &amp; Technical Readiness </v>
      </c>
      <c r="AS101" s="2" t="str">
        <f t="shared" si="21"/>
        <v>ITR_1</v>
      </c>
      <c r="AT101" s="2" t="str">
        <f t="shared" si="16"/>
        <v>Network Security Architecture</v>
      </c>
      <c r="AV101" s="2" t="s">
        <v>726</v>
      </c>
      <c r="AW101" s="2" t="s">
        <v>1042</v>
      </c>
      <c r="AX101" s="2" t="str">
        <f t="shared" si="17"/>
        <v>Q13|CMMC 2.0</v>
      </c>
      <c r="AY101" s="13" t="s">
        <v>489</v>
      </c>
      <c r="AZ101" s="13" t="s">
        <v>1073</v>
      </c>
      <c r="BA101" s="2">
        <v>0.8</v>
      </c>
      <c r="BE101" s="2" t="s">
        <v>1044</v>
      </c>
      <c r="BF101" s="2" t="s">
        <v>1086</v>
      </c>
      <c r="BG101" s="2" t="str">
        <f t="shared" si="20"/>
        <v>CIS v813</v>
      </c>
      <c r="BH101" s="2" t="s">
        <v>1183</v>
      </c>
    </row>
    <row r="102" spans="42:63" x14ac:dyDescent="0.2">
      <c r="AP102" s="2" t="s">
        <v>813</v>
      </c>
      <c r="AQ102" s="2" t="s">
        <v>377</v>
      </c>
      <c r="AR102" s="2" t="str">
        <f t="shared" si="15"/>
        <v xml:space="preserve"> Infrastructure &amp; Technical Readiness </v>
      </c>
      <c r="AS102" s="2" t="str">
        <f t="shared" si="21"/>
        <v>ITR_1</v>
      </c>
      <c r="AT102" s="2" t="str">
        <f t="shared" si="16"/>
        <v>Network Security Architecture</v>
      </c>
      <c r="AV102" s="2" t="s">
        <v>726</v>
      </c>
      <c r="AW102" s="2" t="s">
        <v>711</v>
      </c>
      <c r="AX102" s="2" t="str">
        <f t="shared" si="17"/>
        <v>Q13|FISMA</v>
      </c>
      <c r="AY102" s="13" t="s">
        <v>490</v>
      </c>
      <c r="AZ102" s="13" t="s">
        <v>1073</v>
      </c>
      <c r="BA102" s="2">
        <v>1</v>
      </c>
      <c r="BE102" s="2" t="s">
        <v>1044</v>
      </c>
      <c r="BF102" s="2" t="s">
        <v>1091</v>
      </c>
      <c r="BG102" s="2" t="str">
        <f t="shared" si="20"/>
        <v>CIS v814</v>
      </c>
      <c r="BH102" s="2" t="s">
        <v>1184</v>
      </c>
    </row>
    <row r="103" spans="42:63" x14ac:dyDescent="0.2">
      <c r="AP103" s="2" t="s">
        <v>814</v>
      </c>
      <c r="AQ103" s="2" t="s">
        <v>377</v>
      </c>
      <c r="AR103" s="2" t="str">
        <f t="shared" si="15"/>
        <v xml:space="preserve"> Infrastructure &amp; Technical Readiness </v>
      </c>
      <c r="AS103" s="2" t="str">
        <f>AQ102 &amp; "_2"</f>
        <v>ITR_2</v>
      </c>
      <c r="AT103" s="2" t="str">
        <f t="shared" si="16"/>
        <v>System Hardening &amp; Updates</v>
      </c>
      <c r="AV103" s="2" t="s">
        <v>726</v>
      </c>
      <c r="AW103" s="2" t="s">
        <v>712</v>
      </c>
      <c r="AX103" s="2" t="str">
        <f t="shared" si="17"/>
        <v>Q13|FedRAMP</v>
      </c>
      <c r="AY103" s="13" t="s">
        <v>490</v>
      </c>
      <c r="AZ103" s="13" t="s">
        <v>1073</v>
      </c>
      <c r="BA103" s="2">
        <v>1</v>
      </c>
      <c r="BE103" s="2" t="s">
        <v>1044</v>
      </c>
      <c r="BF103" s="2" t="s">
        <v>1087</v>
      </c>
      <c r="BG103" s="2" t="str">
        <f t="shared" si="20"/>
        <v>CIS v815</v>
      </c>
      <c r="BH103" s="2" t="s">
        <v>1185</v>
      </c>
    </row>
    <row r="104" spans="42:63" x14ac:dyDescent="0.2">
      <c r="AP104" s="2" t="s">
        <v>815</v>
      </c>
      <c r="AQ104" s="2" t="s">
        <v>377</v>
      </c>
      <c r="AR104" s="2" t="str">
        <f t="shared" si="15"/>
        <v xml:space="preserve"> Infrastructure &amp; Technical Readiness </v>
      </c>
      <c r="AS104" s="2" t="str">
        <f t="shared" ref="AS104:AS112" si="22">AQ103 &amp; "_2"</f>
        <v>ITR_2</v>
      </c>
      <c r="AT104" s="2" t="str">
        <f t="shared" si="16"/>
        <v>System Hardening &amp; Updates</v>
      </c>
      <c r="AV104" s="2" t="s">
        <v>726</v>
      </c>
      <c r="AW104" s="2" t="s">
        <v>1043</v>
      </c>
      <c r="AX104" s="2" t="str">
        <f t="shared" si="17"/>
        <v>Q13|ISO 27001</v>
      </c>
      <c r="AY104" s="13" t="s">
        <v>483</v>
      </c>
      <c r="AZ104" s="13" t="s">
        <v>1144</v>
      </c>
      <c r="BA104" s="2">
        <v>0.6</v>
      </c>
      <c r="BE104" s="2" t="s">
        <v>1044</v>
      </c>
      <c r="BF104" s="2" t="s">
        <v>1089</v>
      </c>
      <c r="BG104" s="2" t="str">
        <f t="shared" si="20"/>
        <v>CIS v816</v>
      </c>
      <c r="BH104" s="2" t="s">
        <v>1186</v>
      </c>
    </row>
    <row r="105" spans="42:63" x14ac:dyDescent="0.2">
      <c r="AP105" s="2" t="s">
        <v>816</v>
      </c>
      <c r="AQ105" s="2" t="s">
        <v>377</v>
      </c>
      <c r="AR105" s="2" t="str">
        <f t="shared" si="15"/>
        <v xml:space="preserve"> Infrastructure &amp; Technical Readiness </v>
      </c>
      <c r="AS105" s="2" t="str">
        <f t="shared" si="22"/>
        <v>ITR_2</v>
      </c>
      <c r="AT105" s="2" t="str">
        <f t="shared" si="16"/>
        <v>System Hardening &amp; Updates</v>
      </c>
      <c r="AV105" s="2" t="s">
        <v>726</v>
      </c>
      <c r="AW105" s="2" t="s">
        <v>713</v>
      </c>
      <c r="AX105" s="2" t="str">
        <f t="shared" si="17"/>
        <v>Q13|SOC2</v>
      </c>
      <c r="AY105" s="13" t="s">
        <v>491</v>
      </c>
      <c r="AZ105" s="13" t="s">
        <v>1194</v>
      </c>
      <c r="BA105" s="2">
        <v>0.8</v>
      </c>
      <c r="BE105" s="2" t="s">
        <v>1044</v>
      </c>
      <c r="BF105" s="2" t="s">
        <v>1170</v>
      </c>
      <c r="BG105" s="2" t="str">
        <f t="shared" si="20"/>
        <v>CIS v817</v>
      </c>
      <c r="BH105" s="2" t="s">
        <v>1187</v>
      </c>
    </row>
    <row r="106" spans="42:63" x14ac:dyDescent="0.2">
      <c r="AP106" s="2" t="s">
        <v>817</v>
      </c>
      <c r="AQ106" s="2" t="s">
        <v>377</v>
      </c>
      <c r="AR106" s="2" t="str">
        <f t="shared" si="15"/>
        <v xml:space="preserve"> Infrastructure &amp; Technical Readiness </v>
      </c>
      <c r="AS106" s="2" t="str">
        <f t="shared" si="22"/>
        <v>ITR_2</v>
      </c>
      <c r="AT106" s="2" t="str">
        <f t="shared" si="16"/>
        <v>System Hardening &amp; Updates</v>
      </c>
      <c r="AV106" s="2" t="s">
        <v>726</v>
      </c>
      <c r="AW106" s="2" t="s">
        <v>1044</v>
      </c>
      <c r="AX106" s="2" t="str">
        <f t="shared" si="17"/>
        <v>Q13|CIS v8</v>
      </c>
      <c r="AY106" s="13">
        <v>18.100000000000001</v>
      </c>
      <c r="AZ106" s="13" t="s">
        <v>1088</v>
      </c>
      <c r="BA106" s="2">
        <v>0.6</v>
      </c>
      <c r="BE106" s="2" t="s">
        <v>1044</v>
      </c>
      <c r="BF106" s="2" t="s">
        <v>1088</v>
      </c>
      <c r="BG106" s="2" t="str">
        <f t="shared" si="20"/>
        <v>CIS v818</v>
      </c>
      <c r="BH106" s="2" t="s">
        <v>1188</v>
      </c>
    </row>
    <row r="107" spans="42:63" x14ac:dyDescent="0.2">
      <c r="AP107" s="2" t="s">
        <v>818</v>
      </c>
      <c r="AQ107" s="2" t="s">
        <v>377</v>
      </c>
      <c r="AR107" s="2" t="str">
        <f t="shared" si="15"/>
        <v xml:space="preserve"> Infrastructure &amp; Technical Readiness </v>
      </c>
      <c r="AS107" s="2" t="str">
        <f t="shared" si="22"/>
        <v>ITR_2</v>
      </c>
      <c r="AT107" s="2" t="str">
        <f t="shared" si="16"/>
        <v>System Hardening &amp; Updates</v>
      </c>
      <c r="AV107" s="2" t="s">
        <v>727</v>
      </c>
      <c r="AW107" s="2" t="s">
        <v>1041</v>
      </c>
      <c r="AX107" s="2" t="str">
        <f t="shared" si="17"/>
        <v>Q14|NIST CSF 2.0</v>
      </c>
      <c r="AY107" s="13" t="s">
        <v>492</v>
      </c>
      <c r="AZ107" s="13" t="s">
        <v>1064</v>
      </c>
      <c r="BA107" s="2">
        <v>1</v>
      </c>
      <c r="BE107" s="2" t="s">
        <v>711</v>
      </c>
      <c r="BF107" s="2" t="s">
        <v>1074</v>
      </c>
      <c r="BG107" s="2" t="str">
        <f>_xlfn.CONCAT(BE107,BF107)</f>
        <v>FISMASR</v>
      </c>
      <c r="BH107" s="2" t="s">
        <v>1131</v>
      </c>
    </row>
    <row r="108" spans="42:63" x14ac:dyDescent="0.2">
      <c r="AP108" s="2" t="s">
        <v>819</v>
      </c>
      <c r="AQ108" s="2" t="s">
        <v>377</v>
      </c>
      <c r="AR108" s="2" t="str">
        <f t="shared" si="15"/>
        <v xml:space="preserve"> Infrastructure &amp; Technical Readiness </v>
      </c>
      <c r="AS108" s="2" t="str">
        <f t="shared" si="22"/>
        <v>ITR_2</v>
      </c>
      <c r="AT108" s="2" t="str">
        <f t="shared" si="16"/>
        <v>System Hardening &amp; Updates</v>
      </c>
      <c r="AV108" s="2" t="s">
        <v>727</v>
      </c>
      <c r="AW108" s="2" t="s">
        <v>710</v>
      </c>
      <c r="AX108" s="2" t="str">
        <f t="shared" si="17"/>
        <v>Q14|NIST PQC</v>
      </c>
      <c r="AY108" s="13" t="s">
        <v>439</v>
      </c>
      <c r="AZ108" s="13" t="s">
        <v>439</v>
      </c>
      <c r="BA108" s="2"/>
      <c r="BE108" s="2" t="s">
        <v>712</v>
      </c>
      <c r="BF108" s="2" t="s">
        <v>1074</v>
      </c>
      <c r="BG108" s="2" t="str">
        <f>_xlfn.CONCAT(BE108,BF108)</f>
        <v>FedRAMPSR</v>
      </c>
      <c r="BH108" s="2" t="s">
        <v>1131</v>
      </c>
    </row>
    <row r="109" spans="42:63" x14ac:dyDescent="0.2">
      <c r="AP109" s="2" t="s">
        <v>820</v>
      </c>
      <c r="AQ109" s="2" t="s">
        <v>377</v>
      </c>
      <c r="AR109" s="2" t="str">
        <f t="shared" si="15"/>
        <v xml:space="preserve"> Infrastructure &amp; Technical Readiness </v>
      </c>
      <c r="AS109" s="2" t="str">
        <f t="shared" si="22"/>
        <v>ITR_2</v>
      </c>
      <c r="AT109" s="2" t="str">
        <f t="shared" si="16"/>
        <v>System Hardening &amp; Updates</v>
      </c>
      <c r="AV109" s="2" t="s">
        <v>727</v>
      </c>
      <c r="AW109" s="2" t="s">
        <v>1042</v>
      </c>
      <c r="AX109" s="2" t="str">
        <f t="shared" si="17"/>
        <v>Q14|CMMC 2.0</v>
      </c>
      <c r="AY109" s="13" t="s">
        <v>439</v>
      </c>
      <c r="AZ109" s="13" t="s">
        <v>439</v>
      </c>
      <c r="BA109" s="2"/>
    </row>
    <row r="110" spans="42:63" x14ac:dyDescent="0.2">
      <c r="AP110" s="2" t="s">
        <v>821</v>
      </c>
      <c r="AQ110" s="2" t="s">
        <v>377</v>
      </c>
      <c r="AR110" s="2" t="str">
        <f t="shared" si="15"/>
        <v xml:space="preserve"> Infrastructure &amp; Technical Readiness </v>
      </c>
      <c r="AS110" s="2" t="str">
        <f t="shared" si="22"/>
        <v>ITR_2</v>
      </c>
      <c r="AT110" s="2" t="str">
        <f t="shared" si="16"/>
        <v>System Hardening &amp; Updates</v>
      </c>
      <c r="AV110" s="2" t="s">
        <v>727</v>
      </c>
      <c r="AW110" s="2" t="s">
        <v>711</v>
      </c>
      <c r="AX110" s="2" t="str">
        <f t="shared" si="17"/>
        <v>Q14|FISMA</v>
      </c>
      <c r="AY110" s="13" t="s">
        <v>1826</v>
      </c>
      <c r="AZ110" s="13" t="s">
        <v>1074</v>
      </c>
      <c r="BA110" s="2">
        <v>1</v>
      </c>
    </row>
    <row r="111" spans="42:63" x14ac:dyDescent="0.2">
      <c r="AP111" s="2" t="s">
        <v>822</v>
      </c>
      <c r="AQ111" s="2" t="s">
        <v>377</v>
      </c>
      <c r="AR111" s="2" t="str">
        <f t="shared" si="15"/>
        <v xml:space="preserve"> Infrastructure &amp; Technical Readiness </v>
      </c>
      <c r="AS111" s="2" t="str">
        <f t="shared" si="22"/>
        <v>ITR_2</v>
      </c>
      <c r="AT111" s="2" t="str">
        <f t="shared" si="16"/>
        <v>System Hardening &amp; Updates</v>
      </c>
      <c r="AV111" s="2" t="s">
        <v>727</v>
      </c>
      <c r="AW111" s="2" t="s">
        <v>712</v>
      </c>
      <c r="AX111" s="2" t="str">
        <f t="shared" si="17"/>
        <v>Q14|FedRAMP</v>
      </c>
      <c r="AY111" s="13" t="s">
        <v>1826</v>
      </c>
      <c r="AZ111" s="13" t="s">
        <v>1074</v>
      </c>
      <c r="BA111" s="2">
        <v>1</v>
      </c>
    </row>
    <row r="112" spans="42:63" x14ac:dyDescent="0.2">
      <c r="AP112" s="2" t="s">
        <v>823</v>
      </c>
      <c r="AQ112" s="2" t="s">
        <v>377</v>
      </c>
      <c r="AR112" s="2" t="str">
        <f t="shared" si="15"/>
        <v xml:space="preserve"> Infrastructure &amp; Technical Readiness </v>
      </c>
      <c r="AS112" s="2" t="str">
        <f t="shared" si="22"/>
        <v>ITR_2</v>
      </c>
      <c r="AT112" s="2" t="str">
        <f t="shared" si="16"/>
        <v>System Hardening &amp; Updates</v>
      </c>
      <c r="AV112" s="2" t="s">
        <v>727</v>
      </c>
      <c r="AW112" s="2" t="s">
        <v>1043</v>
      </c>
      <c r="AX112" s="2" t="str">
        <f t="shared" si="17"/>
        <v>Q14|ISO 27001</v>
      </c>
      <c r="AY112" s="13" t="s">
        <v>495</v>
      </c>
      <c r="AZ112" s="13" t="s">
        <v>1147</v>
      </c>
      <c r="BA112" s="2">
        <v>1</v>
      </c>
    </row>
    <row r="113" spans="42:53" x14ac:dyDescent="0.2">
      <c r="AP113" s="2" t="s">
        <v>824</v>
      </c>
      <c r="AQ113" s="2" t="s">
        <v>377</v>
      </c>
      <c r="AR113" s="2" t="str">
        <f t="shared" si="15"/>
        <v xml:space="preserve"> Infrastructure &amp; Technical Readiness </v>
      </c>
      <c r="AS113" s="2" t="str">
        <f>AQ111 &amp; "_3"</f>
        <v>ITR_3</v>
      </c>
      <c r="AT113" s="2" t="str">
        <f t="shared" si="16"/>
        <v>Incident Response &amp; Recovery</v>
      </c>
      <c r="AV113" s="2" t="s">
        <v>727</v>
      </c>
      <c r="AW113" s="2" t="s">
        <v>713</v>
      </c>
      <c r="AX113" s="2" t="str">
        <f t="shared" si="17"/>
        <v>Q14|SOC2</v>
      </c>
      <c r="AY113" s="13" t="s">
        <v>496</v>
      </c>
      <c r="AZ113" s="13" t="s">
        <v>1193</v>
      </c>
      <c r="BA113" s="2">
        <v>1</v>
      </c>
    </row>
    <row r="114" spans="42:53" x14ac:dyDescent="0.2">
      <c r="AP114" s="2" t="s">
        <v>825</v>
      </c>
      <c r="AQ114" s="2" t="s">
        <v>377</v>
      </c>
      <c r="AR114" s="2" t="str">
        <f t="shared" si="15"/>
        <v xml:space="preserve"> Infrastructure &amp; Technical Readiness </v>
      </c>
      <c r="AS114" s="2" t="str">
        <f t="shared" ref="AS114:AS122" si="23">AQ112 &amp; "_3"</f>
        <v>ITR_3</v>
      </c>
      <c r="AT114" s="2" t="str">
        <f t="shared" si="16"/>
        <v>Incident Response &amp; Recovery</v>
      </c>
      <c r="AV114" s="2" t="s">
        <v>727</v>
      </c>
      <c r="AW114" s="2" t="s">
        <v>1044</v>
      </c>
      <c r="AX114" s="2" t="str">
        <f t="shared" si="17"/>
        <v>Q14|CIS v8</v>
      </c>
      <c r="AY114" s="13">
        <v>15.2</v>
      </c>
      <c r="AZ114" s="13" t="s">
        <v>1087</v>
      </c>
      <c r="BA114" s="2">
        <v>1</v>
      </c>
    </row>
    <row r="115" spans="42:53" x14ac:dyDescent="0.2">
      <c r="AP115" s="2" t="s">
        <v>826</v>
      </c>
      <c r="AQ115" s="2" t="s">
        <v>377</v>
      </c>
      <c r="AR115" s="2" t="str">
        <f t="shared" si="15"/>
        <v xml:space="preserve"> Infrastructure &amp; Technical Readiness </v>
      </c>
      <c r="AS115" s="2" t="str">
        <f t="shared" si="23"/>
        <v>ITR_3</v>
      </c>
      <c r="AT115" s="2" t="str">
        <f t="shared" si="16"/>
        <v>Incident Response &amp; Recovery</v>
      </c>
      <c r="AV115" s="2" t="s">
        <v>728</v>
      </c>
      <c r="AW115" s="2" t="s">
        <v>1041</v>
      </c>
      <c r="AX115" s="2" t="str">
        <f t="shared" si="17"/>
        <v>Q15|NIST CSF 2.0</v>
      </c>
      <c r="AY115" s="13" t="s">
        <v>497</v>
      </c>
      <c r="AZ115" s="13" t="s">
        <v>1065</v>
      </c>
      <c r="BA115" s="2">
        <v>1</v>
      </c>
    </row>
    <row r="116" spans="42:53" x14ac:dyDescent="0.2">
      <c r="AP116" s="2" t="s">
        <v>827</v>
      </c>
      <c r="AQ116" s="2" t="s">
        <v>377</v>
      </c>
      <c r="AR116" s="2" t="str">
        <f t="shared" si="15"/>
        <v xml:space="preserve"> Infrastructure &amp; Technical Readiness </v>
      </c>
      <c r="AS116" s="2" t="str">
        <f t="shared" si="23"/>
        <v>ITR_3</v>
      </c>
      <c r="AT116" s="2" t="str">
        <f t="shared" si="16"/>
        <v>Incident Response &amp; Recovery</v>
      </c>
      <c r="AV116" s="2" t="s">
        <v>728</v>
      </c>
      <c r="AW116" s="2" t="s">
        <v>710</v>
      </c>
      <c r="AX116" s="2" t="str">
        <f t="shared" si="17"/>
        <v>Q15|NIST PQC</v>
      </c>
      <c r="AY116" s="13" t="s">
        <v>439</v>
      </c>
      <c r="AZ116" s="13" t="s">
        <v>439</v>
      </c>
      <c r="BA116" s="2"/>
    </row>
    <row r="117" spans="42:53" x14ac:dyDescent="0.2">
      <c r="AP117" s="2" t="s">
        <v>828</v>
      </c>
      <c r="AQ117" s="2" t="s">
        <v>377</v>
      </c>
      <c r="AR117" s="2" t="str">
        <f t="shared" si="15"/>
        <v xml:space="preserve"> Infrastructure &amp; Technical Readiness </v>
      </c>
      <c r="AS117" s="2" t="str">
        <f t="shared" si="23"/>
        <v>ITR_3</v>
      </c>
      <c r="AT117" s="2" t="str">
        <f t="shared" si="16"/>
        <v>Incident Response &amp; Recovery</v>
      </c>
      <c r="AV117" s="2" t="s">
        <v>728</v>
      </c>
      <c r="AW117" s="2" t="s">
        <v>1042</v>
      </c>
      <c r="AX117" s="2" t="str">
        <f t="shared" si="17"/>
        <v>Q15|CMMC 2.0</v>
      </c>
      <c r="AY117" s="13" t="s">
        <v>498</v>
      </c>
      <c r="AZ117" s="13" t="s">
        <v>1075</v>
      </c>
      <c r="BA117" s="2">
        <v>0.8</v>
      </c>
    </row>
    <row r="118" spans="42:53" x14ac:dyDescent="0.2">
      <c r="AP118" s="2" t="s">
        <v>829</v>
      </c>
      <c r="AQ118" s="2" t="s">
        <v>377</v>
      </c>
      <c r="AR118" s="2" t="str">
        <f t="shared" si="15"/>
        <v xml:space="preserve"> Infrastructure &amp; Technical Readiness </v>
      </c>
      <c r="AS118" s="2" t="str">
        <f t="shared" si="23"/>
        <v>ITR_3</v>
      </c>
      <c r="AT118" s="2" t="str">
        <f t="shared" si="16"/>
        <v>Incident Response &amp; Recovery</v>
      </c>
      <c r="AV118" s="2" t="s">
        <v>728</v>
      </c>
      <c r="AW118" s="2" t="s">
        <v>711</v>
      </c>
      <c r="AX118" s="2" t="str">
        <f t="shared" si="17"/>
        <v>Q15|FISMA</v>
      </c>
      <c r="AY118" s="13" t="s">
        <v>499</v>
      </c>
      <c r="AZ118" s="13" t="s">
        <v>1075</v>
      </c>
      <c r="BA118" s="2">
        <v>1</v>
      </c>
    </row>
    <row r="119" spans="42:53" x14ac:dyDescent="0.2">
      <c r="AP119" s="2" t="s">
        <v>830</v>
      </c>
      <c r="AQ119" s="2" t="s">
        <v>377</v>
      </c>
      <c r="AR119" s="2" t="str">
        <f t="shared" si="15"/>
        <v xml:space="preserve"> Infrastructure &amp; Technical Readiness </v>
      </c>
      <c r="AS119" s="2" t="str">
        <f t="shared" si="23"/>
        <v>ITR_3</v>
      </c>
      <c r="AT119" s="2" t="str">
        <f t="shared" si="16"/>
        <v>Incident Response &amp; Recovery</v>
      </c>
      <c r="AV119" s="2" t="s">
        <v>728</v>
      </c>
      <c r="AW119" s="2" t="s">
        <v>712</v>
      </c>
      <c r="AX119" s="2" t="str">
        <f t="shared" si="17"/>
        <v>Q15|FedRAMP</v>
      </c>
      <c r="AY119" s="13" t="s">
        <v>499</v>
      </c>
      <c r="AZ119" s="13" t="s">
        <v>1075</v>
      </c>
      <c r="BA119" s="2">
        <v>1</v>
      </c>
    </row>
    <row r="120" spans="42:53" x14ac:dyDescent="0.2">
      <c r="AP120" s="2" t="s">
        <v>831</v>
      </c>
      <c r="AQ120" s="2" t="s">
        <v>377</v>
      </c>
      <c r="AR120" s="2" t="str">
        <f t="shared" si="15"/>
        <v xml:space="preserve"> Infrastructure &amp; Technical Readiness </v>
      </c>
      <c r="AS120" s="2" t="str">
        <f t="shared" si="23"/>
        <v>ITR_3</v>
      </c>
      <c r="AT120" s="2" t="str">
        <f t="shared" si="16"/>
        <v>Incident Response &amp; Recovery</v>
      </c>
      <c r="AV120" s="2" t="s">
        <v>728</v>
      </c>
      <c r="AW120" s="2" t="s">
        <v>1043</v>
      </c>
      <c r="AX120" s="2" t="str">
        <f t="shared" si="17"/>
        <v>Q15|ISO 27001</v>
      </c>
      <c r="AY120" s="13" t="s">
        <v>483</v>
      </c>
      <c r="AZ120" s="13" t="s">
        <v>1144</v>
      </c>
      <c r="BA120" s="2">
        <v>0.8</v>
      </c>
    </row>
    <row r="121" spans="42:53" x14ac:dyDescent="0.2">
      <c r="AP121" s="2" t="s">
        <v>832</v>
      </c>
      <c r="AQ121" s="2" t="s">
        <v>377</v>
      </c>
      <c r="AR121" s="2" t="str">
        <f t="shared" si="15"/>
        <v xml:space="preserve"> Infrastructure &amp; Technical Readiness </v>
      </c>
      <c r="AS121" s="2" t="str">
        <f t="shared" si="23"/>
        <v>ITR_3</v>
      </c>
      <c r="AT121" s="2" t="str">
        <f t="shared" si="16"/>
        <v>Incident Response &amp; Recovery</v>
      </c>
      <c r="AV121" s="2" t="s">
        <v>728</v>
      </c>
      <c r="AW121" s="2" t="s">
        <v>713</v>
      </c>
      <c r="AX121" s="2" t="str">
        <f t="shared" si="17"/>
        <v>Q15|SOC2</v>
      </c>
      <c r="AY121" s="13" t="s">
        <v>484</v>
      </c>
      <c r="AZ121" s="13" t="s">
        <v>1194</v>
      </c>
      <c r="BA121" s="2">
        <v>0.8</v>
      </c>
    </row>
    <row r="122" spans="42:53" x14ac:dyDescent="0.2">
      <c r="AP122" s="2" t="s">
        <v>833</v>
      </c>
      <c r="AQ122" s="2" t="s">
        <v>377</v>
      </c>
      <c r="AR122" s="2" t="str">
        <f t="shared" si="15"/>
        <v xml:space="preserve"> Infrastructure &amp; Technical Readiness </v>
      </c>
      <c r="AS122" s="2" t="str">
        <f t="shared" si="23"/>
        <v>ITR_3</v>
      </c>
      <c r="AT122" s="2" t="str">
        <f t="shared" si="16"/>
        <v>Incident Response &amp; Recovery</v>
      </c>
      <c r="AV122" s="2" t="s">
        <v>728</v>
      </c>
      <c r="AW122" s="2" t="s">
        <v>1044</v>
      </c>
      <c r="AX122" s="2" t="str">
        <f t="shared" si="17"/>
        <v>Q15|CIS v8</v>
      </c>
      <c r="AY122" s="13">
        <v>7.5</v>
      </c>
      <c r="AZ122" s="13" t="s">
        <v>1099</v>
      </c>
      <c r="BA122" s="2">
        <v>0.8</v>
      </c>
    </row>
    <row r="123" spans="42:53" x14ac:dyDescent="0.2">
      <c r="AP123" s="5"/>
      <c r="AV123" s="2" t="s">
        <v>729</v>
      </c>
      <c r="AW123" s="2" t="s">
        <v>1041</v>
      </c>
      <c r="AX123" s="2" t="str">
        <f t="shared" si="17"/>
        <v>Q16|NIST CSF 2.0</v>
      </c>
      <c r="AY123" s="13" t="s">
        <v>500</v>
      </c>
      <c r="AZ123" s="13" t="s">
        <v>1064</v>
      </c>
      <c r="BA123" s="2">
        <v>1</v>
      </c>
    </row>
    <row r="124" spans="42:53" x14ac:dyDescent="0.2">
      <c r="AP124" s="5"/>
      <c r="AV124" s="2" t="s">
        <v>729</v>
      </c>
      <c r="AW124" s="2" t="s">
        <v>710</v>
      </c>
      <c r="AX124" s="2" t="str">
        <f t="shared" si="17"/>
        <v>Q16|NIST PQC</v>
      </c>
      <c r="AY124" s="13" t="s">
        <v>439</v>
      </c>
      <c r="AZ124" s="13" t="s">
        <v>439</v>
      </c>
      <c r="BA124" s="2"/>
    </row>
    <row r="125" spans="42:53" x14ac:dyDescent="0.2">
      <c r="AP125" s="5"/>
      <c r="AV125" s="2" t="s">
        <v>729</v>
      </c>
      <c r="AW125" s="2" t="s">
        <v>1042</v>
      </c>
      <c r="AX125" s="2" t="str">
        <f t="shared" si="17"/>
        <v>Q16|CMMC 2.0</v>
      </c>
      <c r="AY125" s="13" t="s">
        <v>481</v>
      </c>
      <c r="AZ125" s="13" t="s">
        <v>1073</v>
      </c>
      <c r="BA125" s="2">
        <v>1</v>
      </c>
    </row>
    <row r="126" spans="42:53" x14ac:dyDescent="0.2">
      <c r="AP126" s="5"/>
      <c r="AV126" s="2" t="s">
        <v>729</v>
      </c>
      <c r="AW126" s="2" t="s">
        <v>711</v>
      </c>
      <c r="AX126" s="2" t="str">
        <f t="shared" si="17"/>
        <v>Q16|FISMA</v>
      </c>
      <c r="AY126" s="13" t="s">
        <v>482</v>
      </c>
      <c r="AZ126" s="13" t="s">
        <v>1073</v>
      </c>
      <c r="BA126" s="2">
        <v>1</v>
      </c>
    </row>
    <row r="127" spans="42:53" x14ac:dyDescent="0.2">
      <c r="AP127" s="5"/>
      <c r="AV127" s="2" t="s">
        <v>729</v>
      </c>
      <c r="AW127" s="2" t="s">
        <v>712</v>
      </c>
      <c r="AX127" s="2" t="str">
        <f t="shared" si="17"/>
        <v>Q16|FedRAMP</v>
      </c>
      <c r="AY127" s="13" t="s">
        <v>501</v>
      </c>
      <c r="AZ127" s="13" t="s">
        <v>1073</v>
      </c>
      <c r="BA127" s="2">
        <v>1</v>
      </c>
    </row>
    <row r="128" spans="42:53" x14ac:dyDescent="0.2">
      <c r="AP128" s="5"/>
      <c r="AV128" s="2" t="s">
        <v>729</v>
      </c>
      <c r="AW128" s="2" t="s">
        <v>1043</v>
      </c>
      <c r="AX128" s="2" t="str">
        <f t="shared" si="17"/>
        <v>Q16|ISO 27001</v>
      </c>
      <c r="AY128" s="13" t="s">
        <v>483</v>
      </c>
      <c r="AZ128" s="13" t="s">
        <v>1144</v>
      </c>
      <c r="BA128" s="2">
        <v>1</v>
      </c>
    </row>
    <row r="129" spans="42:57" x14ac:dyDescent="0.2">
      <c r="AP129" s="5"/>
      <c r="AV129" s="2" t="s">
        <v>729</v>
      </c>
      <c r="AW129" s="2" t="s">
        <v>713</v>
      </c>
      <c r="AX129" s="2" t="str">
        <f t="shared" si="17"/>
        <v>Q16|SOC2</v>
      </c>
      <c r="AY129" s="13" t="s">
        <v>484</v>
      </c>
      <c r="AZ129" s="13" t="s">
        <v>1194</v>
      </c>
      <c r="BA129" s="2">
        <v>1</v>
      </c>
      <c r="BE129" s="151" t="s">
        <v>1109</v>
      </c>
    </row>
    <row r="130" spans="42:57" x14ac:dyDescent="0.2">
      <c r="AP130" s="5"/>
      <c r="AV130" s="2" t="s">
        <v>729</v>
      </c>
      <c r="AW130" s="2" t="s">
        <v>1044</v>
      </c>
      <c r="AX130" s="2" t="str">
        <f t="shared" si="17"/>
        <v>Q16|CIS v8</v>
      </c>
      <c r="AY130" s="13">
        <v>7.2</v>
      </c>
      <c r="AZ130" s="13" t="s">
        <v>1099</v>
      </c>
      <c r="BA130" s="2">
        <v>1</v>
      </c>
      <c r="BE130" s="151" t="s">
        <v>1109</v>
      </c>
    </row>
    <row r="131" spans="42:57" x14ac:dyDescent="0.2">
      <c r="AP131" s="5"/>
      <c r="AV131" s="2" t="s">
        <v>730</v>
      </c>
      <c r="AW131" s="2" t="s">
        <v>1041</v>
      </c>
      <c r="AX131" s="2" t="str">
        <f t="shared" si="17"/>
        <v>Q17|NIST CSF 2.0</v>
      </c>
      <c r="AY131" s="13" t="s">
        <v>480</v>
      </c>
      <c r="AZ131" s="13" t="s">
        <v>1064</v>
      </c>
      <c r="BA131" s="2">
        <v>0.8</v>
      </c>
      <c r="BE131" s="151" t="s">
        <v>1109</v>
      </c>
    </row>
    <row r="132" spans="42:57" x14ac:dyDescent="0.2">
      <c r="AP132" s="5"/>
      <c r="AV132" s="2" t="s">
        <v>730</v>
      </c>
      <c r="AW132" s="2" t="s">
        <v>710</v>
      </c>
      <c r="AX132" s="2" t="str">
        <f t="shared" ref="AX132:AX195" si="24">_xlfn.CONCAT(AV132,"|",AW132)</f>
        <v>Q17|NIST PQC</v>
      </c>
      <c r="AY132" s="13" t="s">
        <v>439</v>
      </c>
      <c r="AZ132" s="13" t="s">
        <v>439</v>
      </c>
      <c r="BA132" s="2"/>
      <c r="BE132" s="151" t="s">
        <v>1109</v>
      </c>
    </row>
    <row r="133" spans="42:57" x14ac:dyDescent="0.2">
      <c r="AP133" s="5"/>
      <c r="AV133" s="2" t="s">
        <v>730</v>
      </c>
      <c r="AW133" s="2" t="s">
        <v>1042</v>
      </c>
      <c r="AX133" s="2" t="str">
        <f t="shared" si="24"/>
        <v>Q17|CMMC 2.0</v>
      </c>
      <c r="AY133" s="13" t="s">
        <v>502</v>
      </c>
      <c r="AZ133" s="13" t="s">
        <v>1076</v>
      </c>
      <c r="BA133" s="2">
        <v>0.6</v>
      </c>
      <c r="BE133" s="151" t="s">
        <v>1109</v>
      </c>
    </row>
    <row r="134" spans="42:57" x14ac:dyDescent="0.2">
      <c r="AP134" s="5"/>
      <c r="AV134" s="2" t="s">
        <v>730</v>
      </c>
      <c r="AW134" s="2" t="s">
        <v>711</v>
      </c>
      <c r="AX134" s="2" t="str">
        <f t="shared" si="24"/>
        <v>Q17|FISMA</v>
      </c>
      <c r="AY134" s="13" t="s">
        <v>503</v>
      </c>
      <c r="AZ134" s="13" t="s">
        <v>1076</v>
      </c>
      <c r="BA134" s="2">
        <v>0.8</v>
      </c>
      <c r="BE134" s="151" t="s">
        <v>1109</v>
      </c>
    </row>
    <row r="135" spans="42:57" x14ac:dyDescent="0.2">
      <c r="AP135" s="5"/>
      <c r="AV135" s="2" t="s">
        <v>730</v>
      </c>
      <c r="AW135" s="2" t="s">
        <v>712</v>
      </c>
      <c r="AX135" s="2" t="str">
        <f t="shared" si="24"/>
        <v>Q17|FedRAMP</v>
      </c>
      <c r="AY135" s="13" t="s">
        <v>503</v>
      </c>
      <c r="AZ135" s="13" t="s">
        <v>1076</v>
      </c>
      <c r="BA135" s="2">
        <v>0.8</v>
      </c>
      <c r="BE135" s="151" t="s">
        <v>1109</v>
      </c>
    </row>
    <row r="136" spans="42:57" x14ac:dyDescent="0.2">
      <c r="AP136" s="5"/>
      <c r="AV136" s="2" t="s">
        <v>730</v>
      </c>
      <c r="AW136" s="2" t="s">
        <v>1043</v>
      </c>
      <c r="AX136" s="2" t="str">
        <f t="shared" si="24"/>
        <v>Q17|ISO 27001</v>
      </c>
      <c r="AY136" s="13" t="s">
        <v>483</v>
      </c>
      <c r="AZ136" s="13" t="s">
        <v>1144</v>
      </c>
      <c r="BA136" s="2">
        <v>0.6</v>
      </c>
      <c r="BE136" s="151" t="s">
        <v>1109</v>
      </c>
    </row>
    <row r="137" spans="42:57" x14ac:dyDescent="0.2">
      <c r="AP137" s="5"/>
      <c r="AV137" s="2" t="s">
        <v>730</v>
      </c>
      <c r="AW137" s="2" t="s">
        <v>713</v>
      </c>
      <c r="AX137" s="2" t="str">
        <f t="shared" si="24"/>
        <v>Q17|SOC2</v>
      </c>
      <c r="AY137" s="13" t="s">
        <v>484</v>
      </c>
      <c r="AZ137" s="13" t="s">
        <v>1194</v>
      </c>
      <c r="BA137" s="2">
        <v>0.6</v>
      </c>
      <c r="BE137" s="151" t="s">
        <v>1109</v>
      </c>
    </row>
    <row r="138" spans="42:57" x14ac:dyDescent="0.2">
      <c r="AP138" s="5"/>
      <c r="AV138" s="2" t="s">
        <v>730</v>
      </c>
      <c r="AW138" s="2" t="s">
        <v>1044</v>
      </c>
      <c r="AX138" s="2" t="str">
        <f t="shared" si="24"/>
        <v>Q17|CIS v8</v>
      </c>
      <c r="AY138" s="13">
        <v>7.1</v>
      </c>
      <c r="AZ138" s="13" t="s">
        <v>1099</v>
      </c>
      <c r="BA138" s="2">
        <v>0.6</v>
      </c>
      <c r="BE138" s="151" t="s">
        <v>1109</v>
      </c>
    </row>
    <row r="139" spans="42:57" x14ac:dyDescent="0.2">
      <c r="AP139" s="5"/>
      <c r="AV139" s="2" t="s">
        <v>731</v>
      </c>
      <c r="AW139" s="2" t="s">
        <v>1041</v>
      </c>
      <c r="AX139" s="2" t="str">
        <f t="shared" si="24"/>
        <v>Q18|NIST CSF 2.0</v>
      </c>
      <c r="AY139" s="13" t="s">
        <v>480</v>
      </c>
      <c r="AZ139" s="13" t="s">
        <v>1064</v>
      </c>
      <c r="BA139" s="2">
        <v>1</v>
      </c>
      <c r="BE139" s="151" t="s">
        <v>1109</v>
      </c>
    </row>
    <row r="140" spans="42:57" x14ac:dyDescent="0.2">
      <c r="AP140" s="5"/>
      <c r="AV140" s="2" t="s">
        <v>731</v>
      </c>
      <c r="AW140" s="2" t="s">
        <v>710</v>
      </c>
      <c r="AX140" s="2" t="str">
        <f t="shared" si="24"/>
        <v>Q18|NIST PQC</v>
      </c>
      <c r="AY140" s="13" t="s">
        <v>439</v>
      </c>
      <c r="AZ140" s="13" t="s">
        <v>439</v>
      </c>
      <c r="BA140" s="2"/>
      <c r="BE140" s="151" t="s">
        <v>1109</v>
      </c>
    </row>
    <row r="141" spans="42:57" x14ac:dyDescent="0.2">
      <c r="AP141" s="5"/>
      <c r="AV141" s="2" t="s">
        <v>731</v>
      </c>
      <c r="AW141" s="2" t="s">
        <v>1042</v>
      </c>
      <c r="AX141" s="2" t="str">
        <f t="shared" si="24"/>
        <v>Q18|CMMC 2.0</v>
      </c>
      <c r="AY141" s="13" t="s">
        <v>481</v>
      </c>
      <c r="AZ141" s="13" t="s">
        <v>1073</v>
      </c>
      <c r="BA141" s="2">
        <v>0.8</v>
      </c>
      <c r="BE141" s="151" t="s">
        <v>1109</v>
      </c>
    </row>
    <row r="142" spans="42:57" x14ac:dyDescent="0.2">
      <c r="AP142" s="5"/>
      <c r="AV142" s="2" t="s">
        <v>731</v>
      </c>
      <c r="AW142" s="2" t="s">
        <v>711</v>
      </c>
      <c r="AX142" s="2" t="str">
        <f t="shared" si="24"/>
        <v>Q18|FISMA</v>
      </c>
      <c r="AY142" s="13" t="s">
        <v>499</v>
      </c>
      <c r="AZ142" s="13" t="s">
        <v>1075</v>
      </c>
      <c r="BA142" s="2">
        <v>1</v>
      </c>
      <c r="BE142" s="151" t="s">
        <v>1109</v>
      </c>
    </row>
    <row r="143" spans="42:57" x14ac:dyDescent="0.2">
      <c r="AP143" s="5"/>
      <c r="AV143" s="2" t="s">
        <v>731</v>
      </c>
      <c r="AW143" s="2" t="s">
        <v>712</v>
      </c>
      <c r="AX143" s="2" t="str">
        <f t="shared" si="24"/>
        <v>Q18|FedRAMP</v>
      </c>
      <c r="AY143" s="13" t="s">
        <v>499</v>
      </c>
      <c r="AZ143" s="13" t="s">
        <v>1075</v>
      </c>
      <c r="BA143" s="2">
        <v>1</v>
      </c>
      <c r="BE143" s="151" t="s">
        <v>1109</v>
      </c>
    </row>
    <row r="144" spans="42:57" x14ac:dyDescent="0.2">
      <c r="AP144" s="5"/>
      <c r="AV144" s="2" t="s">
        <v>731</v>
      </c>
      <c r="AW144" s="2" t="s">
        <v>1043</v>
      </c>
      <c r="AX144" s="2" t="str">
        <f t="shared" si="24"/>
        <v>Q18|ISO 27001</v>
      </c>
      <c r="AY144" s="13" t="s">
        <v>483</v>
      </c>
      <c r="AZ144" s="13" t="s">
        <v>1144</v>
      </c>
      <c r="BA144" s="2">
        <v>0.8</v>
      </c>
      <c r="BE144" s="151" t="s">
        <v>1109</v>
      </c>
    </row>
    <row r="145" spans="42:57" x14ac:dyDescent="0.2">
      <c r="AP145" s="5"/>
      <c r="AV145" s="2" t="s">
        <v>731</v>
      </c>
      <c r="AW145" s="2" t="s">
        <v>713</v>
      </c>
      <c r="AX145" s="2" t="str">
        <f t="shared" si="24"/>
        <v>Q18|SOC2</v>
      </c>
      <c r="AY145" s="13" t="s">
        <v>484</v>
      </c>
      <c r="AZ145" s="13" t="s">
        <v>1194</v>
      </c>
      <c r="BA145" s="2">
        <v>0.8</v>
      </c>
      <c r="BE145" s="151" t="s">
        <v>1109</v>
      </c>
    </row>
    <row r="146" spans="42:57" x14ac:dyDescent="0.2">
      <c r="AP146" s="5"/>
      <c r="AV146" s="2" t="s">
        <v>731</v>
      </c>
      <c r="AW146" s="2" t="s">
        <v>1044</v>
      </c>
      <c r="AX146" s="2" t="str">
        <f t="shared" si="24"/>
        <v>Q18|CIS v8</v>
      </c>
      <c r="AY146" s="13">
        <v>7.4</v>
      </c>
      <c r="AZ146" s="13" t="s">
        <v>1099</v>
      </c>
      <c r="BA146" s="2">
        <v>0.8</v>
      </c>
      <c r="BE146" s="151" t="s">
        <v>1109</v>
      </c>
    </row>
    <row r="147" spans="42:57" x14ac:dyDescent="0.2">
      <c r="AP147" s="5"/>
      <c r="AV147" s="2" t="s">
        <v>732</v>
      </c>
      <c r="AW147" s="2" t="s">
        <v>1041</v>
      </c>
      <c r="AX147" s="2" t="str">
        <f t="shared" si="24"/>
        <v>Q19|NIST CSF 2.0</v>
      </c>
      <c r="AY147" s="13" t="s">
        <v>480</v>
      </c>
      <c r="AZ147" s="13" t="s">
        <v>1064</v>
      </c>
      <c r="BA147" s="2">
        <v>1</v>
      </c>
      <c r="BE147" s="151" t="s">
        <v>1109</v>
      </c>
    </row>
    <row r="148" spans="42:57" x14ac:dyDescent="0.2">
      <c r="AP148" s="5"/>
      <c r="AV148" s="2" t="s">
        <v>732</v>
      </c>
      <c r="AW148" s="2" t="s">
        <v>710</v>
      </c>
      <c r="AX148" s="2" t="str">
        <f t="shared" si="24"/>
        <v>Q19|NIST PQC</v>
      </c>
      <c r="AY148" s="13" t="s">
        <v>439</v>
      </c>
      <c r="AZ148" s="13" t="s">
        <v>439</v>
      </c>
      <c r="BA148" s="2"/>
    </row>
    <row r="149" spans="42:57" x14ac:dyDescent="0.2">
      <c r="AP149" s="5"/>
      <c r="AV149" s="2" t="s">
        <v>732</v>
      </c>
      <c r="AW149" s="2" t="s">
        <v>1042</v>
      </c>
      <c r="AX149" s="2" t="str">
        <f t="shared" si="24"/>
        <v>Q19|CMMC 2.0</v>
      </c>
      <c r="AY149" s="13" t="s">
        <v>439</v>
      </c>
      <c r="AZ149" s="13" t="s">
        <v>439</v>
      </c>
      <c r="BA149" s="2"/>
    </row>
    <row r="150" spans="42:57" x14ac:dyDescent="0.2">
      <c r="AP150" s="5"/>
      <c r="AV150" s="2" t="s">
        <v>732</v>
      </c>
      <c r="AW150" s="2" t="s">
        <v>711</v>
      </c>
      <c r="AX150" s="2" t="str">
        <f t="shared" si="24"/>
        <v>Q19|FISMA</v>
      </c>
      <c r="AY150" s="13" t="s">
        <v>505</v>
      </c>
      <c r="AZ150" s="13" t="s">
        <v>1076</v>
      </c>
      <c r="BA150" s="2">
        <v>1</v>
      </c>
    </row>
    <row r="151" spans="42:57" x14ac:dyDescent="0.2">
      <c r="AP151" s="5"/>
      <c r="AV151" s="2" t="s">
        <v>732</v>
      </c>
      <c r="AW151" s="2" t="s">
        <v>712</v>
      </c>
      <c r="AX151" s="2" t="str">
        <f t="shared" si="24"/>
        <v>Q19|FedRAMP</v>
      </c>
      <c r="AY151" s="13" t="s">
        <v>505</v>
      </c>
      <c r="AZ151" s="13" t="s">
        <v>1076</v>
      </c>
      <c r="BA151" s="2">
        <v>1</v>
      </c>
    </row>
    <row r="152" spans="42:57" x14ac:dyDescent="0.2">
      <c r="AP152" s="5"/>
      <c r="AV152" s="2" t="s">
        <v>732</v>
      </c>
      <c r="AW152" s="2" t="s">
        <v>1043</v>
      </c>
      <c r="AX152" s="2" t="str">
        <f t="shared" si="24"/>
        <v>Q19|ISO 27001</v>
      </c>
      <c r="AY152" s="13" t="s">
        <v>506</v>
      </c>
      <c r="AZ152" s="13" t="s">
        <v>1150</v>
      </c>
      <c r="BA152" s="2">
        <v>1</v>
      </c>
    </row>
    <row r="153" spans="42:57" x14ac:dyDescent="0.2">
      <c r="AP153" s="5"/>
      <c r="AV153" s="2" t="s">
        <v>732</v>
      </c>
      <c r="AW153" s="2" t="s">
        <v>713</v>
      </c>
      <c r="AX153" s="2" t="str">
        <f t="shared" si="24"/>
        <v>Q19|SOC2</v>
      </c>
      <c r="AY153" s="13" t="s">
        <v>484</v>
      </c>
      <c r="AZ153" s="13" t="s">
        <v>1194</v>
      </c>
      <c r="BA153" s="2">
        <v>1</v>
      </c>
    </row>
    <row r="154" spans="42:57" x14ac:dyDescent="0.2">
      <c r="AP154" s="5"/>
      <c r="AV154" s="2" t="s">
        <v>732</v>
      </c>
      <c r="AW154" s="2" t="s">
        <v>1044</v>
      </c>
      <c r="AX154" s="2" t="str">
        <f t="shared" si="24"/>
        <v>Q19|CIS v8</v>
      </c>
      <c r="AY154" s="13">
        <v>18.100000000000001</v>
      </c>
      <c r="AZ154" s="13" t="s">
        <v>1088</v>
      </c>
      <c r="BA154" s="2">
        <v>1</v>
      </c>
    </row>
    <row r="155" spans="42:57" x14ac:dyDescent="0.2">
      <c r="AP155" s="5"/>
      <c r="AV155" s="2" t="s">
        <v>733</v>
      </c>
      <c r="AW155" s="2" t="s">
        <v>1041</v>
      </c>
      <c r="AX155" s="2" t="str">
        <f t="shared" si="24"/>
        <v>Q20|NIST CSF 2.0</v>
      </c>
      <c r="AY155" s="13" t="s">
        <v>480</v>
      </c>
      <c r="AZ155" s="13" t="s">
        <v>1064</v>
      </c>
      <c r="BA155" s="2">
        <v>0.8</v>
      </c>
    </row>
    <row r="156" spans="42:57" x14ac:dyDescent="0.2">
      <c r="AP156" s="5"/>
      <c r="AV156" s="2" t="s">
        <v>733</v>
      </c>
      <c r="AW156" s="2" t="s">
        <v>710</v>
      </c>
      <c r="AX156" s="2" t="str">
        <f t="shared" si="24"/>
        <v>Q20|NIST PQC</v>
      </c>
      <c r="AY156" s="13" t="s">
        <v>439</v>
      </c>
      <c r="AZ156" s="13" t="s">
        <v>439</v>
      </c>
      <c r="BA156" s="2"/>
    </row>
    <row r="157" spans="42:57" x14ac:dyDescent="0.2">
      <c r="AP157" s="5"/>
      <c r="AV157" s="2" t="s">
        <v>733</v>
      </c>
      <c r="AW157" s="2" t="s">
        <v>1042</v>
      </c>
      <c r="AX157" s="2" t="str">
        <f t="shared" si="24"/>
        <v>Q20|CMMC 2.0</v>
      </c>
      <c r="AY157" s="13" t="s">
        <v>439</v>
      </c>
      <c r="AZ157" s="13" t="s">
        <v>439</v>
      </c>
      <c r="BA157" s="2"/>
    </row>
    <row r="158" spans="42:57" x14ac:dyDescent="0.2">
      <c r="AP158" s="5"/>
      <c r="AV158" s="2" t="s">
        <v>733</v>
      </c>
      <c r="AW158" s="2" t="s">
        <v>711</v>
      </c>
      <c r="AX158" s="2" t="str">
        <f t="shared" si="24"/>
        <v>Q20|FISMA</v>
      </c>
      <c r="AY158" s="13" t="s">
        <v>505</v>
      </c>
      <c r="AZ158" s="13" t="s">
        <v>1076</v>
      </c>
      <c r="BA158" s="2">
        <v>1</v>
      </c>
    </row>
    <row r="159" spans="42:57" x14ac:dyDescent="0.2">
      <c r="AP159" s="5"/>
      <c r="AV159" s="2" t="s">
        <v>733</v>
      </c>
      <c r="AW159" s="2" t="s">
        <v>712</v>
      </c>
      <c r="AX159" s="2" t="str">
        <f t="shared" si="24"/>
        <v>Q20|FedRAMP</v>
      </c>
      <c r="AY159" s="13" t="s">
        <v>505</v>
      </c>
      <c r="AZ159" s="13" t="s">
        <v>1076</v>
      </c>
      <c r="BA159" s="2">
        <v>1</v>
      </c>
    </row>
    <row r="160" spans="42:57" x14ac:dyDescent="0.2">
      <c r="AP160" s="5"/>
      <c r="AV160" s="2" t="s">
        <v>733</v>
      </c>
      <c r="AW160" s="2" t="s">
        <v>1043</v>
      </c>
      <c r="AX160" s="2" t="str">
        <f t="shared" si="24"/>
        <v>Q20|ISO 27001</v>
      </c>
      <c r="AY160" s="13" t="s">
        <v>506</v>
      </c>
      <c r="AZ160" s="13" t="s">
        <v>1150</v>
      </c>
      <c r="BA160" s="2">
        <v>0.8</v>
      </c>
    </row>
    <row r="161" spans="42:53" x14ac:dyDescent="0.2">
      <c r="AP161" s="5"/>
      <c r="AV161" s="2" t="s">
        <v>733</v>
      </c>
      <c r="AW161" s="2" t="s">
        <v>713</v>
      </c>
      <c r="AX161" s="2" t="str">
        <f t="shared" si="24"/>
        <v>Q20|SOC2</v>
      </c>
      <c r="AY161" s="13" t="s">
        <v>484</v>
      </c>
      <c r="AZ161" s="13" t="s">
        <v>1194</v>
      </c>
      <c r="BA161" s="2">
        <v>0.8</v>
      </c>
    </row>
    <row r="162" spans="42:53" x14ac:dyDescent="0.2">
      <c r="AP162" s="5"/>
      <c r="AV162" s="2" t="s">
        <v>733</v>
      </c>
      <c r="AW162" s="2" t="s">
        <v>1044</v>
      </c>
      <c r="AX162" s="2" t="str">
        <f t="shared" si="24"/>
        <v>Q20|CIS v8</v>
      </c>
      <c r="AY162" s="13">
        <v>18.2</v>
      </c>
      <c r="AZ162" s="13" t="s">
        <v>1088</v>
      </c>
      <c r="BA162" s="2">
        <v>1</v>
      </c>
    </row>
    <row r="163" spans="42:53" x14ac:dyDescent="0.2">
      <c r="AP163" s="5"/>
      <c r="AV163" s="2" t="s">
        <v>734</v>
      </c>
      <c r="AW163" s="2" t="s">
        <v>1041</v>
      </c>
      <c r="AX163" s="2" t="str">
        <f t="shared" si="24"/>
        <v>Q21|NIST CSF 2.0</v>
      </c>
      <c r="AY163" s="13" t="s">
        <v>508</v>
      </c>
      <c r="AZ163" s="13" t="s">
        <v>1064</v>
      </c>
      <c r="BA163" s="2">
        <v>1</v>
      </c>
    </row>
    <row r="164" spans="42:53" x14ac:dyDescent="0.2">
      <c r="AP164" s="5"/>
      <c r="AV164" s="2" t="s">
        <v>734</v>
      </c>
      <c r="AW164" s="2" t="s">
        <v>710</v>
      </c>
      <c r="AX164" s="2" t="str">
        <f t="shared" si="24"/>
        <v>Q21|NIST PQC</v>
      </c>
      <c r="AY164" s="13" t="s">
        <v>439</v>
      </c>
      <c r="AZ164" s="13" t="s">
        <v>439</v>
      </c>
      <c r="BA164" s="2"/>
    </row>
    <row r="165" spans="42:53" x14ac:dyDescent="0.2">
      <c r="AP165" s="5"/>
      <c r="AV165" s="2" t="s">
        <v>734</v>
      </c>
      <c r="AW165" s="2" t="s">
        <v>1042</v>
      </c>
      <c r="AX165" s="2" t="str">
        <f t="shared" si="24"/>
        <v>Q21|CMMC 2.0</v>
      </c>
      <c r="AY165" s="13" t="s">
        <v>468</v>
      </c>
      <c r="AZ165" s="13" t="s">
        <v>1073</v>
      </c>
      <c r="BA165" s="2">
        <v>1</v>
      </c>
    </row>
    <row r="166" spans="42:53" x14ac:dyDescent="0.2">
      <c r="AP166" s="5"/>
      <c r="AV166" s="2" t="s">
        <v>734</v>
      </c>
      <c r="AW166" s="2" t="s">
        <v>711</v>
      </c>
      <c r="AX166" s="2" t="str">
        <f t="shared" si="24"/>
        <v>Q21|FISMA</v>
      </c>
      <c r="AY166" s="13" t="s">
        <v>490</v>
      </c>
      <c r="AZ166" s="13" t="s">
        <v>1073</v>
      </c>
      <c r="BA166" s="2">
        <v>1</v>
      </c>
    </row>
    <row r="167" spans="42:53" x14ac:dyDescent="0.2">
      <c r="AP167" s="5"/>
      <c r="AV167" s="2" t="s">
        <v>734</v>
      </c>
      <c r="AW167" s="2" t="s">
        <v>712</v>
      </c>
      <c r="AX167" s="2" t="str">
        <f t="shared" si="24"/>
        <v>Q21|FedRAMP</v>
      </c>
      <c r="AY167" s="13" t="s">
        <v>490</v>
      </c>
      <c r="AZ167" s="13" t="s">
        <v>1073</v>
      </c>
      <c r="BA167" s="2">
        <v>1</v>
      </c>
    </row>
    <row r="168" spans="42:53" x14ac:dyDescent="0.2">
      <c r="AP168" s="5"/>
      <c r="AV168" s="2" t="s">
        <v>734</v>
      </c>
      <c r="AW168" s="2" t="s">
        <v>1043</v>
      </c>
      <c r="AX168" s="2" t="str">
        <f t="shared" si="24"/>
        <v>Q21|ISO 27001</v>
      </c>
      <c r="AY168" s="13" t="s">
        <v>509</v>
      </c>
      <c r="AZ168" s="13" t="s">
        <v>1137</v>
      </c>
      <c r="BA168" s="2">
        <v>1</v>
      </c>
    </row>
    <row r="169" spans="42:53" x14ac:dyDescent="0.2">
      <c r="AP169" s="5"/>
      <c r="AV169" s="2" t="s">
        <v>734</v>
      </c>
      <c r="AW169" s="2" t="s">
        <v>713</v>
      </c>
      <c r="AX169" s="2" t="str">
        <f t="shared" si="24"/>
        <v>Q21|SOC2</v>
      </c>
      <c r="AY169" s="13" t="s">
        <v>470</v>
      </c>
      <c r="AZ169" s="13" t="s">
        <v>1192</v>
      </c>
      <c r="BA169" s="2">
        <v>1</v>
      </c>
    </row>
    <row r="170" spans="42:53" x14ac:dyDescent="0.2">
      <c r="AP170" s="5"/>
      <c r="AV170" s="2" t="s">
        <v>734</v>
      </c>
      <c r="AW170" s="2" t="s">
        <v>1044</v>
      </c>
      <c r="AX170" s="2" t="str">
        <f t="shared" si="24"/>
        <v>Q21|CIS v8</v>
      </c>
      <c r="AY170" s="13">
        <v>1.4</v>
      </c>
      <c r="AZ170" s="13" t="s">
        <v>1092</v>
      </c>
      <c r="BA170" s="2">
        <v>0.8</v>
      </c>
    </row>
    <row r="171" spans="42:53" x14ac:dyDescent="0.2">
      <c r="AP171" s="5"/>
      <c r="AV171" s="2" t="s">
        <v>735</v>
      </c>
      <c r="AW171" s="2" t="s">
        <v>1041</v>
      </c>
      <c r="AX171" s="2" t="str">
        <f t="shared" si="24"/>
        <v>Q22|NIST CSF 2.0</v>
      </c>
      <c r="AY171" s="13" t="s">
        <v>487</v>
      </c>
      <c r="AZ171" s="13" t="s">
        <v>1064</v>
      </c>
      <c r="BA171" s="2">
        <v>1</v>
      </c>
    </row>
    <row r="172" spans="42:53" x14ac:dyDescent="0.2">
      <c r="AP172" s="5"/>
      <c r="AV172" s="2" t="s">
        <v>735</v>
      </c>
      <c r="AW172" s="2" t="s">
        <v>710</v>
      </c>
      <c r="AX172" s="2" t="str">
        <f t="shared" si="24"/>
        <v>Q22|NIST PQC</v>
      </c>
      <c r="AY172" s="13" t="s">
        <v>510</v>
      </c>
      <c r="AZ172" s="13" t="s">
        <v>1094</v>
      </c>
      <c r="BA172" s="2">
        <v>1</v>
      </c>
    </row>
    <row r="173" spans="42:53" x14ac:dyDescent="0.2">
      <c r="AP173" s="5"/>
      <c r="AV173" s="2" t="s">
        <v>735</v>
      </c>
      <c r="AW173" s="2" t="s">
        <v>1042</v>
      </c>
      <c r="AX173" s="2" t="str">
        <f t="shared" si="24"/>
        <v>Q22|CMMC 2.0</v>
      </c>
      <c r="AY173" s="13" t="s">
        <v>489</v>
      </c>
      <c r="AZ173" s="13" t="s">
        <v>1073</v>
      </c>
      <c r="BA173" s="2">
        <v>0.8</v>
      </c>
    </row>
    <row r="174" spans="42:53" x14ac:dyDescent="0.2">
      <c r="AP174" s="5"/>
      <c r="AV174" s="2" t="s">
        <v>735</v>
      </c>
      <c r="AW174" s="2" t="s">
        <v>711</v>
      </c>
      <c r="AX174" s="2" t="str">
        <f t="shared" si="24"/>
        <v>Q22|FISMA</v>
      </c>
      <c r="AY174" s="13" t="s">
        <v>490</v>
      </c>
      <c r="AZ174" s="13" t="s">
        <v>1073</v>
      </c>
      <c r="BA174" s="2">
        <v>1</v>
      </c>
    </row>
    <row r="175" spans="42:53" x14ac:dyDescent="0.2">
      <c r="AP175" s="5"/>
      <c r="AV175" s="2" t="s">
        <v>735</v>
      </c>
      <c r="AW175" s="2" t="s">
        <v>712</v>
      </c>
      <c r="AX175" s="2" t="str">
        <f t="shared" si="24"/>
        <v>Q22|FedRAMP</v>
      </c>
      <c r="AY175" s="13" t="s">
        <v>490</v>
      </c>
      <c r="AZ175" s="13" t="s">
        <v>1073</v>
      </c>
      <c r="BA175" s="2">
        <v>1</v>
      </c>
    </row>
    <row r="176" spans="42:53" x14ac:dyDescent="0.2">
      <c r="AP176" s="5"/>
      <c r="AV176" s="2" t="s">
        <v>735</v>
      </c>
      <c r="AW176" s="2" t="s">
        <v>1043</v>
      </c>
      <c r="AX176" s="2" t="str">
        <f t="shared" si="24"/>
        <v>Q22|ISO 27001</v>
      </c>
      <c r="AY176" s="13" t="s">
        <v>509</v>
      </c>
      <c r="AZ176" s="13" t="s">
        <v>1137</v>
      </c>
      <c r="BA176" s="2">
        <v>0.8</v>
      </c>
    </row>
    <row r="177" spans="42:53" x14ac:dyDescent="0.2">
      <c r="AP177" s="5"/>
      <c r="AV177" s="2" t="s">
        <v>735</v>
      </c>
      <c r="AW177" s="2" t="s">
        <v>713</v>
      </c>
      <c r="AX177" s="2" t="str">
        <f t="shared" si="24"/>
        <v>Q22|SOC2</v>
      </c>
      <c r="AY177" s="13" t="s">
        <v>470</v>
      </c>
      <c r="AZ177" s="13" t="s">
        <v>1192</v>
      </c>
      <c r="BA177" s="2">
        <v>0.8</v>
      </c>
    </row>
    <row r="178" spans="42:53" x14ac:dyDescent="0.2">
      <c r="AP178" s="5"/>
      <c r="AV178" s="2" t="s">
        <v>735</v>
      </c>
      <c r="AW178" s="2" t="s">
        <v>1044</v>
      </c>
      <c r="AX178" s="2" t="str">
        <f t="shared" si="24"/>
        <v>Q22|CIS v8</v>
      </c>
      <c r="AY178" s="13">
        <v>1.4</v>
      </c>
      <c r="AZ178" s="13" t="s">
        <v>1092</v>
      </c>
      <c r="BA178" s="2">
        <v>0.6</v>
      </c>
    </row>
    <row r="179" spans="42:53" x14ac:dyDescent="0.2">
      <c r="AP179" s="5"/>
      <c r="AV179" s="2" t="s">
        <v>736</v>
      </c>
      <c r="AW179" s="2" t="s">
        <v>1041</v>
      </c>
      <c r="AX179" s="2" t="str">
        <f t="shared" si="24"/>
        <v>Q23|NIST CSF 2.0</v>
      </c>
      <c r="AY179" s="13" t="s">
        <v>511</v>
      </c>
      <c r="AZ179" s="13" t="s">
        <v>1064</v>
      </c>
      <c r="BA179" s="2">
        <v>1</v>
      </c>
    </row>
    <row r="180" spans="42:53" x14ac:dyDescent="0.2">
      <c r="AP180" s="5"/>
      <c r="AV180" s="2" t="s">
        <v>736</v>
      </c>
      <c r="AW180" s="2" t="s">
        <v>710</v>
      </c>
      <c r="AX180" s="2" t="str">
        <f t="shared" si="24"/>
        <v>Q23|NIST PQC</v>
      </c>
      <c r="AY180" s="13" t="s">
        <v>439</v>
      </c>
      <c r="AZ180" s="13" t="s">
        <v>439</v>
      </c>
      <c r="BA180" s="2"/>
    </row>
    <row r="181" spans="42:53" x14ac:dyDescent="0.2">
      <c r="AP181" s="5"/>
      <c r="AV181" s="2" t="s">
        <v>736</v>
      </c>
      <c r="AW181" s="2" t="s">
        <v>1042</v>
      </c>
      <c r="AX181" s="2" t="str">
        <f t="shared" si="24"/>
        <v>Q23|CMMC 2.0</v>
      </c>
      <c r="AY181" s="13" t="s">
        <v>468</v>
      </c>
      <c r="AZ181" s="13" t="s">
        <v>1073</v>
      </c>
      <c r="BA181" s="2">
        <v>1</v>
      </c>
    </row>
    <row r="182" spans="42:53" x14ac:dyDescent="0.2">
      <c r="AP182" s="5"/>
      <c r="AV182" s="2" t="s">
        <v>736</v>
      </c>
      <c r="AW182" s="2" t="s">
        <v>711</v>
      </c>
      <c r="AX182" s="2" t="str">
        <f t="shared" si="24"/>
        <v>Q23|FISMA</v>
      </c>
      <c r="AY182" s="13" t="s">
        <v>490</v>
      </c>
      <c r="AZ182" s="13" t="s">
        <v>1073</v>
      </c>
      <c r="BA182" s="2">
        <v>1</v>
      </c>
    </row>
    <row r="183" spans="42:53" x14ac:dyDescent="0.2">
      <c r="AP183" s="5"/>
      <c r="AV183" s="2" t="s">
        <v>736</v>
      </c>
      <c r="AW183" s="2" t="s">
        <v>712</v>
      </c>
      <c r="AX183" s="2" t="str">
        <f t="shared" si="24"/>
        <v>Q23|FedRAMP</v>
      </c>
      <c r="AY183" s="13" t="s">
        <v>512</v>
      </c>
      <c r="AZ183" s="13" t="s">
        <v>1073</v>
      </c>
      <c r="BA183" s="2">
        <v>1</v>
      </c>
    </row>
    <row r="184" spans="42:53" x14ac:dyDescent="0.2">
      <c r="AP184" s="5"/>
      <c r="AV184" s="2" t="s">
        <v>736</v>
      </c>
      <c r="AW184" s="2" t="s">
        <v>1043</v>
      </c>
      <c r="AX184" s="2" t="str">
        <f t="shared" si="24"/>
        <v>Q23|ISO 27001</v>
      </c>
      <c r="AY184" s="13" t="s">
        <v>513</v>
      </c>
      <c r="AZ184" s="13" t="s">
        <v>1138</v>
      </c>
      <c r="BA184" s="2">
        <v>1</v>
      </c>
    </row>
    <row r="185" spans="42:53" x14ac:dyDescent="0.2">
      <c r="AP185" s="5"/>
      <c r="AV185" s="2" t="s">
        <v>736</v>
      </c>
      <c r="AW185" s="2" t="s">
        <v>713</v>
      </c>
      <c r="AX185" s="2" t="str">
        <f t="shared" si="24"/>
        <v>Q23|SOC2</v>
      </c>
      <c r="AY185" s="13" t="s">
        <v>514</v>
      </c>
      <c r="AZ185" s="13" t="s">
        <v>1192</v>
      </c>
      <c r="BA185" s="2">
        <v>1</v>
      </c>
    </row>
    <row r="186" spans="42:53" x14ac:dyDescent="0.2">
      <c r="AP186" s="5"/>
      <c r="AV186" s="2" t="s">
        <v>736</v>
      </c>
      <c r="AW186" s="2" t="s">
        <v>1044</v>
      </c>
      <c r="AX186" s="2" t="str">
        <f t="shared" si="24"/>
        <v>Q23|CIS v8</v>
      </c>
      <c r="AY186" s="13">
        <v>1.5</v>
      </c>
      <c r="AZ186" s="13" t="s">
        <v>1092</v>
      </c>
      <c r="BA186" s="2">
        <v>0.8</v>
      </c>
    </row>
    <row r="187" spans="42:53" x14ac:dyDescent="0.2">
      <c r="AP187" s="5"/>
      <c r="AV187" s="2" t="s">
        <v>737</v>
      </c>
      <c r="AW187" s="2" t="s">
        <v>1041</v>
      </c>
      <c r="AX187" s="2" t="str">
        <f t="shared" si="24"/>
        <v>Q24|NIST CSF 2.0</v>
      </c>
      <c r="AY187" s="13" t="s">
        <v>515</v>
      </c>
      <c r="AZ187" s="13" t="s">
        <v>1064</v>
      </c>
      <c r="BA187" s="2">
        <v>1</v>
      </c>
    </row>
    <row r="188" spans="42:53" x14ac:dyDescent="0.2">
      <c r="AP188" s="5"/>
      <c r="AV188" s="2" t="s">
        <v>737</v>
      </c>
      <c r="AW188" s="2" t="s">
        <v>710</v>
      </c>
      <c r="AX188" s="2" t="str">
        <f t="shared" si="24"/>
        <v>Q24|NIST PQC</v>
      </c>
      <c r="AY188" s="13" t="s">
        <v>439</v>
      </c>
      <c r="AZ188" s="13" t="s">
        <v>439</v>
      </c>
      <c r="BA188" s="2"/>
    </row>
    <row r="189" spans="42:53" x14ac:dyDescent="0.2">
      <c r="AP189" s="5"/>
      <c r="AV189" s="2" t="s">
        <v>737</v>
      </c>
      <c r="AW189" s="2" t="s">
        <v>1042</v>
      </c>
      <c r="AX189" s="2" t="str">
        <f t="shared" si="24"/>
        <v>Q24|CMMC 2.0</v>
      </c>
      <c r="AY189" s="13" t="s">
        <v>468</v>
      </c>
      <c r="AZ189" s="13" t="s">
        <v>1073</v>
      </c>
      <c r="BA189" s="2">
        <v>0.8</v>
      </c>
    </row>
    <row r="190" spans="42:53" x14ac:dyDescent="0.2">
      <c r="AP190" s="5"/>
      <c r="AV190" s="2" t="s">
        <v>737</v>
      </c>
      <c r="AW190" s="2" t="s">
        <v>711</v>
      </c>
      <c r="AX190" s="2" t="str">
        <f t="shared" si="24"/>
        <v>Q24|FISMA</v>
      </c>
      <c r="AY190" s="13" t="s">
        <v>516</v>
      </c>
      <c r="AZ190" s="13" t="s">
        <v>1077</v>
      </c>
      <c r="BA190" s="2">
        <v>1</v>
      </c>
    </row>
    <row r="191" spans="42:53" x14ac:dyDescent="0.2">
      <c r="AP191" s="5"/>
      <c r="AV191" s="2" t="s">
        <v>737</v>
      </c>
      <c r="AW191" s="2" t="s">
        <v>712</v>
      </c>
      <c r="AX191" s="2" t="str">
        <f t="shared" si="24"/>
        <v>Q24|FedRAMP</v>
      </c>
      <c r="AY191" s="13" t="s">
        <v>516</v>
      </c>
      <c r="AZ191" s="13" t="s">
        <v>1077</v>
      </c>
      <c r="BA191" s="2">
        <v>1</v>
      </c>
    </row>
    <row r="192" spans="42:53" x14ac:dyDescent="0.2">
      <c r="AP192" s="5"/>
      <c r="AV192" s="2" t="s">
        <v>737</v>
      </c>
      <c r="AW192" s="2" t="s">
        <v>1043</v>
      </c>
      <c r="AX192" s="2" t="str">
        <f t="shared" si="24"/>
        <v>Q24|ISO 27001</v>
      </c>
      <c r="AY192" s="13" t="s">
        <v>517</v>
      </c>
      <c r="AZ192" s="13" t="s">
        <v>1138</v>
      </c>
      <c r="BA192" s="2">
        <v>1</v>
      </c>
    </row>
    <row r="193" spans="42:53" x14ac:dyDescent="0.2">
      <c r="AP193" s="5"/>
      <c r="AV193" s="2" t="s">
        <v>737</v>
      </c>
      <c r="AW193" s="2" t="s">
        <v>713</v>
      </c>
      <c r="AX193" s="2" t="str">
        <f t="shared" si="24"/>
        <v>Q24|SOC2</v>
      </c>
      <c r="AY193" s="13" t="s">
        <v>470</v>
      </c>
      <c r="AZ193" s="13" t="s">
        <v>1192</v>
      </c>
      <c r="BA193" s="2">
        <v>1</v>
      </c>
    </row>
    <row r="194" spans="42:53" x14ac:dyDescent="0.2">
      <c r="AP194" s="5"/>
      <c r="AV194" s="2" t="s">
        <v>737</v>
      </c>
      <c r="AW194" s="2" t="s">
        <v>1044</v>
      </c>
      <c r="AX194" s="2" t="str">
        <f t="shared" si="24"/>
        <v>Q24|CIS v8</v>
      </c>
      <c r="AY194" s="13">
        <v>1.4</v>
      </c>
      <c r="AZ194" s="13" t="s">
        <v>1092</v>
      </c>
      <c r="BA194" s="2">
        <v>0.8</v>
      </c>
    </row>
    <row r="195" spans="42:53" x14ac:dyDescent="0.2">
      <c r="AP195" s="5"/>
      <c r="AV195" s="2" t="s">
        <v>738</v>
      </c>
      <c r="AW195" s="2" t="s">
        <v>1041</v>
      </c>
      <c r="AX195" s="2" t="str">
        <f t="shared" si="24"/>
        <v>Q25|NIST CSF 2.0</v>
      </c>
      <c r="AY195" s="13" t="s">
        <v>518</v>
      </c>
      <c r="AZ195" s="13" t="s">
        <v>1066</v>
      </c>
      <c r="BA195" s="2">
        <v>1</v>
      </c>
    </row>
    <row r="196" spans="42:53" x14ac:dyDescent="0.2">
      <c r="AP196" s="5"/>
      <c r="AV196" s="2" t="s">
        <v>738</v>
      </c>
      <c r="AW196" s="2" t="s">
        <v>710</v>
      </c>
      <c r="AX196" s="2" t="str">
        <f t="shared" ref="AX196:AX259" si="25">_xlfn.CONCAT(AV196,"|",AW196)</f>
        <v>Q25|NIST PQC</v>
      </c>
      <c r="AY196" s="13" t="s">
        <v>439</v>
      </c>
      <c r="AZ196" s="13" t="s">
        <v>439</v>
      </c>
      <c r="BA196" s="2"/>
    </row>
    <row r="197" spans="42:53" x14ac:dyDescent="0.2">
      <c r="AP197" s="5"/>
      <c r="AV197" s="2" t="s">
        <v>738</v>
      </c>
      <c r="AW197" s="2" t="s">
        <v>1042</v>
      </c>
      <c r="AX197" s="2" t="str">
        <f t="shared" si="25"/>
        <v>Q25|CMMC 2.0</v>
      </c>
      <c r="AY197" s="13" t="s">
        <v>439</v>
      </c>
      <c r="AZ197" s="13" t="s">
        <v>439</v>
      </c>
      <c r="BA197" s="2"/>
    </row>
    <row r="198" spans="42:53" x14ac:dyDescent="0.2">
      <c r="AP198" s="5"/>
      <c r="AV198" s="2" t="s">
        <v>738</v>
      </c>
      <c r="AW198" s="2" t="s">
        <v>711</v>
      </c>
      <c r="AX198" s="2" t="str">
        <f t="shared" si="25"/>
        <v>Q25|FISMA</v>
      </c>
      <c r="AY198" s="13" t="s">
        <v>520</v>
      </c>
      <c r="AZ198" s="13" t="s">
        <v>1076</v>
      </c>
      <c r="BA198" s="2">
        <v>1</v>
      </c>
    </row>
    <row r="199" spans="42:53" x14ac:dyDescent="0.2">
      <c r="AP199" s="5"/>
      <c r="AV199" s="2" t="s">
        <v>738</v>
      </c>
      <c r="AW199" s="2" t="s">
        <v>712</v>
      </c>
      <c r="AX199" s="2" t="str">
        <f t="shared" si="25"/>
        <v>Q25|FedRAMP</v>
      </c>
      <c r="AY199" s="13" t="s">
        <v>520</v>
      </c>
      <c r="AZ199" s="13" t="s">
        <v>1076</v>
      </c>
      <c r="BA199" s="2">
        <v>1</v>
      </c>
    </row>
    <row r="200" spans="42:53" x14ac:dyDescent="0.2">
      <c r="AP200" s="5"/>
      <c r="AV200" s="2" t="s">
        <v>738</v>
      </c>
      <c r="AW200" s="2" t="s">
        <v>1043</v>
      </c>
      <c r="AX200" s="2" t="str">
        <f t="shared" si="25"/>
        <v>Q25|ISO 27001</v>
      </c>
      <c r="AY200" s="13" t="s">
        <v>521</v>
      </c>
      <c r="AZ200" s="13" t="s">
        <v>1148</v>
      </c>
      <c r="BA200" s="2">
        <v>1</v>
      </c>
    </row>
    <row r="201" spans="42:53" x14ac:dyDescent="0.2">
      <c r="AP201" s="5"/>
      <c r="AV201" s="2" t="s">
        <v>738</v>
      </c>
      <c r="AW201" s="2" t="s">
        <v>713</v>
      </c>
      <c r="AX201" s="2" t="str">
        <f t="shared" si="25"/>
        <v>Q25|SOC2</v>
      </c>
      <c r="AY201" s="13" t="s">
        <v>522</v>
      </c>
      <c r="AZ201" s="13" t="s">
        <v>1194</v>
      </c>
      <c r="BA201" s="2">
        <v>1</v>
      </c>
    </row>
    <row r="202" spans="42:53" x14ac:dyDescent="0.2">
      <c r="AP202" s="5"/>
      <c r="AV202" s="2" t="s">
        <v>738</v>
      </c>
      <c r="AW202" s="2" t="s">
        <v>1044</v>
      </c>
      <c r="AX202" s="2" t="str">
        <f t="shared" si="25"/>
        <v>Q25|CIS v8</v>
      </c>
      <c r="AY202" s="13">
        <v>7.3</v>
      </c>
      <c r="AZ202" s="13" t="s">
        <v>1099</v>
      </c>
      <c r="BA202" s="2">
        <v>1</v>
      </c>
    </row>
    <row r="203" spans="42:53" x14ac:dyDescent="0.2">
      <c r="AP203" s="5"/>
      <c r="AV203" s="2" t="s">
        <v>739</v>
      </c>
      <c r="AW203" s="2" t="s">
        <v>1041</v>
      </c>
      <c r="AX203" s="2" t="str">
        <f t="shared" si="25"/>
        <v>Q26|NIST CSF 2.0</v>
      </c>
      <c r="AY203" s="13" t="s">
        <v>523</v>
      </c>
      <c r="AZ203" s="13" t="s">
        <v>1064</v>
      </c>
      <c r="BA203" s="2">
        <v>1</v>
      </c>
    </row>
    <row r="204" spans="42:53" x14ac:dyDescent="0.2">
      <c r="AP204" s="5"/>
      <c r="AV204" s="2" t="s">
        <v>739</v>
      </c>
      <c r="AW204" s="2" t="s">
        <v>710</v>
      </c>
      <c r="AX204" s="2" t="str">
        <f t="shared" si="25"/>
        <v>Q26|NIST PQC</v>
      </c>
      <c r="AY204" s="13" t="s">
        <v>439</v>
      </c>
      <c r="AZ204" s="13" t="s">
        <v>439</v>
      </c>
      <c r="BA204" s="2"/>
    </row>
    <row r="205" spans="42:53" x14ac:dyDescent="0.2">
      <c r="AP205" s="5"/>
      <c r="AV205" s="2" t="s">
        <v>739</v>
      </c>
      <c r="AW205" s="2" t="s">
        <v>1042</v>
      </c>
      <c r="AX205" s="2" t="str">
        <f t="shared" si="25"/>
        <v>Q26|CMMC 2.0</v>
      </c>
      <c r="AY205" s="13" t="s">
        <v>468</v>
      </c>
      <c r="AZ205" s="13" t="s">
        <v>1073</v>
      </c>
      <c r="BA205" s="2">
        <v>0.8</v>
      </c>
    </row>
    <row r="206" spans="42:53" x14ac:dyDescent="0.2">
      <c r="AP206" s="5"/>
      <c r="AV206" s="2" t="s">
        <v>739</v>
      </c>
      <c r="AW206" s="2" t="s">
        <v>711</v>
      </c>
      <c r="AX206" s="2" t="str">
        <f t="shared" si="25"/>
        <v>Q26|FISMA</v>
      </c>
      <c r="AY206" s="13" t="s">
        <v>490</v>
      </c>
      <c r="AZ206" s="13" t="s">
        <v>1073</v>
      </c>
      <c r="BA206" s="2">
        <v>1</v>
      </c>
    </row>
    <row r="207" spans="42:53" x14ac:dyDescent="0.2">
      <c r="AP207" s="5"/>
      <c r="AV207" s="2" t="s">
        <v>739</v>
      </c>
      <c r="AW207" s="2" t="s">
        <v>712</v>
      </c>
      <c r="AX207" s="2" t="str">
        <f t="shared" si="25"/>
        <v>Q26|FedRAMP</v>
      </c>
      <c r="AY207" s="13" t="s">
        <v>524</v>
      </c>
      <c r="AZ207" s="13" t="s">
        <v>1073</v>
      </c>
      <c r="BA207" s="2">
        <v>1</v>
      </c>
    </row>
    <row r="208" spans="42:53" x14ac:dyDescent="0.2">
      <c r="AP208" s="5"/>
      <c r="AV208" s="2" t="s">
        <v>739</v>
      </c>
      <c r="AW208" s="2" t="s">
        <v>1043</v>
      </c>
      <c r="AX208" s="2" t="str">
        <f t="shared" si="25"/>
        <v>Q26|ISO 27001</v>
      </c>
      <c r="AY208" s="13" t="s">
        <v>513</v>
      </c>
      <c r="AZ208" s="13" t="s">
        <v>1138</v>
      </c>
      <c r="BA208" s="2">
        <v>1</v>
      </c>
    </row>
    <row r="209" spans="42:53" x14ac:dyDescent="0.2">
      <c r="AP209" s="5"/>
      <c r="AV209" s="2" t="s">
        <v>739</v>
      </c>
      <c r="AW209" s="2" t="s">
        <v>713</v>
      </c>
      <c r="AX209" s="2" t="str">
        <f t="shared" si="25"/>
        <v>Q26|SOC2</v>
      </c>
      <c r="AY209" s="13" t="s">
        <v>514</v>
      </c>
      <c r="AZ209" s="13" t="s">
        <v>1192</v>
      </c>
      <c r="BA209" s="2">
        <v>1</v>
      </c>
    </row>
    <row r="210" spans="42:53" x14ac:dyDescent="0.2">
      <c r="AP210" s="5"/>
      <c r="AV210" s="2" t="s">
        <v>739</v>
      </c>
      <c r="AW210" s="2" t="s">
        <v>1044</v>
      </c>
      <c r="AX210" s="2" t="str">
        <f t="shared" si="25"/>
        <v>Q26|CIS v8</v>
      </c>
      <c r="AY210" s="13">
        <v>1.5</v>
      </c>
      <c r="AZ210" s="13" t="s">
        <v>1092</v>
      </c>
      <c r="BA210" s="2">
        <v>0.8</v>
      </c>
    </row>
    <row r="211" spans="42:53" x14ac:dyDescent="0.2">
      <c r="AP211" s="5"/>
      <c r="AV211" s="2" t="s">
        <v>740</v>
      </c>
      <c r="AW211" s="2" t="s">
        <v>1041</v>
      </c>
      <c r="AX211" s="2" t="str">
        <f t="shared" si="25"/>
        <v>Q27|NIST CSF 2.0</v>
      </c>
      <c r="AY211" s="13" t="s">
        <v>525</v>
      </c>
      <c r="AZ211" s="13" t="s">
        <v>1065</v>
      </c>
      <c r="BA211" s="2">
        <v>1</v>
      </c>
    </row>
    <row r="212" spans="42:53" x14ac:dyDescent="0.2">
      <c r="AP212" s="5"/>
      <c r="AV212" s="2" t="s">
        <v>740</v>
      </c>
      <c r="AW212" s="2" t="s">
        <v>710</v>
      </c>
      <c r="AX212" s="2" t="str">
        <f t="shared" si="25"/>
        <v>Q27|NIST PQC</v>
      </c>
      <c r="AY212" s="13" t="s">
        <v>439</v>
      </c>
      <c r="AZ212" s="13" t="s">
        <v>439</v>
      </c>
      <c r="BA212" s="2"/>
    </row>
    <row r="213" spans="42:53" x14ac:dyDescent="0.2">
      <c r="AP213" s="5"/>
      <c r="AV213" s="2" t="s">
        <v>740</v>
      </c>
      <c r="AW213" s="2" t="s">
        <v>1042</v>
      </c>
      <c r="AX213" s="2" t="str">
        <f t="shared" si="25"/>
        <v>Q27|CMMC 2.0</v>
      </c>
      <c r="AY213" s="13" t="s">
        <v>526</v>
      </c>
      <c r="AZ213" s="13" t="s">
        <v>1076</v>
      </c>
      <c r="BA213" s="2">
        <v>1</v>
      </c>
    </row>
    <row r="214" spans="42:53" x14ac:dyDescent="0.2">
      <c r="AP214" s="5"/>
      <c r="AV214" s="2" t="s">
        <v>740</v>
      </c>
      <c r="AW214" s="2" t="s">
        <v>711</v>
      </c>
      <c r="AX214" s="2" t="str">
        <f t="shared" si="25"/>
        <v>Q27|FISMA</v>
      </c>
      <c r="AY214" s="13" t="s">
        <v>503</v>
      </c>
      <c r="AZ214" s="13" t="s">
        <v>1076</v>
      </c>
      <c r="BA214" s="2">
        <v>1</v>
      </c>
    </row>
    <row r="215" spans="42:53" x14ac:dyDescent="0.2">
      <c r="AP215" s="5"/>
      <c r="AV215" s="2" t="s">
        <v>740</v>
      </c>
      <c r="AW215" s="2" t="s">
        <v>712</v>
      </c>
      <c r="AX215" s="2" t="str">
        <f t="shared" si="25"/>
        <v>Q27|FedRAMP</v>
      </c>
      <c r="AY215" s="13" t="s">
        <v>503</v>
      </c>
      <c r="AZ215" s="13" t="s">
        <v>1076</v>
      </c>
      <c r="BA215" s="2">
        <v>1</v>
      </c>
    </row>
    <row r="216" spans="42:53" x14ac:dyDescent="0.2">
      <c r="AP216" s="5"/>
      <c r="AV216" s="2" t="s">
        <v>740</v>
      </c>
      <c r="AW216" s="2" t="s">
        <v>1043</v>
      </c>
      <c r="AX216" s="2" t="str">
        <f t="shared" si="25"/>
        <v>Q27|ISO 27001</v>
      </c>
      <c r="AY216" s="13" t="s">
        <v>527</v>
      </c>
      <c r="AZ216" s="13" t="s">
        <v>1138</v>
      </c>
      <c r="BA216" s="2">
        <v>1</v>
      </c>
    </row>
    <row r="217" spans="42:53" x14ac:dyDescent="0.2">
      <c r="AP217" s="5"/>
      <c r="AV217" s="2" t="s">
        <v>740</v>
      </c>
      <c r="AW217" s="2" t="s">
        <v>713</v>
      </c>
      <c r="AX217" s="2" t="str">
        <f t="shared" si="25"/>
        <v>Q27|SOC2</v>
      </c>
      <c r="AY217" s="13" t="s">
        <v>484</v>
      </c>
      <c r="AZ217" s="13" t="s">
        <v>1194</v>
      </c>
      <c r="BA217" s="2">
        <v>1</v>
      </c>
    </row>
    <row r="218" spans="42:53" x14ac:dyDescent="0.2">
      <c r="AP218" s="5"/>
      <c r="AV218" s="2" t="s">
        <v>740</v>
      </c>
      <c r="AW218" s="2" t="s">
        <v>1044</v>
      </c>
      <c r="AX218" s="2" t="str">
        <f t="shared" si="25"/>
        <v>Q27|CIS v8</v>
      </c>
      <c r="AY218" s="13">
        <v>7.1</v>
      </c>
      <c r="AZ218" s="13" t="s">
        <v>1099</v>
      </c>
      <c r="BA218" s="2">
        <v>0.8</v>
      </c>
    </row>
    <row r="219" spans="42:53" x14ac:dyDescent="0.2">
      <c r="AP219" s="5"/>
      <c r="AV219" s="2" t="s">
        <v>741</v>
      </c>
      <c r="AW219" s="2" t="s">
        <v>1041</v>
      </c>
      <c r="AX219" s="2" t="str">
        <f t="shared" si="25"/>
        <v>Q28|NIST CSF 2.0</v>
      </c>
      <c r="AY219" s="13" t="s">
        <v>515</v>
      </c>
      <c r="AZ219" s="13" t="s">
        <v>1064</v>
      </c>
      <c r="BA219" s="2">
        <v>1</v>
      </c>
    </row>
    <row r="220" spans="42:53" x14ac:dyDescent="0.2">
      <c r="AP220" s="5"/>
      <c r="AV220" s="2" t="s">
        <v>741</v>
      </c>
      <c r="AW220" s="2" t="s">
        <v>710</v>
      </c>
      <c r="AX220" s="2" t="str">
        <f t="shared" si="25"/>
        <v>Q28|NIST PQC</v>
      </c>
      <c r="AY220" s="13" t="s">
        <v>439</v>
      </c>
      <c r="AZ220" s="13" t="s">
        <v>439</v>
      </c>
      <c r="BA220" s="2"/>
    </row>
    <row r="221" spans="42:53" x14ac:dyDescent="0.2">
      <c r="AP221" s="5"/>
      <c r="AV221" s="2" t="s">
        <v>741</v>
      </c>
      <c r="AW221" s="2" t="s">
        <v>1042</v>
      </c>
      <c r="AX221" s="2" t="str">
        <f t="shared" si="25"/>
        <v>Q28|CMMC 2.0</v>
      </c>
      <c r="AY221" s="13" t="s">
        <v>502</v>
      </c>
      <c r="AZ221" s="13" t="s">
        <v>1076</v>
      </c>
      <c r="BA221" s="2">
        <v>0.8</v>
      </c>
    </row>
    <row r="222" spans="42:53" x14ac:dyDescent="0.2">
      <c r="AP222" s="5"/>
      <c r="AV222" s="2" t="s">
        <v>741</v>
      </c>
      <c r="AW222" s="2" t="s">
        <v>711</v>
      </c>
      <c r="AX222" s="2" t="str">
        <f t="shared" si="25"/>
        <v>Q28|FISMA</v>
      </c>
      <c r="AY222" s="13" t="s">
        <v>528</v>
      </c>
      <c r="AZ222" s="13" t="s">
        <v>1077</v>
      </c>
      <c r="BA222" s="2">
        <v>1</v>
      </c>
    </row>
    <row r="223" spans="42:53" x14ac:dyDescent="0.2">
      <c r="AP223" s="5"/>
      <c r="AV223" s="2" t="s">
        <v>741</v>
      </c>
      <c r="AW223" s="2" t="s">
        <v>712</v>
      </c>
      <c r="AX223" s="2" t="str">
        <f t="shared" si="25"/>
        <v>Q28|FedRAMP</v>
      </c>
      <c r="AY223" s="13" t="s">
        <v>528</v>
      </c>
      <c r="AZ223" s="13" t="s">
        <v>1077</v>
      </c>
      <c r="BA223" s="2">
        <v>1</v>
      </c>
    </row>
    <row r="224" spans="42:53" x14ac:dyDescent="0.2">
      <c r="AP224" s="5"/>
      <c r="AV224" s="2" t="s">
        <v>741</v>
      </c>
      <c r="AW224" s="2" t="s">
        <v>1043</v>
      </c>
      <c r="AX224" s="2" t="str">
        <f t="shared" si="25"/>
        <v>Q28|ISO 27001</v>
      </c>
      <c r="AY224" s="13" t="s">
        <v>517</v>
      </c>
      <c r="AZ224" s="13" t="s">
        <v>1138</v>
      </c>
      <c r="BA224" s="2">
        <v>0.8</v>
      </c>
    </row>
    <row r="225" spans="42:53" x14ac:dyDescent="0.2">
      <c r="AP225" s="5"/>
      <c r="AV225" s="2" t="s">
        <v>741</v>
      </c>
      <c r="AW225" s="2" t="s">
        <v>713</v>
      </c>
      <c r="AX225" s="2" t="str">
        <f t="shared" si="25"/>
        <v>Q28|SOC2</v>
      </c>
      <c r="AY225" s="13" t="s">
        <v>529</v>
      </c>
      <c r="AZ225" s="13" t="s">
        <v>1195</v>
      </c>
      <c r="BA225" s="2">
        <v>1</v>
      </c>
    </row>
    <row r="226" spans="42:53" x14ac:dyDescent="0.2">
      <c r="AP226" s="5"/>
      <c r="AV226" s="2" t="s">
        <v>741</v>
      </c>
      <c r="AW226" s="2" t="s">
        <v>1044</v>
      </c>
      <c r="AX226" s="2" t="str">
        <f t="shared" si="25"/>
        <v>Q28|CIS v8</v>
      </c>
      <c r="AY226" s="13">
        <v>1.7</v>
      </c>
      <c r="AZ226" s="13" t="s">
        <v>1092</v>
      </c>
      <c r="BA226" s="2">
        <v>0.8</v>
      </c>
    </row>
    <row r="227" spans="42:53" x14ac:dyDescent="0.2">
      <c r="AP227" s="5"/>
      <c r="AV227" s="2" t="s">
        <v>742</v>
      </c>
      <c r="AW227" s="2" t="s">
        <v>1041</v>
      </c>
      <c r="AX227" s="2" t="str">
        <f t="shared" si="25"/>
        <v>Q29|NIST CSF 2.0</v>
      </c>
      <c r="AY227" s="13" t="s">
        <v>530</v>
      </c>
      <c r="AZ227" s="13" t="s">
        <v>1064</v>
      </c>
      <c r="BA227" s="2">
        <v>1</v>
      </c>
    </row>
    <row r="228" spans="42:53" x14ac:dyDescent="0.2">
      <c r="AP228" s="5"/>
      <c r="AV228" s="2" t="s">
        <v>742</v>
      </c>
      <c r="AW228" s="2" t="s">
        <v>710</v>
      </c>
      <c r="AX228" s="2" t="str">
        <f t="shared" si="25"/>
        <v>Q29|NIST PQC</v>
      </c>
      <c r="AY228" s="13" t="s">
        <v>439</v>
      </c>
      <c r="AZ228" s="13" t="s">
        <v>439</v>
      </c>
      <c r="BA228" s="2"/>
    </row>
    <row r="229" spans="42:53" x14ac:dyDescent="0.2">
      <c r="AP229" s="5"/>
      <c r="AV229" s="2" t="s">
        <v>742</v>
      </c>
      <c r="AW229" s="2" t="s">
        <v>1042</v>
      </c>
      <c r="AX229" s="2" t="str">
        <f t="shared" si="25"/>
        <v>Q29|CMMC 2.0</v>
      </c>
      <c r="AY229" s="13" t="s">
        <v>439</v>
      </c>
      <c r="AZ229" s="13" t="s">
        <v>439</v>
      </c>
      <c r="BA229" s="2"/>
    </row>
    <row r="230" spans="42:53" x14ac:dyDescent="0.2">
      <c r="AP230" s="5"/>
      <c r="AV230" s="2" t="s">
        <v>742</v>
      </c>
      <c r="AW230" s="2" t="s">
        <v>711</v>
      </c>
      <c r="AX230" s="2" t="str">
        <f t="shared" si="25"/>
        <v>Q29|FISMA</v>
      </c>
      <c r="AY230" s="13" t="s">
        <v>531</v>
      </c>
      <c r="AZ230" s="13" t="s">
        <v>1083</v>
      </c>
      <c r="BA230" s="2">
        <v>1</v>
      </c>
    </row>
    <row r="231" spans="42:53" x14ac:dyDescent="0.2">
      <c r="AP231" s="5"/>
      <c r="AV231" s="2" t="s">
        <v>742</v>
      </c>
      <c r="AW231" s="2" t="s">
        <v>712</v>
      </c>
      <c r="AX231" s="2" t="str">
        <f t="shared" si="25"/>
        <v>Q29|FedRAMP</v>
      </c>
      <c r="AY231" s="13" t="s">
        <v>531</v>
      </c>
      <c r="AZ231" s="13" t="s">
        <v>1083</v>
      </c>
      <c r="BA231" s="2">
        <v>1</v>
      </c>
    </row>
    <row r="232" spans="42:53" x14ac:dyDescent="0.2">
      <c r="AP232" s="5"/>
      <c r="AV232" s="2" t="s">
        <v>742</v>
      </c>
      <c r="AW232" s="2" t="s">
        <v>1043</v>
      </c>
      <c r="AX232" s="2" t="str">
        <f t="shared" si="25"/>
        <v>Q29|ISO 27001</v>
      </c>
      <c r="AY232" s="13" t="s">
        <v>532</v>
      </c>
      <c r="AZ232" s="13" t="s">
        <v>1147</v>
      </c>
      <c r="BA232" s="2">
        <v>1</v>
      </c>
    </row>
    <row r="233" spans="42:53" x14ac:dyDescent="0.2">
      <c r="AP233" s="5"/>
      <c r="AV233" s="2" t="s">
        <v>742</v>
      </c>
      <c r="AW233" s="2" t="s">
        <v>713</v>
      </c>
      <c r="AX233" s="2" t="str">
        <f t="shared" si="25"/>
        <v>Q29|SOC2</v>
      </c>
      <c r="AY233" s="13" t="s">
        <v>496</v>
      </c>
      <c r="AZ233" s="13" t="s">
        <v>1193</v>
      </c>
      <c r="BA233" s="2">
        <v>1</v>
      </c>
    </row>
    <row r="234" spans="42:53" x14ac:dyDescent="0.2">
      <c r="AP234" s="5"/>
      <c r="AV234" s="2" t="s">
        <v>742</v>
      </c>
      <c r="AW234" s="2" t="s">
        <v>1044</v>
      </c>
      <c r="AX234" s="2" t="str">
        <f t="shared" si="25"/>
        <v>Q29|CIS v8</v>
      </c>
      <c r="AY234" s="13">
        <v>15.2</v>
      </c>
      <c r="AZ234" s="13" t="s">
        <v>1087</v>
      </c>
      <c r="BA234" s="2">
        <v>1</v>
      </c>
    </row>
    <row r="235" spans="42:53" x14ac:dyDescent="0.2">
      <c r="AP235" s="5"/>
      <c r="AV235" s="2" t="s">
        <v>743</v>
      </c>
      <c r="AW235" s="2" t="s">
        <v>1041</v>
      </c>
      <c r="AX235" s="2" t="str">
        <f t="shared" si="25"/>
        <v>Q30|NIST CSF 2.0</v>
      </c>
      <c r="AY235" s="13" t="s">
        <v>533</v>
      </c>
      <c r="AZ235" s="13" t="s">
        <v>1064</v>
      </c>
      <c r="BA235" s="2">
        <v>1</v>
      </c>
    </row>
    <row r="236" spans="42:53" x14ac:dyDescent="0.2">
      <c r="AP236" s="5"/>
      <c r="AV236" s="2" t="s">
        <v>743</v>
      </c>
      <c r="AW236" s="2" t="s">
        <v>710</v>
      </c>
      <c r="AX236" s="2" t="str">
        <f t="shared" si="25"/>
        <v>Q30|NIST PQC</v>
      </c>
      <c r="AY236" s="13" t="s">
        <v>534</v>
      </c>
      <c r="AZ236" s="13" t="s">
        <v>1094</v>
      </c>
      <c r="BA236" s="2">
        <v>1</v>
      </c>
    </row>
    <row r="237" spans="42:53" x14ac:dyDescent="0.2">
      <c r="AP237" s="5"/>
      <c r="AV237" s="2" t="s">
        <v>743</v>
      </c>
      <c r="AW237" s="2" t="s">
        <v>1042</v>
      </c>
      <c r="AX237" s="2" t="str">
        <f t="shared" si="25"/>
        <v>Q30|CMMC 2.0</v>
      </c>
      <c r="AY237" s="13" t="s">
        <v>439</v>
      </c>
      <c r="AZ237" s="13" t="s">
        <v>439</v>
      </c>
      <c r="BA237" s="2"/>
    </row>
    <row r="238" spans="42:53" x14ac:dyDescent="0.2">
      <c r="AP238" s="5"/>
      <c r="AV238" s="2" t="s">
        <v>743</v>
      </c>
      <c r="AW238" s="2" t="s">
        <v>711</v>
      </c>
      <c r="AX238" s="2" t="str">
        <f t="shared" si="25"/>
        <v>Q30|FISMA</v>
      </c>
      <c r="AY238" s="13" t="s">
        <v>536</v>
      </c>
      <c r="AZ238" s="13" t="s">
        <v>1077</v>
      </c>
      <c r="BA238" s="2">
        <v>1</v>
      </c>
    </row>
    <row r="239" spans="42:53" x14ac:dyDescent="0.2">
      <c r="AP239" s="5"/>
      <c r="AV239" s="2" t="s">
        <v>743</v>
      </c>
      <c r="AW239" s="2" t="s">
        <v>712</v>
      </c>
      <c r="AX239" s="2" t="str">
        <f t="shared" si="25"/>
        <v>Q30|FedRAMP</v>
      </c>
      <c r="AY239" s="13" t="s">
        <v>536</v>
      </c>
      <c r="AZ239" s="13" t="s">
        <v>1077</v>
      </c>
      <c r="BA239" s="2">
        <v>1</v>
      </c>
    </row>
    <row r="240" spans="42:53" x14ac:dyDescent="0.2">
      <c r="AP240" s="5"/>
      <c r="AV240" s="2" t="s">
        <v>743</v>
      </c>
      <c r="AW240" s="2" t="s">
        <v>1043</v>
      </c>
      <c r="AX240" s="2" t="str">
        <f t="shared" si="25"/>
        <v>Q30|ISO 27001</v>
      </c>
      <c r="AY240" s="13" t="s">
        <v>537</v>
      </c>
      <c r="AZ240" s="13" t="s">
        <v>1138</v>
      </c>
      <c r="BA240" s="2">
        <v>0.8</v>
      </c>
    </row>
    <row r="241" spans="42:53" x14ac:dyDescent="0.2">
      <c r="AP241" s="5"/>
      <c r="AV241" s="2" t="s">
        <v>743</v>
      </c>
      <c r="AW241" s="2" t="s">
        <v>713</v>
      </c>
      <c r="AX241" s="2" t="str">
        <f t="shared" si="25"/>
        <v>Q30|SOC2</v>
      </c>
      <c r="AY241" s="13" t="s">
        <v>491</v>
      </c>
      <c r="AZ241" s="13" t="s">
        <v>1194</v>
      </c>
      <c r="BA241" s="2">
        <v>0.8</v>
      </c>
    </row>
    <row r="242" spans="42:53" x14ac:dyDescent="0.2">
      <c r="AP242" s="5"/>
      <c r="AV242" s="2" t="s">
        <v>743</v>
      </c>
      <c r="AW242" s="2" t="s">
        <v>1044</v>
      </c>
      <c r="AX242" s="2" t="str">
        <f t="shared" si="25"/>
        <v>Q30|CIS v8</v>
      </c>
      <c r="AY242" s="13">
        <v>1.3</v>
      </c>
      <c r="AZ242" s="13" t="s">
        <v>1092</v>
      </c>
      <c r="BA242" s="2">
        <v>0.8</v>
      </c>
    </row>
    <row r="243" spans="42:53" x14ac:dyDescent="0.2">
      <c r="AP243" s="5"/>
      <c r="AV243" s="2" t="s">
        <v>744</v>
      </c>
      <c r="AW243" s="2" t="s">
        <v>1041</v>
      </c>
      <c r="AX243" s="2" t="str">
        <f t="shared" si="25"/>
        <v>Q31|NIST CSF 2.0</v>
      </c>
      <c r="AY243" s="13" t="s">
        <v>538</v>
      </c>
      <c r="AZ243" s="13" t="s">
        <v>1067</v>
      </c>
      <c r="BA243" s="2">
        <v>1</v>
      </c>
    </row>
    <row r="244" spans="42:53" x14ac:dyDescent="0.2">
      <c r="AP244" s="5"/>
      <c r="AV244" s="2" t="s">
        <v>744</v>
      </c>
      <c r="AW244" s="2" t="s">
        <v>710</v>
      </c>
      <c r="AX244" s="2" t="str">
        <f t="shared" si="25"/>
        <v>Q31|NIST PQC</v>
      </c>
      <c r="AY244" s="13" t="s">
        <v>439</v>
      </c>
      <c r="AZ244" s="13" t="s">
        <v>439</v>
      </c>
      <c r="BA244" s="2"/>
    </row>
    <row r="245" spans="42:53" x14ac:dyDescent="0.2">
      <c r="AP245" s="5"/>
      <c r="AV245" s="2" t="s">
        <v>744</v>
      </c>
      <c r="AW245" s="2" t="s">
        <v>1042</v>
      </c>
      <c r="AX245" s="2" t="str">
        <f t="shared" si="25"/>
        <v>Q31|CMMC 2.0</v>
      </c>
      <c r="AY245" s="13" t="s">
        <v>526</v>
      </c>
      <c r="AZ245" s="13" t="s">
        <v>1076</v>
      </c>
      <c r="BA245" s="2">
        <v>0.6</v>
      </c>
    </row>
    <row r="246" spans="42:53" x14ac:dyDescent="0.2">
      <c r="AP246" s="5"/>
      <c r="AV246" s="2" t="s">
        <v>744</v>
      </c>
      <c r="AW246" s="2" t="s">
        <v>711</v>
      </c>
      <c r="AX246" s="2" t="str">
        <f t="shared" si="25"/>
        <v>Q31|FISMA</v>
      </c>
      <c r="AY246" s="13" t="s">
        <v>539</v>
      </c>
      <c r="AZ246" s="13" t="s">
        <v>1077</v>
      </c>
      <c r="BA246" s="2">
        <v>1</v>
      </c>
    </row>
    <row r="247" spans="42:53" x14ac:dyDescent="0.2">
      <c r="AP247" s="5"/>
      <c r="AV247" s="2" t="s">
        <v>744</v>
      </c>
      <c r="AW247" s="2" t="s">
        <v>712</v>
      </c>
      <c r="AX247" s="2" t="str">
        <f t="shared" si="25"/>
        <v>Q31|FedRAMP</v>
      </c>
      <c r="AY247" s="13" t="s">
        <v>539</v>
      </c>
      <c r="AZ247" s="13" t="s">
        <v>1077</v>
      </c>
      <c r="BA247" s="2">
        <v>1</v>
      </c>
    </row>
    <row r="248" spans="42:53" x14ac:dyDescent="0.2">
      <c r="AP248" s="5"/>
      <c r="AV248" s="2" t="s">
        <v>744</v>
      </c>
      <c r="AW248" s="2" t="s">
        <v>1043</v>
      </c>
      <c r="AX248" s="2" t="str">
        <f t="shared" si="25"/>
        <v>Q31|ISO 27001</v>
      </c>
      <c r="AY248" s="13" t="s">
        <v>469</v>
      </c>
      <c r="AZ248" s="13" t="s">
        <v>1137</v>
      </c>
      <c r="BA248" s="2">
        <v>1</v>
      </c>
    </row>
    <row r="249" spans="42:53" x14ac:dyDescent="0.2">
      <c r="AP249" s="5"/>
      <c r="AV249" s="2" t="s">
        <v>744</v>
      </c>
      <c r="AW249" s="2" t="s">
        <v>713</v>
      </c>
      <c r="AX249" s="2" t="str">
        <f t="shared" si="25"/>
        <v>Q31|SOC2</v>
      </c>
      <c r="AY249" s="13" t="s">
        <v>540</v>
      </c>
      <c r="AZ249" s="13" t="s">
        <v>1196</v>
      </c>
      <c r="BA249" s="2">
        <v>1</v>
      </c>
    </row>
    <row r="250" spans="42:53" x14ac:dyDescent="0.2">
      <c r="AP250" s="5"/>
      <c r="AV250" s="2" t="s">
        <v>744</v>
      </c>
      <c r="AW250" s="2" t="s">
        <v>1044</v>
      </c>
      <c r="AX250" s="2" t="str">
        <f t="shared" si="25"/>
        <v>Q31|CIS v8</v>
      </c>
      <c r="AY250" s="13">
        <v>1.1000000000000001</v>
      </c>
      <c r="AZ250" s="13" t="s">
        <v>1092</v>
      </c>
      <c r="BA250" s="2">
        <v>0.8</v>
      </c>
    </row>
    <row r="251" spans="42:53" x14ac:dyDescent="0.2">
      <c r="AP251" s="5"/>
      <c r="AV251" s="2" t="s">
        <v>745</v>
      </c>
      <c r="AW251" s="2" t="s">
        <v>1041</v>
      </c>
      <c r="AX251" s="2" t="str">
        <f t="shared" si="25"/>
        <v>Q32|NIST CSF 2.0</v>
      </c>
      <c r="AY251" s="13" t="s">
        <v>541</v>
      </c>
      <c r="AZ251" s="13" t="s">
        <v>1067</v>
      </c>
      <c r="BA251" s="2">
        <v>1</v>
      </c>
    </row>
    <row r="252" spans="42:53" x14ac:dyDescent="0.2">
      <c r="AP252" s="5"/>
      <c r="AV252" s="2" t="s">
        <v>745</v>
      </c>
      <c r="AW252" s="2" t="s">
        <v>710</v>
      </c>
      <c r="AX252" s="2" t="str">
        <f t="shared" si="25"/>
        <v>Q32|NIST PQC</v>
      </c>
      <c r="AY252" s="13" t="s">
        <v>439</v>
      </c>
      <c r="AZ252" s="13" t="s">
        <v>439</v>
      </c>
      <c r="BA252" s="2"/>
    </row>
    <row r="253" spans="42:53" x14ac:dyDescent="0.2">
      <c r="AV253" s="2" t="s">
        <v>745</v>
      </c>
      <c r="AW253" s="2" t="s">
        <v>1042</v>
      </c>
      <c r="AX253" s="2" t="str">
        <f t="shared" si="25"/>
        <v>Q32|CMMC 2.0</v>
      </c>
      <c r="AY253" s="13" t="s">
        <v>526</v>
      </c>
      <c r="AZ253" s="13" t="s">
        <v>1076</v>
      </c>
      <c r="BA253" s="2">
        <v>0.8</v>
      </c>
    </row>
    <row r="254" spans="42:53" x14ac:dyDescent="0.2">
      <c r="AV254" s="2" t="s">
        <v>745</v>
      </c>
      <c r="AW254" s="2" t="s">
        <v>711</v>
      </c>
      <c r="AX254" s="2" t="str">
        <f t="shared" si="25"/>
        <v>Q32|FISMA</v>
      </c>
      <c r="AY254" s="13" t="s">
        <v>542</v>
      </c>
      <c r="AZ254" s="13" t="s">
        <v>1077</v>
      </c>
      <c r="BA254" s="2">
        <v>1</v>
      </c>
    </row>
    <row r="255" spans="42:53" x14ac:dyDescent="0.2">
      <c r="AV255" s="2" t="s">
        <v>745</v>
      </c>
      <c r="AW255" s="2" t="s">
        <v>712</v>
      </c>
      <c r="AX255" s="2" t="str">
        <f t="shared" si="25"/>
        <v>Q32|FedRAMP</v>
      </c>
      <c r="AY255" s="13" t="s">
        <v>542</v>
      </c>
      <c r="AZ255" s="13" t="s">
        <v>1077</v>
      </c>
      <c r="BA255" s="2">
        <v>1</v>
      </c>
    </row>
    <row r="256" spans="42:53" x14ac:dyDescent="0.2">
      <c r="AV256" s="2" t="s">
        <v>745</v>
      </c>
      <c r="AW256" s="2" t="s">
        <v>1043</v>
      </c>
      <c r="AX256" s="2" t="str">
        <f t="shared" si="25"/>
        <v>Q32|ISO 27001</v>
      </c>
      <c r="AY256" s="13" t="s">
        <v>469</v>
      </c>
      <c r="AZ256" s="13" t="s">
        <v>1137</v>
      </c>
      <c r="BA256" s="2">
        <v>1</v>
      </c>
    </row>
    <row r="257" spans="48:53" x14ac:dyDescent="0.2">
      <c r="AV257" s="2" t="s">
        <v>745</v>
      </c>
      <c r="AW257" s="2" t="s">
        <v>713</v>
      </c>
      <c r="AX257" s="2" t="str">
        <f t="shared" si="25"/>
        <v>Q32|SOC2</v>
      </c>
      <c r="AY257" s="13" t="s">
        <v>543</v>
      </c>
      <c r="AZ257" s="13" t="s">
        <v>1196</v>
      </c>
      <c r="BA257" s="2">
        <v>1</v>
      </c>
    </row>
    <row r="258" spans="48:53" x14ac:dyDescent="0.2">
      <c r="AV258" s="2" t="s">
        <v>745</v>
      </c>
      <c r="AW258" s="2" t="s">
        <v>1044</v>
      </c>
      <c r="AX258" s="2" t="str">
        <f t="shared" si="25"/>
        <v>Q32|CIS v8</v>
      </c>
      <c r="AY258" s="13">
        <v>1.2</v>
      </c>
      <c r="AZ258" s="13" t="s">
        <v>1092</v>
      </c>
      <c r="BA258" s="2">
        <v>1</v>
      </c>
    </row>
    <row r="259" spans="48:53" x14ac:dyDescent="0.2">
      <c r="AV259" s="2" t="s">
        <v>746</v>
      </c>
      <c r="AW259" s="2" t="s">
        <v>1041</v>
      </c>
      <c r="AX259" s="2" t="str">
        <f t="shared" si="25"/>
        <v>Q33|NIST CSF 2.0</v>
      </c>
      <c r="AY259" s="13" t="s">
        <v>538</v>
      </c>
      <c r="AZ259" s="13" t="s">
        <v>1067</v>
      </c>
      <c r="BA259" s="2">
        <v>1</v>
      </c>
    </row>
    <row r="260" spans="48:53" x14ac:dyDescent="0.2">
      <c r="AV260" s="2" t="s">
        <v>746</v>
      </c>
      <c r="AW260" s="2" t="s">
        <v>710</v>
      </c>
      <c r="AX260" s="2" t="str">
        <f t="shared" ref="AX260:AX323" si="26">_xlfn.CONCAT(AV260,"|",AW260)</f>
        <v>Q33|NIST PQC</v>
      </c>
      <c r="AY260" s="13" t="s">
        <v>544</v>
      </c>
      <c r="AZ260" s="13" t="s">
        <v>1095</v>
      </c>
      <c r="BA260" s="2">
        <v>1</v>
      </c>
    </row>
    <row r="261" spans="48:53" x14ac:dyDescent="0.2">
      <c r="AV261" s="2" t="s">
        <v>746</v>
      </c>
      <c r="AW261" s="2" t="s">
        <v>1042</v>
      </c>
      <c r="AX261" s="2" t="str">
        <f t="shared" si="26"/>
        <v>Q33|CMMC 2.0</v>
      </c>
      <c r="AY261" s="13" t="s">
        <v>526</v>
      </c>
      <c r="AZ261" s="13" t="s">
        <v>1076</v>
      </c>
      <c r="BA261" s="2">
        <v>0.6</v>
      </c>
    </row>
    <row r="262" spans="48:53" x14ac:dyDescent="0.2">
      <c r="AV262" s="2" t="s">
        <v>746</v>
      </c>
      <c r="AW262" s="2" t="s">
        <v>711</v>
      </c>
      <c r="AX262" s="2" t="str">
        <f t="shared" si="26"/>
        <v>Q33|FISMA</v>
      </c>
      <c r="AY262" s="13" t="s">
        <v>539</v>
      </c>
      <c r="AZ262" s="13" t="s">
        <v>1077</v>
      </c>
      <c r="BA262" s="2">
        <v>0.8</v>
      </c>
    </row>
    <row r="263" spans="48:53" x14ac:dyDescent="0.2">
      <c r="AV263" s="2" t="s">
        <v>746</v>
      </c>
      <c r="AW263" s="2" t="s">
        <v>712</v>
      </c>
      <c r="AX263" s="2" t="str">
        <f t="shared" si="26"/>
        <v>Q33|FedRAMP</v>
      </c>
      <c r="AY263" s="13" t="s">
        <v>539</v>
      </c>
      <c r="AZ263" s="13" t="s">
        <v>1077</v>
      </c>
      <c r="BA263" s="2">
        <v>0.8</v>
      </c>
    </row>
    <row r="264" spans="48:53" x14ac:dyDescent="0.2">
      <c r="AV264" s="2" t="s">
        <v>746</v>
      </c>
      <c r="AW264" s="2" t="s">
        <v>1043</v>
      </c>
      <c r="AX264" s="2" t="str">
        <f t="shared" si="26"/>
        <v>Q33|ISO 27001</v>
      </c>
      <c r="AY264" s="13" t="s">
        <v>469</v>
      </c>
      <c r="AZ264" s="13" t="s">
        <v>1137</v>
      </c>
      <c r="BA264" s="2">
        <v>0.8</v>
      </c>
    </row>
    <row r="265" spans="48:53" x14ac:dyDescent="0.2">
      <c r="AV265" s="2" t="s">
        <v>746</v>
      </c>
      <c r="AW265" s="2" t="s">
        <v>713</v>
      </c>
      <c r="AX265" s="2" t="str">
        <f t="shared" si="26"/>
        <v>Q33|SOC2</v>
      </c>
      <c r="AY265" s="13" t="s">
        <v>540</v>
      </c>
      <c r="AZ265" s="13" t="s">
        <v>1196</v>
      </c>
      <c r="BA265" s="2">
        <v>0.8</v>
      </c>
    </row>
    <row r="266" spans="48:53" x14ac:dyDescent="0.2">
      <c r="AV266" s="2" t="s">
        <v>746</v>
      </c>
      <c r="AW266" s="2" t="s">
        <v>1044</v>
      </c>
      <c r="AX266" s="2" t="str">
        <f t="shared" si="26"/>
        <v>Q33|CIS v8</v>
      </c>
      <c r="AY266" s="13">
        <v>1.1000000000000001</v>
      </c>
      <c r="AZ266" s="13" t="s">
        <v>1092</v>
      </c>
      <c r="BA266" s="2">
        <v>0.6</v>
      </c>
    </row>
    <row r="267" spans="48:53" x14ac:dyDescent="0.2">
      <c r="AV267" s="2" t="s">
        <v>747</v>
      </c>
      <c r="AW267" s="2" t="s">
        <v>1041</v>
      </c>
      <c r="AX267" s="2" t="str">
        <f t="shared" si="26"/>
        <v>Q34|NIST CSF 2.0</v>
      </c>
      <c r="AY267" s="13" t="s">
        <v>545</v>
      </c>
      <c r="AZ267" s="13" t="s">
        <v>1067</v>
      </c>
      <c r="BA267" s="2">
        <v>1</v>
      </c>
    </row>
    <row r="268" spans="48:53" x14ac:dyDescent="0.2">
      <c r="AV268" s="2" t="s">
        <v>747</v>
      </c>
      <c r="AW268" s="2" t="s">
        <v>710</v>
      </c>
      <c r="AX268" s="2" t="str">
        <f t="shared" si="26"/>
        <v>Q34|NIST PQC</v>
      </c>
      <c r="AY268" s="13" t="s">
        <v>439</v>
      </c>
      <c r="AZ268" s="13" t="s">
        <v>439</v>
      </c>
      <c r="BA268" s="2"/>
    </row>
    <row r="269" spans="48:53" x14ac:dyDescent="0.2">
      <c r="AV269" s="2" t="s">
        <v>747</v>
      </c>
      <c r="AW269" s="2" t="s">
        <v>1042</v>
      </c>
      <c r="AX269" s="2" t="str">
        <f t="shared" si="26"/>
        <v>Q34|CMMC 2.0</v>
      </c>
      <c r="AY269" s="13" t="s">
        <v>526</v>
      </c>
      <c r="AZ269" s="13" t="s">
        <v>1076</v>
      </c>
      <c r="BA269" s="2">
        <v>0.8</v>
      </c>
    </row>
    <row r="270" spans="48:53" x14ac:dyDescent="0.2">
      <c r="AV270" s="2" t="s">
        <v>747</v>
      </c>
      <c r="AW270" s="2" t="s">
        <v>711</v>
      </c>
      <c r="AX270" s="2" t="str">
        <f t="shared" si="26"/>
        <v>Q34|FISMA</v>
      </c>
      <c r="AY270" s="13" t="s">
        <v>516</v>
      </c>
      <c r="AZ270" s="13" t="s">
        <v>1077</v>
      </c>
      <c r="BA270" s="2">
        <v>1</v>
      </c>
    </row>
    <row r="271" spans="48:53" x14ac:dyDescent="0.2">
      <c r="AV271" s="2" t="s">
        <v>747</v>
      </c>
      <c r="AW271" s="2" t="s">
        <v>712</v>
      </c>
      <c r="AX271" s="2" t="str">
        <f t="shared" si="26"/>
        <v>Q34|FedRAMP</v>
      </c>
      <c r="AY271" s="13" t="s">
        <v>516</v>
      </c>
      <c r="AZ271" s="13" t="s">
        <v>1077</v>
      </c>
      <c r="BA271" s="2">
        <v>1</v>
      </c>
    </row>
    <row r="272" spans="48:53" x14ac:dyDescent="0.2">
      <c r="AV272" s="2" t="s">
        <v>747</v>
      </c>
      <c r="AW272" s="2" t="s">
        <v>1043</v>
      </c>
      <c r="AX272" s="2" t="str">
        <f t="shared" si="26"/>
        <v>Q34|ISO 27001</v>
      </c>
      <c r="AY272" s="13" t="s">
        <v>469</v>
      </c>
      <c r="AZ272" s="13" t="s">
        <v>1137</v>
      </c>
      <c r="BA272" s="2">
        <v>1</v>
      </c>
    </row>
    <row r="273" spans="48:53" x14ac:dyDescent="0.2">
      <c r="AV273" s="2" t="s">
        <v>747</v>
      </c>
      <c r="AW273" s="2" t="s">
        <v>713</v>
      </c>
      <c r="AX273" s="2" t="str">
        <f t="shared" si="26"/>
        <v>Q34|SOC2</v>
      </c>
      <c r="AY273" s="13" t="s">
        <v>546</v>
      </c>
      <c r="AZ273" s="13" t="s">
        <v>1196</v>
      </c>
      <c r="BA273" s="2">
        <v>1</v>
      </c>
    </row>
    <row r="274" spans="48:53" x14ac:dyDescent="0.2">
      <c r="AV274" s="2" t="s">
        <v>747</v>
      </c>
      <c r="AW274" s="2" t="s">
        <v>1044</v>
      </c>
      <c r="AX274" s="2" t="str">
        <f t="shared" si="26"/>
        <v>Q34|CIS v8</v>
      </c>
      <c r="AY274" s="13">
        <v>1.1000000000000001</v>
      </c>
      <c r="AZ274" s="13" t="s">
        <v>1092</v>
      </c>
      <c r="BA274" s="2">
        <v>0.8</v>
      </c>
    </row>
    <row r="275" spans="48:53" x14ac:dyDescent="0.2">
      <c r="AV275" s="2" t="s">
        <v>748</v>
      </c>
      <c r="AW275" s="2" t="s">
        <v>1041</v>
      </c>
      <c r="AX275" s="2" t="str">
        <f t="shared" si="26"/>
        <v>Q35|NIST CSF 2.0</v>
      </c>
      <c r="AY275" s="13" t="s">
        <v>547</v>
      </c>
      <c r="AZ275" s="13" t="s">
        <v>1067</v>
      </c>
      <c r="BA275" s="2">
        <v>1</v>
      </c>
    </row>
    <row r="276" spans="48:53" x14ac:dyDescent="0.2">
      <c r="AV276" s="2" t="s">
        <v>748</v>
      </c>
      <c r="AW276" s="2" t="s">
        <v>710</v>
      </c>
      <c r="AX276" s="2" t="str">
        <f t="shared" si="26"/>
        <v>Q35|NIST PQC</v>
      </c>
      <c r="AY276" s="13" t="s">
        <v>439</v>
      </c>
      <c r="AZ276" s="13" t="s">
        <v>439</v>
      </c>
      <c r="BA276" s="2"/>
    </row>
    <row r="277" spans="48:53" x14ac:dyDescent="0.2">
      <c r="AV277" s="2" t="s">
        <v>748</v>
      </c>
      <c r="AW277" s="2" t="s">
        <v>1042</v>
      </c>
      <c r="AX277" s="2" t="str">
        <f t="shared" si="26"/>
        <v>Q35|CMMC 2.0</v>
      </c>
      <c r="AY277" s="13" t="s">
        <v>526</v>
      </c>
      <c r="AZ277" s="13" t="s">
        <v>1076</v>
      </c>
      <c r="BA277" s="2">
        <v>1</v>
      </c>
    </row>
    <row r="278" spans="48:53" x14ac:dyDescent="0.2">
      <c r="AV278" s="2" t="s">
        <v>748</v>
      </c>
      <c r="AW278" s="2" t="s">
        <v>711</v>
      </c>
      <c r="AX278" s="2" t="str">
        <f t="shared" si="26"/>
        <v>Q35|FISMA</v>
      </c>
      <c r="AY278" s="13" t="s">
        <v>548</v>
      </c>
      <c r="AZ278" s="13" t="s">
        <v>1084</v>
      </c>
      <c r="BA278" s="2">
        <v>1</v>
      </c>
    </row>
    <row r="279" spans="48:53" x14ac:dyDescent="0.2">
      <c r="AV279" s="2" t="s">
        <v>748</v>
      </c>
      <c r="AW279" s="2" t="s">
        <v>712</v>
      </c>
      <c r="AX279" s="2" t="str">
        <f t="shared" si="26"/>
        <v>Q35|FedRAMP</v>
      </c>
      <c r="AY279" s="13" t="s">
        <v>548</v>
      </c>
      <c r="AZ279" s="13" t="s">
        <v>1084</v>
      </c>
      <c r="BA279" s="2">
        <v>1</v>
      </c>
    </row>
    <row r="280" spans="48:53" x14ac:dyDescent="0.2">
      <c r="AV280" s="2" t="s">
        <v>748</v>
      </c>
      <c r="AW280" s="2" t="s">
        <v>1043</v>
      </c>
      <c r="AX280" s="2" t="str">
        <f t="shared" si="26"/>
        <v>Q35|ISO 27001</v>
      </c>
      <c r="AY280" s="13" t="s">
        <v>549</v>
      </c>
      <c r="AZ280" s="13" t="s">
        <v>1137</v>
      </c>
      <c r="BA280" s="2">
        <v>1</v>
      </c>
    </row>
    <row r="281" spans="48:53" x14ac:dyDescent="0.2">
      <c r="AV281" s="2" t="s">
        <v>748</v>
      </c>
      <c r="AW281" s="2" t="s">
        <v>713</v>
      </c>
      <c r="AX281" s="2" t="str">
        <f t="shared" si="26"/>
        <v>Q35|SOC2</v>
      </c>
      <c r="AY281" s="13" t="s">
        <v>550</v>
      </c>
      <c r="AZ281" s="13" t="s">
        <v>1196</v>
      </c>
      <c r="BA281" s="2">
        <v>1</v>
      </c>
    </row>
    <row r="282" spans="48:53" x14ac:dyDescent="0.2">
      <c r="AV282" s="2" t="s">
        <v>748</v>
      </c>
      <c r="AW282" s="2" t="s">
        <v>1044</v>
      </c>
      <c r="AX282" s="2" t="str">
        <f t="shared" si="26"/>
        <v>Q35|CIS v8</v>
      </c>
      <c r="AY282" s="13">
        <v>1.3</v>
      </c>
      <c r="AZ282" s="13" t="s">
        <v>1092</v>
      </c>
      <c r="BA282" s="2">
        <v>1</v>
      </c>
    </row>
    <row r="283" spans="48:53" x14ac:dyDescent="0.2">
      <c r="AV283" s="2" t="s">
        <v>749</v>
      </c>
      <c r="AW283" s="2" t="s">
        <v>1041</v>
      </c>
      <c r="AX283" s="2" t="str">
        <f t="shared" si="26"/>
        <v>Q36|NIST CSF 2.0</v>
      </c>
      <c r="AY283" s="13" t="s">
        <v>551</v>
      </c>
      <c r="AZ283" s="13" t="s">
        <v>1067</v>
      </c>
      <c r="BA283" s="2">
        <v>1</v>
      </c>
    </row>
    <row r="284" spans="48:53" x14ac:dyDescent="0.2">
      <c r="AV284" s="2" t="s">
        <v>749</v>
      </c>
      <c r="AW284" s="2" t="s">
        <v>710</v>
      </c>
      <c r="AX284" s="2" t="str">
        <f t="shared" si="26"/>
        <v>Q36|NIST PQC</v>
      </c>
      <c r="AY284" s="13" t="s">
        <v>439</v>
      </c>
      <c r="AZ284" s="13" t="s">
        <v>439</v>
      </c>
      <c r="BA284" s="2"/>
    </row>
    <row r="285" spans="48:53" x14ac:dyDescent="0.2">
      <c r="AV285" s="2" t="s">
        <v>749</v>
      </c>
      <c r="AW285" s="2" t="s">
        <v>1042</v>
      </c>
      <c r="AX285" s="2" t="str">
        <f t="shared" si="26"/>
        <v>Q36|CMMC 2.0</v>
      </c>
      <c r="AY285" s="13" t="s">
        <v>526</v>
      </c>
      <c r="AZ285" s="13" t="s">
        <v>1076</v>
      </c>
      <c r="BA285" s="2">
        <v>0.8</v>
      </c>
    </row>
    <row r="286" spans="48:53" x14ac:dyDescent="0.2">
      <c r="AV286" s="2" t="s">
        <v>749</v>
      </c>
      <c r="AW286" s="2" t="s">
        <v>711</v>
      </c>
      <c r="AX286" s="2" t="str">
        <f t="shared" si="26"/>
        <v>Q36|FISMA</v>
      </c>
      <c r="AY286" s="13" t="s">
        <v>542</v>
      </c>
      <c r="AZ286" s="13" t="s">
        <v>1077</v>
      </c>
      <c r="BA286" s="2">
        <v>1</v>
      </c>
    </row>
    <row r="287" spans="48:53" x14ac:dyDescent="0.2">
      <c r="AV287" s="2" t="s">
        <v>749</v>
      </c>
      <c r="AW287" s="2" t="s">
        <v>712</v>
      </c>
      <c r="AX287" s="2" t="str">
        <f t="shared" si="26"/>
        <v>Q36|FedRAMP</v>
      </c>
      <c r="AY287" s="13" t="s">
        <v>542</v>
      </c>
      <c r="AZ287" s="13" t="s">
        <v>1077</v>
      </c>
      <c r="BA287" s="2">
        <v>1</v>
      </c>
    </row>
    <row r="288" spans="48:53" x14ac:dyDescent="0.2">
      <c r="AV288" s="2" t="s">
        <v>749</v>
      </c>
      <c r="AW288" s="2" t="s">
        <v>1043</v>
      </c>
      <c r="AX288" s="2" t="str">
        <f t="shared" si="26"/>
        <v>Q36|ISO 27001</v>
      </c>
      <c r="AY288" s="13" t="s">
        <v>552</v>
      </c>
      <c r="AZ288" s="13" t="s">
        <v>1137</v>
      </c>
      <c r="BA288" s="2">
        <v>1</v>
      </c>
    </row>
    <row r="289" spans="48:53" x14ac:dyDescent="0.2">
      <c r="AV289" s="2" t="s">
        <v>749</v>
      </c>
      <c r="AW289" s="2" t="s">
        <v>713</v>
      </c>
      <c r="AX289" s="2" t="str">
        <f t="shared" si="26"/>
        <v>Q36|SOC2</v>
      </c>
      <c r="AY289" s="13" t="s">
        <v>543</v>
      </c>
      <c r="AZ289" s="13" t="s">
        <v>1196</v>
      </c>
      <c r="BA289" s="2">
        <v>1</v>
      </c>
    </row>
    <row r="290" spans="48:53" x14ac:dyDescent="0.2">
      <c r="AV290" s="2" t="s">
        <v>749</v>
      </c>
      <c r="AW290" s="2" t="s">
        <v>1044</v>
      </c>
      <c r="AX290" s="2" t="str">
        <f t="shared" si="26"/>
        <v>Q36|CIS v8</v>
      </c>
      <c r="AY290" s="13">
        <v>1.2</v>
      </c>
      <c r="AZ290" s="13" t="s">
        <v>1092</v>
      </c>
      <c r="BA290" s="2">
        <v>0.8</v>
      </c>
    </row>
    <row r="291" spans="48:53" x14ac:dyDescent="0.2">
      <c r="AV291" s="2" t="s">
        <v>750</v>
      </c>
      <c r="AW291" s="2" t="s">
        <v>1041</v>
      </c>
      <c r="AX291" s="2" t="str">
        <f t="shared" si="26"/>
        <v>Q37|NIST CSF 2.0</v>
      </c>
      <c r="AY291" s="13" t="s">
        <v>553</v>
      </c>
      <c r="AZ291" s="13" t="s">
        <v>1067</v>
      </c>
      <c r="BA291" s="2">
        <v>1</v>
      </c>
    </row>
    <row r="292" spans="48:53" x14ac:dyDescent="0.2">
      <c r="AV292" s="2" t="s">
        <v>750</v>
      </c>
      <c r="AW292" s="2" t="s">
        <v>710</v>
      </c>
      <c r="AX292" s="2" t="str">
        <f t="shared" si="26"/>
        <v>Q37|NIST PQC</v>
      </c>
      <c r="AY292" s="13" t="s">
        <v>439</v>
      </c>
      <c r="AZ292" s="13" t="s">
        <v>439</v>
      </c>
      <c r="BA292" s="2"/>
    </row>
    <row r="293" spans="48:53" x14ac:dyDescent="0.2">
      <c r="AV293" s="2" t="s">
        <v>750</v>
      </c>
      <c r="AW293" s="2" t="s">
        <v>1042</v>
      </c>
      <c r="AX293" s="2" t="str">
        <f t="shared" si="26"/>
        <v>Q37|CMMC 2.0</v>
      </c>
      <c r="AY293" s="13" t="s">
        <v>526</v>
      </c>
      <c r="AZ293" s="13" t="s">
        <v>1076</v>
      </c>
      <c r="BA293" s="2">
        <v>0.6</v>
      </c>
    </row>
    <row r="294" spans="48:53" x14ac:dyDescent="0.2">
      <c r="AV294" s="2" t="s">
        <v>750</v>
      </c>
      <c r="AW294" s="2" t="s">
        <v>711</v>
      </c>
      <c r="AX294" s="2" t="str">
        <f t="shared" si="26"/>
        <v>Q37|FISMA</v>
      </c>
      <c r="AY294" s="13" t="s">
        <v>554</v>
      </c>
      <c r="AZ294" s="13" t="s">
        <v>1077</v>
      </c>
      <c r="BA294" s="2">
        <v>1</v>
      </c>
    </row>
    <row r="295" spans="48:53" x14ac:dyDescent="0.2">
      <c r="AV295" s="2" t="s">
        <v>750</v>
      </c>
      <c r="AW295" s="2" t="s">
        <v>712</v>
      </c>
      <c r="AX295" s="2" t="str">
        <f t="shared" si="26"/>
        <v>Q37|FedRAMP</v>
      </c>
      <c r="AY295" s="13" t="s">
        <v>554</v>
      </c>
      <c r="AZ295" s="13" t="s">
        <v>1077</v>
      </c>
      <c r="BA295" s="2">
        <v>1</v>
      </c>
    </row>
    <row r="296" spans="48:53" x14ac:dyDescent="0.2">
      <c r="AV296" s="2" t="s">
        <v>750</v>
      </c>
      <c r="AW296" s="2" t="s">
        <v>1043</v>
      </c>
      <c r="AX296" s="2" t="str">
        <f t="shared" si="26"/>
        <v>Q37|ISO 27001</v>
      </c>
      <c r="AY296" s="13" t="s">
        <v>469</v>
      </c>
      <c r="AZ296" s="13" t="s">
        <v>1137</v>
      </c>
      <c r="BA296" s="2">
        <v>0.8</v>
      </c>
    </row>
    <row r="297" spans="48:53" x14ac:dyDescent="0.2">
      <c r="AV297" s="2" t="s">
        <v>750</v>
      </c>
      <c r="AW297" s="2" t="s">
        <v>713</v>
      </c>
      <c r="AX297" s="2" t="str">
        <f t="shared" si="26"/>
        <v>Q37|SOC2</v>
      </c>
      <c r="AY297" s="13" t="s">
        <v>555</v>
      </c>
      <c r="AZ297" s="13" t="s">
        <v>1196</v>
      </c>
      <c r="BA297" s="2">
        <v>1</v>
      </c>
    </row>
    <row r="298" spans="48:53" x14ac:dyDescent="0.2">
      <c r="AV298" s="2" t="s">
        <v>750</v>
      </c>
      <c r="AW298" s="2" t="s">
        <v>1044</v>
      </c>
      <c r="AX298" s="2" t="str">
        <f t="shared" si="26"/>
        <v>Q37|CIS v8</v>
      </c>
      <c r="AY298" s="13">
        <v>1.6</v>
      </c>
      <c r="AZ298" s="13" t="s">
        <v>1092</v>
      </c>
      <c r="BA298" s="2">
        <v>0.8</v>
      </c>
    </row>
    <row r="299" spans="48:53" x14ac:dyDescent="0.2">
      <c r="AV299" s="2" t="s">
        <v>751</v>
      </c>
      <c r="AW299" s="2" t="s">
        <v>1041</v>
      </c>
      <c r="AX299" s="2" t="str">
        <f t="shared" si="26"/>
        <v>Q38|NIST CSF 2.0</v>
      </c>
      <c r="AY299" s="13" t="s">
        <v>556</v>
      </c>
      <c r="AZ299" s="13" t="s">
        <v>1067</v>
      </c>
      <c r="BA299" s="2">
        <v>1</v>
      </c>
    </row>
    <row r="300" spans="48:53" x14ac:dyDescent="0.2">
      <c r="AV300" s="2" t="s">
        <v>751</v>
      </c>
      <c r="AW300" s="2" t="s">
        <v>710</v>
      </c>
      <c r="AX300" s="2" t="str">
        <f t="shared" si="26"/>
        <v>Q38|NIST PQC</v>
      </c>
      <c r="AY300" s="13" t="s">
        <v>557</v>
      </c>
      <c r="AZ300" s="13" t="s">
        <v>1095</v>
      </c>
      <c r="BA300" s="2">
        <v>1</v>
      </c>
    </row>
    <row r="301" spans="48:53" x14ac:dyDescent="0.2">
      <c r="AV301" s="2" t="s">
        <v>751</v>
      </c>
      <c r="AW301" s="2" t="s">
        <v>1042</v>
      </c>
      <c r="AX301" s="2" t="str">
        <f t="shared" si="26"/>
        <v>Q38|CMMC 2.0</v>
      </c>
      <c r="AY301" s="13" t="s">
        <v>526</v>
      </c>
      <c r="AZ301" s="13" t="s">
        <v>1076</v>
      </c>
      <c r="BA301" s="2">
        <v>0.8</v>
      </c>
    </row>
    <row r="302" spans="48:53" x14ac:dyDescent="0.2">
      <c r="AV302" s="2" t="s">
        <v>751</v>
      </c>
      <c r="AW302" s="2" t="s">
        <v>711</v>
      </c>
      <c r="AX302" s="2" t="str">
        <f t="shared" si="26"/>
        <v>Q38|FISMA</v>
      </c>
      <c r="AY302" s="13" t="s">
        <v>558</v>
      </c>
      <c r="AZ302" s="13" t="s">
        <v>1077</v>
      </c>
      <c r="BA302" s="2">
        <v>1</v>
      </c>
    </row>
    <row r="303" spans="48:53" x14ac:dyDescent="0.2">
      <c r="AV303" s="2" t="s">
        <v>751</v>
      </c>
      <c r="AW303" s="2" t="s">
        <v>712</v>
      </c>
      <c r="AX303" s="2" t="str">
        <f t="shared" si="26"/>
        <v>Q38|FedRAMP</v>
      </c>
      <c r="AY303" s="13" t="s">
        <v>558</v>
      </c>
      <c r="AZ303" s="13" t="s">
        <v>1077</v>
      </c>
      <c r="BA303" s="2">
        <v>1</v>
      </c>
    </row>
    <row r="304" spans="48:53" x14ac:dyDescent="0.2">
      <c r="AV304" s="2" t="s">
        <v>751</v>
      </c>
      <c r="AW304" s="2" t="s">
        <v>1043</v>
      </c>
      <c r="AX304" s="2" t="str">
        <f t="shared" si="26"/>
        <v>Q38|ISO 27001</v>
      </c>
      <c r="AY304" s="13" t="s">
        <v>509</v>
      </c>
      <c r="AZ304" s="13" t="s">
        <v>1137</v>
      </c>
      <c r="BA304" s="2">
        <v>1</v>
      </c>
    </row>
    <row r="305" spans="48:53" x14ac:dyDescent="0.2">
      <c r="AV305" s="2" t="s">
        <v>751</v>
      </c>
      <c r="AW305" s="2" t="s">
        <v>713</v>
      </c>
      <c r="AX305" s="2" t="str">
        <f t="shared" si="26"/>
        <v>Q38|SOC2</v>
      </c>
      <c r="AY305" s="13" t="s">
        <v>559</v>
      </c>
      <c r="AZ305" s="13" t="s">
        <v>1197</v>
      </c>
      <c r="BA305" s="2">
        <v>1</v>
      </c>
    </row>
    <row r="306" spans="48:53" x14ac:dyDescent="0.2">
      <c r="AV306" s="2" t="s">
        <v>751</v>
      </c>
      <c r="AW306" s="2" t="s">
        <v>1044</v>
      </c>
      <c r="AX306" s="2" t="str">
        <f t="shared" si="26"/>
        <v>Q38|CIS v8</v>
      </c>
      <c r="AY306" s="13">
        <v>1.1000000000000001</v>
      </c>
      <c r="AZ306" s="13" t="s">
        <v>1092</v>
      </c>
      <c r="BA306" s="2">
        <v>0.8</v>
      </c>
    </row>
    <row r="307" spans="48:53" x14ac:dyDescent="0.2">
      <c r="AV307" s="2" t="s">
        <v>752</v>
      </c>
      <c r="AW307" s="2" t="s">
        <v>1041</v>
      </c>
      <c r="AX307" s="2" t="str">
        <f t="shared" si="26"/>
        <v>Q39|NIST CSF 2.0</v>
      </c>
      <c r="AY307" s="13" t="s">
        <v>560</v>
      </c>
      <c r="AZ307" s="13" t="s">
        <v>1067</v>
      </c>
      <c r="BA307" s="2">
        <v>1</v>
      </c>
    </row>
    <row r="308" spans="48:53" x14ac:dyDescent="0.2">
      <c r="AV308" s="2" t="s">
        <v>752</v>
      </c>
      <c r="AW308" s="2" t="s">
        <v>710</v>
      </c>
      <c r="AX308" s="2" t="str">
        <f t="shared" si="26"/>
        <v>Q39|NIST PQC</v>
      </c>
      <c r="AY308" s="13" t="s">
        <v>439</v>
      </c>
      <c r="AZ308" s="13" t="s">
        <v>439</v>
      </c>
      <c r="BA308" s="2"/>
    </row>
    <row r="309" spans="48:53" x14ac:dyDescent="0.2">
      <c r="AV309" s="2" t="s">
        <v>752</v>
      </c>
      <c r="AW309" s="2" t="s">
        <v>1042</v>
      </c>
      <c r="AX309" s="2" t="str">
        <f t="shared" si="26"/>
        <v>Q39|CMMC 2.0</v>
      </c>
      <c r="AY309" s="13" t="s">
        <v>502</v>
      </c>
      <c r="AZ309" s="13" t="s">
        <v>1076</v>
      </c>
      <c r="BA309" s="2">
        <v>1</v>
      </c>
    </row>
    <row r="310" spans="48:53" x14ac:dyDescent="0.2">
      <c r="AV310" s="2" t="s">
        <v>752</v>
      </c>
      <c r="AW310" s="2" t="s">
        <v>711</v>
      </c>
      <c r="AX310" s="2" t="str">
        <f t="shared" si="26"/>
        <v>Q39|FISMA</v>
      </c>
      <c r="AY310" s="13" t="s">
        <v>528</v>
      </c>
      <c r="AZ310" s="13" t="s">
        <v>1077</v>
      </c>
      <c r="BA310" s="2">
        <v>1</v>
      </c>
    </row>
    <row r="311" spans="48:53" x14ac:dyDescent="0.2">
      <c r="AV311" s="2" t="s">
        <v>752</v>
      </c>
      <c r="AW311" s="2" t="s">
        <v>712</v>
      </c>
      <c r="AX311" s="2" t="str">
        <f t="shared" si="26"/>
        <v>Q39|FedRAMP</v>
      </c>
      <c r="AY311" s="13" t="s">
        <v>528</v>
      </c>
      <c r="AZ311" s="13" t="s">
        <v>1077</v>
      </c>
      <c r="BA311" s="2">
        <v>1</v>
      </c>
    </row>
    <row r="312" spans="48:53" x14ac:dyDescent="0.2">
      <c r="AV312" s="2" t="s">
        <v>752</v>
      </c>
      <c r="AW312" s="2" t="s">
        <v>1043</v>
      </c>
      <c r="AX312" s="2" t="str">
        <f t="shared" si="26"/>
        <v>Q39|ISO 27001</v>
      </c>
      <c r="AY312" s="13" t="s">
        <v>561</v>
      </c>
      <c r="AZ312" s="13" t="s">
        <v>1141</v>
      </c>
      <c r="BA312" s="2">
        <v>1</v>
      </c>
    </row>
    <row r="313" spans="48:53" x14ac:dyDescent="0.2">
      <c r="AV313" s="2" t="s">
        <v>752</v>
      </c>
      <c r="AW313" s="2" t="s">
        <v>713</v>
      </c>
      <c r="AX313" s="2" t="str">
        <f t="shared" si="26"/>
        <v>Q39|SOC2</v>
      </c>
      <c r="AY313" s="13" t="s">
        <v>529</v>
      </c>
      <c r="AZ313" s="13" t="s">
        <v>1195</v>
      </c>
      <c r="BA313" s="2">
        <v>1</v>
      </c>
    </row>
    <row r="314" spans="48:53" x14ac:dyDescent="0.2">
      <c r="AV314" s="2" t="s">
        <v>752</v>
      </c>
      <c r="AW314" s="2" t="s">
        <v>1044</v>
      </c>
      <c r="AX314" s="2" t="str">
        <f t="shared" si="26"/>
        <v>Q39|CIS v8</v>
      </c>
      <c r="AY314" s="13">
        <v>1.7</v>
      </c>
      <c r="AZ314" s="13" t="s">
        <v>1092</v>
      </c>
      <c r="BA314" s="2">
        <v>1</v>
      </c>
    </row>
    <row r="315" spans="48:53" x14ac:dyDescent="0.2">
      <c r="AV315" s="2" t="s">
        <v>753</v>
      </c>
      <c r="AW315" s="2" t="s">
        <v>1041</v>
      </c>
      <c r="AX315" s="2" t="str">
        <f t="shared" si="26"/>
        <v>Q40|NIST CSF 2.0</v>
      </c>
      <c r="AY315" s="13" t="s">
        <v>545</v>
      </c>
      <c r="AZ315" s="13" t="s">
        <v>1067</v>
      </c>
      <c r="BA315" s="2">
        <v>1</v>
      </c>
    </row>
    <row r="316" spans="48:53" x14ac:dyDescent="0.2">
      <c r="AV316" s="2" t="s">
        <v>753</v>
      </c>
      <c r="AW316" s="2" t="s">
        <v>710</v>
      </c>
      <c r="AX316" s="2" t="str">
        <f t="shared" si="26"/>
        <v>Q40|NIST PQC</v>
      </c>
      <c r="AY316" s="13" t="s">
        <v>439</v>
      </c>
      <c r="AZ316" s="13" t="s">
        <v>439</v>
      </c>
      <c r="BA316" s="2"/>
    </row>
    <row r="317" spans="48:53" x14ac:dyDescent="0.2">
      <c r="AV317" s="2" t="s">
        <v>753</v>
      </c>
      <c r="AW317" s="2" t="s">
        <v>1042</v>
      </c>
      <c r="AX317" s="2" t="str">
        <f t="shared" si="26"/>
        <v>Q40|CMMC 2.0</v>
      </c>
      <c r="AY317" s="13" t="s">
        <v>502</v>
      </c>
      <c r="AZ317" s="13" t="s">
        <v>1076</v>
      </c>
      <c r="BA317" s="2">
        <v>0.8</v>
      </c>
    </row>
    <row r="318" spans="48:53" x14ac:dyDescent="0.2">
      <c r="AV318" s="2" t="s">
        <v>753</v>
      </c>
      <c r="AW318" s="2" t="s">
        <v>711</v>
      </c>
      <c r="AX318" s="2" t="str">
        <f t="shared" si="26"/>
        <v>Q40|FISMA</v>
      </c>
      <c r="AY318" s="13" t="s">
        <v>503</v>
      </c>
      <c r="AZ318" s="13" t="s">
        <v>1076</v>
      </c>
      <c r="BA318" s="2">
        <v>1</v>
      </c>
    </row>
    <row r="319" spans="48:53" x14ac:dyDescent="0.2">
      <c r="AV319" s="2" t="s">
        <v>753</v>
      </c>
      <c r="AW319" s="2" t="s">
        <v>712</v>
      </c>
      <c r="AX319" s="2" t="str">
        <f t="shared" si="26"/>
        <v>Q40|FedRAMP</v>
      </c>
      <c r="AY319" s="13" t="s">
        <v>503</v>
      </c>
      <c r="AZ319" s="13" t="s">
        <v>1076</v>
      </c>
      <c r="BA319" s="2">
        <v>1</v>
      </c>
    </row>
    <row r="320" spans="48:53" x14ac:dyDescent="0.2">
      <c r="AV320" s="2" t="s">
        <v>753</v>
      </c>
      <c r="AW320" s="2" t="s">
        <v>1043</v>
      </c>
      <c r="AX320" s="2" t="str">
        <f t="shared" si="26"/>
        <v>Q40|ISO 27001</v>
      </c>
      <c r="AY320" s="13" t="s">
        <v>562</v>
      </c>
      <c r="AZ320" s="13" t="s">
        <v>1141</v>
      </c>
      <c r="BA320" s="2">
        <v>1</v>
      </c>
    </row>
    <row r="321" spans="48:53" x14ac:dyDescent="0.2">
      <c r="AV321" s="2" t="s">
        <v>753</v>
      </c>
      <c r="AW321" s="2" t="s">
        <v>713</v>
      </c>
      <c r="AX321" s="2" t="str">
        <f t="shared" si="26"/>
        <v>Q40|SOC2</v>
      </c>
      <c r="AY321" s="13" t="s">
        <v>563</v>
      </c>
      <c r="AZ321" s="13" t="s">
        <v>1195</v>
      </c>
      <c r="BA321" s="2">
        <v>1</v>
      </c>
    </row>
    <row r="322" spans="48:53" x14ac:dyDescent="0.2">
      <c r="AV322" s="2" t="s">
        <v>753</v>
      </c>
      <c r="AW322" s="2" t="s">
        <v>1044</v>
      </c>
      <c r="AX322" s="2" t="str">
        <f t="shared" si="26"/>
        <v>Q40|CIS v8</v>
      </c>
      <c r="AY322" s="13">
        <v>1.8</v>
      </c>
      <c r="AZ322" s="13" t="s">
        <v>1092</v>
      </c>
      <c r="BA322" s="2">
        <v>0.8</v>
      </c>
    </row>
    <row r="323" spans="48:53" x14ac:dyDescent="0.2">
      <c r="AV323" s="2" t="s">
        <v>754</v>
      </c>
      <c r="AW323" s="2" t="s">
        <v>1041</v>
      </c>
      <c r="AX323" s="2" t="str">
        <f t="shared" si="26"/>
        <v>Q41|NIST CSF 2.0</v>
      </c>
      <c r="AY323" s="13" t="s">
        <v>515</v>
      </c>
      <c r="AZ323" s="13" t="s">
        <v>1064</v>
      </c>
      <c r="BA323" s="2">
        <v>1</v>
      </c>
    </row>
    <row r="324" spans="48:53" x14ac:dyDescent="0.2">
      <c r="AV324" s="2" t="s">
        <v>754</v>
      </c>
      <c r="AW324" s="2" t="s">
        <v>710</v>
      </c>
      <c r="AX324" s="2" t="str">
        <f t="shared" ref="AX324:AX387" si="27">_xlfn.CONCAT(AV324,"|",AW324)</f>
        <v>Q41|NIST PQC</v>
      </c>
      <c r="AY324" s="13" t="s">
        <v>439</v>
      </c>
      <c r="AZ324" s="13" t="s">
        <v>439</v>
      </c>
      <c r="BA324" s="2"/>
    </row>
    <row r="325" spans="48:53" x14ac:dyDescent="0.2">
      <c r="AV325" s="2" t="s">
        <v>754</v>
      </c>
      <c r="AW325" s="2" t="s">
        <v>1042</v>
      </c>
      <c r="AX325" s="2" t="str">
        <f t="shared" si="27"/>
        <v>Q41|CMMC 2.0</v>
      </c>
      <c r="AY325" s="13" t="s">
        <v>468</v>
      </c>
      <c r="AZ325" s="13" t="s">
        <v>1073</v>
      </c>
      <c r="BA325" s="2">
        <v>1</v>
      </c>
    </row>
    <row r="326" spans="48:53" x14ac:dyDescent="0.2">
      <c r="AV326" s="2" t="s">
        <v>754</v>
      </c>
      <c r="AW326" s="2" t="s">
        <v>711</v>
      </c>
      <c r="AX326" s="2" t="str">
        <f t="shared" si="27"/>
        <v>Q41|FISMA</v>
      </c>
      <c r="AY326" s="13" t="s">
        <v>516</v>
      </c>
      <c r="AZ326" s="13" t="s">
        <v>1077</v>
      </c>
      <c r="BA326" s="2">
        <v>1</v>
      </c>
    </row>
    <row r="327" spans="48:53" x14ac:dyDescent="0.2">
      <c r="AV327" s="2" t="s">
        <v>754</v>
      </c>
      <c r="AW327" s="2" t="s">
        <v>712</v>
      </c>
      <c r="AX327" s="2" t="str">
        <f t="shared" si="27"/>
        <v>Q41|FedRAMP</v>
      </c>
      <c r="AY327" s="13" t="s">
        <v>516</v>
      </c>
      <c r="AZ327" s="13" t="s">
        <v>1077</v>
      </c>
      <c r="BA327" s="2">
        <v>1</v>
      </c>
    </row>
    <row r="328" spans="48:53" x14ac:dyDescent="0.2">
      <c r="AV328" s="2" t="s">
        <v>754</v>
      </c>
      <c r="AW328" s="2" t="s">
        <v>1043</v>
      </c>
      <c r="AX328" s="2" t="str">
        <f t="shared" si="27"/>
        <v>Q41|ISO 27001</v>
      </c>
      <c r="AY328" s="13" t="s">
        <v>564</v>
      </c>
      <c r="AZ328" s="13" t="s">
        <v>1138</v>
      </c>
      <c r="BA328" s="2">
        <v>1</v>
      </c>
    </row>
    <row r="329" spans="48:53" x14ac:dyDescent="0.2">
      <c r="AV329" s="2" t="s">
        <v>754</v>
      </c>
      <c r="AW329" s="2" t="s">
        <v>713</v>
      </c>
      <c r="AX329" s="2" t="str">
        <f t="shared" si="27"/>
        <v>Q41|SOC2</v>
      </c>
      <c r="AY329" s="13" t="s">
        <v>565</v>
      </c>
      <c r="AZ329" s="13" t="s">
        <v>1192</v>
      </c>
      <c r="BA329" s="2">
        <v>1</v>
      </c>
    </row>
    <row r="330" spans="48:53" x14ac:dyDescent="0.2">
      <c r="AV330" s="2" t="s">
        <v>754</v>
      </c>
      <c r="AW330" s="2" t="s">
        <v>1044</v>
      </c>
      <c r="AX330" s="2" t="str">
        <f t="shared" si="27"/>
        <v>Q41|CIS v8</v>
      </c>
      <c r="AY330" s="13">
        <v>1.4</v>
      </c>
      <c r="AZ330" s="13" t="s">
        <v>1092</v>
      </c>
      <c r="BA330" s="2">
        <v>1</v>
      </c>
    </row>
    <row r="331" spans="48:53" x14ac:dyDescent="0.2">
      <c r="AV331" s="2" t="s">
        <v>755</v>
      </c>
      <c r="AW331" s="2" t="s">
        <v>1041</v>
      </c>
      <c r="AX331" s="2" t="str">
        <f t="shared" si="27"/>
        <v>Q42|NIST CSF 2.0</v>
      </c>
      <c r="AY331" s="13" t="s">
        <v>511</v>
      </c>
      <c r="AZ331" s="13" t="s">
        <v>1064</v>
      </c>
      <c r="BA331" s="2">
        <v>1</v>
      </c>
    </row>
    <row r="332" spans="48:53" x14ac:dyDescent="0.2">
      <c r="AV332" s="2" t="s">
        <v>755</v>
      </c>
      <c r="AW332" s="2" t="s">
        <v>710</v>
      </c>
      <c r="AX332" s="2" t="str">
        <f t="shared" si="27"/>
        <v>Q42|NIST PQC</v>
      </c>
      <c r="AY332" s="13" t="s">
        <v>439</v>
      </c>
      <c r="AZ332" s="13" t="s">
        <v>439</v>
      </c>
      <c r="BA332" s="2"/>
    </row>
    <row r="333" spans="48:53" x14ac:dyDescent="0.2">
      <c r="AV333" s="2" t="s">
        <v>755</v>
      </c>
      <c r="AW333" s="2" t="s">
        <v>1042</v>
      </c>
      <c r="AX333" s="2" t="str">
        <f t="shared" si="27"/>
        <v>Q42|CMMC 2.0</v>
      </c>
      <c r="AY333" s="13" t="s">
        <v>468</v>
      </c>
      <c r="AZ333" s="13" t="s">
        <v>1073</v>
      </c>
      <c r="BA333" s="2">
        <v>0.8</v>
      </c>
    </row>
    <row r="334" spans="48:53" x14ac:dyDescent="0.2">
      <c r="AV334" s="2" t="s">
        <v>755</v>
      </c>
      <c r="AW334" s="2" t="s">
        <v>711</v>
      </c>
      <c r="AX334" s="2" t="str">
        <f t="shared" si="27"/>
        <v>Q42|FISMA</v>
      </c>
      <c r="AY334" s="13" t="s">
        <v>516</v>
      </c>
      <c r="AZ334" s="13" t="s">
        <v>1077</v>
      </c>
      <c r="BA334" s="2">
        <v>1</v>
      </c>
    </row>
    <row r="335" spans="48:53" x14ac:dyDescent="0.2">
      <c r="AV335" s="2" t="s">
        <v>755</v>
      </c>
      <c r="AW335" s="2" t="s">
        <v>712</v>
      </c>
      <c r="AX335" s="2" t="str">
        <f t="shared" si="27"/>
        <v>Q42|FedRAMP</v>
      </c>
      <c r="AY335" s="13" t="s">
        <v>516</v>
      </c>
      <c r="AZ335" s="13" t="s">
        <v>1077</v>
      </c>
      <c r="BA335" s="2">
        <v>1</v>
      </c>
    </row>
    <row r="336" spans="48:53" x14ac:dyDescent="0.2">
      <c r="AV336" s="2" t="s">
        <v>755</v>
      </c>
      <c r="AW336" s="2" t="s">
        <v>1043</v>
      </c>
      <c r="AX336" s="2" t="str">
        <f t="shared" si="27"/>
        <v>Q42|ISO 27001</v>
      </c>
      <c r="AY336" s="13" t="s">
        <v>537</v>
      </c>
      <c r="AZ336" s="13" t="s">
        <v>1138</v>
      </c>
      <c r="BA336" s="2">
        <v>1</v>
      </c>
    </row>
    <row r="337" spans="48:53" x14ac:dyDescent="0.2">
      <c r="AV337" s="2" t="s">
        <v>755</v>
      </c>
      <c r="AW337" s="2" t="s">
        <v>713</v>
      </c>
      <c r="AX337" s="2" t="str">
        <f t="shared" si="27"/>
        <v>Q42|SOC2</v>
      </c>
      <c r="AY337" s="13" t="s">
        <v>470</v>
      </c>
      <c r="AZ337" s="13" t="s">
        <v>1192</v>
      </c>
      <c r="BA337" s="2">
        <v>1</v>
      </c>
    </row>
    <row r="338" spans="48:53" x14ac:dyDescent="0.2">
      <c r="AV338" s="2" t="s">
        <v>755</v>
      </c>
      <c r="AW338" s="2" t="s">
        <v>1044</v>
      </c>
      <c r="AX338" s="2" t="str">
        <f t="shared" si="27"/>
        <v>Q42|CIS v8</v>
      </c>
      <c r="AY338" s="13">
        <v>1.5</v>
      </c>
      <c r="AZ338" s="13" t="s">
        <v>1092</v>
      </c>
      <c r="BA338" s="2">
        <v>0.8</v>
      </c>
    </row>
    <row r="339" spans="48:53" x14ac:dyDescent="0.2">
      <c r="AV339" s="2" t="s">
        <v>756</v>
      </c>
      <c r="AW339" s="2" t="s">
        <v>1041</v>
      </c>
      <c r="AX339" s="2" t="str">
        <f t="shared" si="27"/>
        <v>Q43|NIST CSF 2.0</v>
      </c>
      <c r="AY339" s="13" t="s">
        <v>487</v>
      </c>
      <c r="AZ339" s="13" t="s">
        <v>1064</v>
      </c>
      <c r="BA339" s="2">
        <v>1</v>
      </c>
    </row>
    <row r="340" spans="48:53" x14ac:dyDescent="0.2">
      <c r="AV340" s="2" t="s">
        <v>756</v>
      </c>
      <c r="AW340" s="2" t="s">
        <v>710</v>
      </c>
      <c r="AX340" s="2" t="str">
        <f t="shared" si="27"/>
        <v>Q43|NIST PQC</v>
      </c>
      <c r="AY340" s="13" t="s">
        <v>566</v>
      </c>
      <c r="AZ340" s="13" t="s">
        <v>1095</v>
      </c>
      <c r="BA340" s="2">
        <v>1</v>
      </c>
    </row>
    <row r="341" spans="48:53" x14ac:dyDescent="0.2">
      <c r="AV341" s="2" t="s">
        <v>756</v>
      </c>
      <c r="AW341" s="2" t="s">
        <v>1042</v>
      </c>
      <c r="AX341" s="2" t="str">
        <f t="shared" si="27"/>
        <v>Q43|CMMC 2.0</v>
      </c>
      <c r="AY341" s="13" t="s">
        <v>489</v>
      </c>
      <c r="AZ341" s="13" t="s">
        <v>1073</v>
      </c>
      <c r="BA341" s="2">
        <v>0.8</v>
      </c>
    </row>
    <row r="342" spans="48:53" x14ac:dyDescent="0.2">
      <c r="AV342" s="2" t="s">
        <v>756</v>
      </c>
      <c r="AW342" s="2" t="s">
        <v>711</v>
      </c>
      <c r="AX342" s="2" t="str">
        <f t="shared" si="27"/>
        <v>Q43|FISMA</v>
      </c>
      <c r="AY342" s="13" t="s">
        <v>490</v>
      </c>
      <c r="AZ342" s="13" t="s">
        <v>1073</v>
      </c>
      <c r="BA342" s="2">
        <v>1</v>
      </c>
    </row>
    <row r="343" spans="48:53" x14ac:dyDescent="0.2">
      <c r="AV343" s="2" t="s">
        <v>756</v>
      </c>
      <c r="AW343" s="2" t="s">
        <v>712</v>
      </c>
      <c r="AX343" s="2" t="str">
        <f t="shared" si="27"/>
        <v>Q43|FedRAMP</v>
      </c>
      <c r="AY343" s="13" t="s">
        <v>490</v>
      </c>
      <c r="AZ343" s="13" t="s">
        <v>1073</v>
      </c>
      <c r="BA343" s="2">
        <v>1</v>
      </c>
    </row>
    <row r="344" spans="48:53" x14ac:dyDescent="0.2">
      <c r="AV344" s="2" t="s">
        <v>756</v>
      </c>
      <c r="AW344" s="2" t="s">
        <v>1043</v>
      </c>
      <c r="AX344" s="2" t="str">
        <f t="shared" si="27"/>
        <v>Q43|ISO 27001</v>
      </c>
      <c r="AY344" s="13" t="s">
        <v>537</v>
      </c>
      <c r="AZ344" s="13" t="s">
        <v>1138</v>
      </c>
      <c r="BA344" s="2">
        <v>0.8</v>
      </c>
    </row>
    <row r="345" spans="48:53" x14ac:dyDescent="0.2">
      <c r="AV345" s="2" t="s">
        <v>756</v>
      </c>
      <c r="AW345" s="2" t="s">
        <v>713</v>
      </c>
      <c r="AX345" s="2" t="str">
        <f t="shared" si="27"/>
        <v>Q43|SOC2</v>
      </c>
      <c r="AY345" s="13" t="s">
        <v>470</v>
      </c>
      <c r="AZ345" s="13" t="s">
        <v>1192</v>
      </c>
      <c r="BA345" s="2">
        <v>0.8</v>
      </c>
    </row>
    <row r="346" spans="48:53" x14ac:dyDescent="0.2">
      <c r="AV346" s="2" t="s">
        <v>756</v>
      </c>
      <c r="AW346" s="2" t="s">
        <v>1044</v>
      </c>
      <c r="AX346" s="2" t="str">
        <f t="shared" si="27"/>
        <v>Q43|CIS v8</v>
      </c>
      <c r="AY346" s="13">
        <v>1.4</v>
      </c>
      <c r="AZ346" s="13" t="s">
        <v>1092</v>
      </c>
      <c r="BA346" s="2">
        <v>0.6</v>
      </c>
    </row>
    <row r="347" spans="48:53" x14ac:dyDescent="0.2">
      <c r="AV347" s="2" t="s">
        <v>757</v>
      </c>
      <c r="AW347" s="2" t="s">
        <v>1041</v>
      </c>
      <c r="AX347" s="2" t="str">
        <f t="shared" si="27"/>
        <v>Q44|NIST CSF 2.0</v>
      </c>
      <c r="AY347" s="13" t="s">
        <v>480</v>
      </c>
      <c r="AZ347" s="13" t="s">
        <v>1064</v>
      </c>
      <c r="BA347" s="2">
        <v>1</v>
      </c>
    </row>
    <row r="348" spans="48:53" x14ac:dyDescent="0.2">
      <c r="AV348" s="2" t="s">
        <v>757</v>
      </c>
      <c r="AW348" s="2" t="s">
        <v>710</v>
      </c>
      <c r="AX348" s="2" t="str">
        <f t="shared" si="27"/>
        <v>Q44|NIST PQC</v>
      </c>
      <c r="AY348" s="13" t="s">
        <v>439</v>
      </c>
      <c r="AZ348" s="13" t="s">
        <v>439</v>
      </c>
      <c r="BA348" s="2"/>
    </row>
    <row r="349" spans="48:53" x14ac:dyDescent="0.2">
      <c r="AV349" s="2" t="s">
        <v>757</v>
      </c>
      <c r="AW349" s="2" t="s">
        <v>1042</v>
      </c>
      <c r="AX349" s="2" t="str">
        <f t="shared" si="27"/>
        <v>Q44|CMMC 2.0</v>
      </c>
      <c r="AY349" s="13" t="s">
        <v>468</v>
      </c>
      <c r="AZ349" s="13" t="s">
        <v>1073</v>
      </c>
      <c r="BA349" s="2">
        <v>1</v>
      </c>
    </row>
    <row r="350" spans="48:53" x14ac:dyDescent="0.2">
      <c r="AV350" s="2" t="s">
        <v>757</v>
      </c>
      <c r="AW350" s="2" t="s">
        <v>711</v>
      </c>
      <c r="AX350" s="2" t="str">
        <f t="shared" si="27"/>
        <v>Q44|FISMA</v>
      </c>
      <c r="AY350" s="13" t="s">
        <v>490</v>
      </c>
      <c r="AZ350" s="13" t="s">
        <v>1073</v>
      </c>
      <c r="BA350" s="2">
        <v>1</v>
      </c>
    </row>
    <row r="351" spans="48:53" x14ac:dyDescent="0.2">
      <c r="AV351" s="2" t="s">
        <v>757</v>
      </c>
      <c r="AW351" s="2" t="s">
        <v>712</v>
      </c>
      <c r="AX351" s="2" t="str">
        <f t="shared" si="27"/>
        <v>Q44|FedRAMP</v>
      </c>
      <c r="AY351" s="13" t="s">
        <v>490</v>
      </c>
      <c r="AZ351" s="13" t="s">
        <v>1073</v>
      </c>
      <c r="BA351" s="2">
        <v>1</v>
      </c>
    </row>
    <row r="352" spans="48:53" x14ac:dyDescent="0.2">
      <c r="AV352" s="2" t="s">
        <v>757</v>
      </c>
      <c r="AW352" s="2" t="s">
        <v>1043</v>
      </c>
      <c r="AX352" s="2" t="str">
        <f t="shared" si="27"/>
        <v>Q44|ISO 27001</v>
      </c>
      <c r="AY352" s="13" t="s">
        <v>513</v>
      </c>
      <c r="AZ352" s="13" t="s">
        <v>1138</v>
      </c>
      <c r="BA352" s="2">
        <v>1</v>
      </c>
    </row>
    <row r="353" spans="48:53" x14ac:dyDescent="0.2">
      <c r="AV353" s="2" t="s">
        <v>757</v>
      </c>
      <c r="AW353" s="2" t="s">
        <v>713</v>
      </c>
      <c r="AX353" s="2" t="str">
        <f t="shared" si="27"/>
        <v>Q44|SOC2</v>
      </c>
      <c r="AY353" s="13" t="s">
        <v>470</v>
      </c>
      <c r="AZ353" s="13" t="s">
        <v>1192</v>
      </c>
      <c r="BA353" s="2">
        <v>1</v>
      </c>
    </row>
    <row r="354" spans="48:53" x14ac:dyDescent="0.2">
      <c r="AV354" s="2" t="s">
        <v>757</v>
      </c>
      <c r="AW354" s="2" t="s">
        <v>1044</v>
      </c>
      <c r="AX354" s="2" t="str">
        <f t="shared" si="27"/>
        <v>Q44|CIS v8</v>
      </c>
      <c r="AY354" s="13">
        <v>1.4</v>
      </c>
      <c r="AZ354" s="13" t="s">
        <v>1092</v>
      </c>
      <c r="BA354" s="2">
        <v>1</v>
      </c>
    </row>
    <row r="355" spans="48:53" x14ac:dyDescent="0.2">
      <c r="AV355" s="2" t="s">
        <v>758</v>
      </c>
      <c r="AW355" s="2" t="s">
        <v>1041</v>
      </c>
      <c r="AX355" s="2" t="str">
        <f t="shared" si="27"/>
        <v>Q45|NIST CSF 2.0</v>
      </c>
      <c r="AY355" s="13" t="s">
        <v>567</v>
      </c>
      <c r="AZ355" s="13" t="s">
        <v>1068</v>
      </c>
      <c r="BA355" s="2">
        <v>1</v>
      </c>
    </row>
    <row r="356" spans="48:53" x14ac:dyDescent="0.2">
      <c r="AV356" s="2" t="s">
        <v>758</v>
      </c>
      <c r="AW356" s="2" t="s">
        <v>710</v>
      </c>
      <c r="AX356" s="2" t="str">
        <f t="shared" si="27"/>
        <v>Q45|NIST PQC</v>
      </c>
      <c r="AY356" s="13" t="s">
        <v>439</v>
      </c>
      <c r="AZ356" s="13" t="s">
        <v>439</v>
      </c>
      <c r="BA356" s="2"/>
    </row>
    <row r="357" spans="48:53" x14ac:dyDescent="0.2">
      <c r="AV357" s="2" t="s">
        <v>758</v>
      </c>
      <c r="AW357" s="2" t="s">
        <v>1042</v>
      </c>
      <c r="AX357" s="2" t="str">
        <f t="shared" si="27"/>
        <v>Q45|CMMC 2.0</v>
      </c>
      <c r="AY357" s="13" t="s">
        <v>568</v>
      </c>
      <c r="AZ357" s="13" t="s">
        <v>1076</v>
      </c>
      <c r="BA357" s="2">
        <v>1</v>
      </c>
    </row>
    <row r="358" spans="48:53" x14ac:dyDescent="0.2">
      <c r="AV358" s="2" t="s">
        <v>758</v>
      </c>
      <c r="AW358" s="2" t="s">
        <v>711</v>
      </c>
      <c r="AX358" s="2" t="str">
        <f t="shared" si="27"/>
        <v>Q45|FISMA</v>
      </c>
      <c r="AY358" s="13" t="s">
        <v>569</v>
      </c>
      <c r="AZ358" s="13" t="s">
        <v>1076</v>
      </c>
      <c r="BA358" s="2">
        <v>1</v>
      </c>
    </row>
    <row r="359" spans="48:53" x14ac:dyDescent="0.2">
      <c r="AV359" s="2" t="s">
        <v>758</v>
      </c>
      <c r="AW359" s="2" t="s">
        <v>712</v>
      </c>
      <c r="AX359" s="2" t="str">
        <f t="shared" si="27"/>
        <v>Q45|FedRAMP</v>
      </c>
      <c r="AY359" s="13" t="s">
        <v>569</v>
      </c>
      <c r="AZ359" s="13" t="s">
        <v>1076</v>
      </c>
      <c r="BA359" s="2">
        <v>1</v>
      </c>
    </row>
    <row r="360" spans="48:53" x14ac:dyDescent="0.2">
      <c r="AV360" s="2" t="s">
        <v>758</v>
      </c>
      <c r="AW360" s="2" t="s">
        <v>1043</v>
      </c>
      <c r="AX360" s="2" t="str">
        <f t="shared" si="27"/>
        <v>Q45|ISO 27001</v>
      </c>
      <c r="AY360" s="13" t="s">
        <v>513</v>
      </c>
      <c r="AZ360" s="13" t="s">
        <v>1138</v>
      </c>
      <c r="BA360" s="2">
        <v>1</v>
      </c>
    </row>
    <row r="361" spans="48:53" x14ac:dyDescent="0.2">
      <c r="AV361" s="2" t="s">
        <v>758</v>
      </c>
      <c r="AW361" s="2" t="s">
        <v>713</v>
      </c>
      <c r="AX361" s="2" t="str">
        <f t="shared" si="27"/>
        <v>Q45|SOC2</v>
      </c>
      <c r="AY361" s="13" t="s">
        <v>514</v>
      </c>
      <c r="AZ361" s="13" t="s">
        <v>1192</v>
      </c>
      <c r="BA361" s="2">
        <v>1</v>
      </c>
    </row>
    <row r="362" spans="48:53" x14ac:dyDescent="0.2">
      <c r="AV362" s="2" t="s">
        <v>758</v>
      </c>
      <c r="AW362" s="2" t="s">
        <v>1044</v>
      </c>
      <c r="AX362" s="2" t="str">
        <f t="shared" si="27"/>
        <v>Q45|CIS v8</v>
      </c>
      <c r="AY362" s="13">
        <v>1.5</v>
      </c>
      <c r="AZ362" s="13" t="s">
        <v>1092</v>
      </c>
      <c r="BA362" s="2">
        <v>0.8</v>
      </c>
    </row>
    <row r="363" spans="48:53" x14ac:dyDescent="0.2">
      <c r="AV363" s="2" t="s">
        <v>759</v>
      </c>
      <c r="AW363" s="2" t="s">
        <v>1041</v>
      </c>
      <c r="AX363" s="2" t="str">
        <f t="shared" si="27"/>
        <v>Q46|NIST CSF 2.0</v>
      </c>
      <c r="AY363" s="13" t="s">
        <v>525</v>
      </c>
      <c r="AZ363" s="13" t="s">
        <v>1065</v>
      </c>
      <c r="BA363" s="2">
        <v>1</v>
      </c>
    </row>
    <row r="364" spans="48:53" x14ac:dyDescent="0.2">
      <c r="AV364" s="2" t="s">
        <v>759</v>
      </c>
      <c r="AW364" s="2" t="s">
        <v>710</v>
      </c>
      <c r="AX364" s="2" t="str">
        <f t="shared" si="27"/>
        <v>Q46|NIST PQC</v>
      </c>
      <c r="AY364" s="13" t="s">
        <v>439</v>
      </c>
      <c r="AZ364" s="13" t="s">
        <v>439</v>
      </c>
      <c r="BA364" s="2"/>
    </row>
    <row r="365" spans="48:53" x14ac:dyDescent="0.2">
      <c r="AV365" s="2" t="s">
        <v>759</v>
      </c>
      <c r="AW365" s="2" t="s">
        <v>1042</v>
      </c>
      <c r="AX365" s="2" t="str">
        <f t="shared" si="27"/>
        <v>Q46|CMMC 2.0</v>
      </c>
      <c r="AY365" s="13" t="s">
        <v>526</v>
      </c>
      <c r="AZ365" s="13" t="s">
        <v>1076</v>
      </c>
      <c r="BA365" s="2">
        <v>1</v>
      </c>
    </row>
    <row r="366" spans="48:53" x14ac:dyDescent="0.2">
      <c r="AV366" s="2" t="s">
        <v>759</v>
      </c>
      <c r="AW366" s="2" t="s">
        <v>711</v>
      </c>
      <c r="AX366" s="2" t="str">
        <f t="shared" si="27"/>
        <v>Q46|FISMA</v>
      </c>
      <c r="AY366" s="13" t="s">
        <v>503</v>
      </c>
      <c r="AZ366" s="13" t="s">
        <v>1076</v>
      </c>
      <c r="BA366" s="2">
        <v>1</v>
      </c>
    </row>
    <row r="367" spans="48:53" x14ac:dyDescent="0.2">
      <c r="AV367" s="2" t="s">
        <v>759</v>
      </c>
      <c r="AW367" s="2" t="s">
        <v>712</v>
      </c>
      <c r="AX367" s="2" t="str">
        <f t="shared" si="27"/>
        <v>Q46|FedRAMP</v>
      </c>
      <c r="AY367" s="13" t="s">
        <v>503</v>
      </c>
      <c r="AZ367" s="13" t="s">
        <v>1076</v>
      </c>
      <c r="BA367" s="2">
        <v>1</v>
      </c>
    </row>
    <row r="368" spans="48:53" x14ac:dyDescent="0.2">
      <c r="AV368" s="2" t="s">
        <v>759</v>
      </c>
      <c r="AW368" s="2" t="s">
        <v>1043</v>
      </c>
      <c r="AX368" s="2" t="str">
        <f t="shared" si="27"/>
        <v>Q46|ISO 27001</v>
      </c>
      <c r="AY368" s="13" t="s">
        <v>527</v>
      </c>
      <c r="AZ368" s="13" t="s">
        <v>1138</v>
      </c>
      <c r="BA368" s="2">
        <v>1</v>
      </c>
    </row>
    <row r="369" spans="48:53" x14ac:dyDescent="0.2">
      <c r="AV369" s="2" t="s">
        <v>759</v>
      </c>
      <c r="AW369" s="2" t="s">
        <v>713</v>
      </c>
      <c r="AX369" s="2" t="str">
        <f t="shared" si="27"/>
        <v>Q46|SOC2</v>
      </c>
      <c r="AY369" s="13" t="s">
        <v>484</v>
      </c>
      <c r="AZ369" s="13" t="s">
        <v>1194</v>
      </c>
      <c r="BA369" s="2">
        <v>1</v>
      </c>
    </row>
    <row r="370" spans="48:53" x14ac:dyDescent="0.2">
      <c r="AV370" s="2" t="s">
        <v>759</v>
      </c>
      <c r="AW370" s="2" t="s">
        <v>1044</v>
      </c>
      <c r="AX370" s="2" t="str">
        <f t="shared" si="27"/>
        <v>Q46|CIS v8</v>
      </c>
      <c r="AY370" s="13">
        <v>7.1</v>
      </c>
      <c r="AZ370" s="13" t="s">
        <v>1099</v>
      </c>
      <c r="BA370" s="2">
        <v>0.8</v>
      </c>
    </row>
    <row r="371" spans="48:53" x14ac:dyDescent="0.2">
      <c r="AV371" s="2" t="s">
        <v>760</v>
      </c>
      <c r="AW371" s="2" t="s">
        <v>1041</v>
      </c>
      <c r="AX371" s="2" t="str">
        <f t="shared" si="27"/>
        <v>Q47|NIST CSF 2.0</v>
      </c>
      <c r="AY371" s="13" t="s">
        <v>523</v>
      </c>
      <c r="AZ371" s="13" t="s">
        <v>1064</v>
      </c>
      <c r="BA371" s="2">
        <v>1</v>
      </c>
    </row>
    <row r="372" spans="48:53" x14ac:dyDescent="0.2">
      <c r="AV372" s="2" t="s">
        <v>760</v>
      </c>
      <c r="AW372" s="2" t="s">
        <v>710</v>
      </c>
      <c r="AX372" s="2" t="str">
        <f t="shared" si="27"/>
        <v>Q47|NIST PQC</v>
      </c>
      <c r="AY372" s="13" t="s">
        <v>439</v>
      </c>
      <c r="AZ372" s="13" t="s">
        <v>439</v>
      </c>
      <c r="BA372" s="2"/>
    </row>
    <row r="373" spans="48:53" x14ac:dyDescent="0.2">
      <c r="AV373" s="2" t="s">
        <v>760</v>
      </c>
      <c r="AW373" s="2" t="s">
        <v>1042</v>
      </c>
      <c r="AX373" s="2" t="str">
        <f t="shared" si="27"/>
        <v>Q47|CMMC 2.0</v>
      </c>
      <c r="AY373" s="13" t="s">
        <v>502</v>
      </c>
      <c r="AZ373" s="13" t="s">
        <v>1076</v>
      </c>
      <c r="BA373" s="2">
        <v>0.8</v>
      </c>
    </row>
    <row r="374" spans="48:53" x14ac:dyDescent="0.2">
      <c r="AV374" s="2" t="s">
        <v>760</v>
      </c>
      <c r="AW374" s="2" t="s">
        <v>711</v>
      </c>
      <c r="AX374" s="2" t="str">
        <f t="shared" si="27"/>
        <v>Q47|FISMA</v>
      </c>
      <c r="AY374" s="13" t="s">
        <v>503</v>
      </c>
      <c r="AZ374" s="13" t="s">
        <v>1076</v>
      </c>
      <c r="BA374" s="2">
        <v>1</v>
      </c>
    </row>
    <row r="375" spans="48:53" x14ac:dyDescent="0.2">
      <c r="AV375" s="2" t="s">
        <v>760</v>
      </c>
      <c r="AW375" s="2" t="s">
        <v>712</v>
      </c>
      <c r="AX375" s="2" t="str">
        <f t="shared" si="27"/>
        <v>Q47|FedRAMP</v>
      </c>
      <c r="AY375" s="13" t="s">
        <v>503</v>
      </c>
      <c r="AZ375" s="13" t="s">
        <v>1076</v>
      </c>
      <c r="BA375" s="2">
        <v>1</v>
      </c>
    </row>
    <row r="376" spans="48:53" x14ac:dyDescent="0.2">
      <c r="AV376" s="2" t="s">
        <v>760</v>
      </c>
      <c r="AW376" s="2" t="s">
        <v>1043</v>
      </c>
      <c r="AX376" s="2" t="str">
        <f t="shared" si="27"/>
        <v>Q47|ISO 27001</v>
      </c>
      <c r="AY376" s="13" t="s">
        <v>517</v>
      </c>
      <c r="AZ376" s="13" t="s">
        <v>1138</v>
      </c>
      <c r="BA376" s="2">
        <v>1</v>
      </c>
    </row>
    <row r="377" spans="48:53" x14ac:dyDescent="0.2">
      <c r="AV377" s="2" t="s">
        <v>760</v>
      </c>
      <c r="AW377" s="2" t="s">
        <v>713</v>
      </c>
      <c r="AX377" s="2" t="str">
        <f t="shared" si="27"/>
        <v>Q47|SOC2</v>
      </c>
      <c r="AY377" s="13" t="s">
        <v>570</v>
      </c>
      <c r="AZ377" s="13" t="s">
        <v>1192</v>
      </c>
      <c r="BA377" s="2">
        <v>1</v>
      </c>
    </row>
    <row r="378" spans="48:53" x14ac:dyDescent="0.2">
      <c r="AV378" s="2" t="s">
        <v>760</v>
      </c>
      <c r="AW378" s="2" t="s">
        <v>1044</v>
      </c>
      <c r="AX378" s="2" t="str">
        <f t="shared" si="27"/>
        <v>Q47|CIS v8</v>
      </c>
      <c r="AY378" s="13">
        <v>1.8</v>
      </c>
      <c r="AZ378" s="13" t="s">
        <v>1092</v>
      </c>
      <c r="BA378" s="2">
        <v>0.8</v>
      </c>
    </row>
    <row r="379" spans="48:53" x14ac:dyDescent="0.2">
      <c r="AV379" s="2" t="s">
        <v>761</v>
      </c>
      <c r="AW379" s="2" t="s">
        <v>1041</v>
      </c>
      <c r="AX379" s="2" t="str">
        <f t="shared" si="27"/>
        <v>Q48|NIST CSF 2.0</v>
      </c>
      <c r="AY379" s="13" t="s">
        <v>571</v>
      </c>
      <c r="AZ379" s="13" t="s">
        <v>1066</v>
      </c>
      <c r="BA379" s="2">
        <v>1</v>
      </c>
    </row>
    <row r="380" spans="48:53" x14ac:dyDescent="0.2">
      <c r="AV380" s="2" t="s">
        <v>761</v>
      </c>
      <c r="AW380" s="2" t="s">
        <v>710</v>
      </c>
      <c r="AX380" s="2" t="str">
        <f t="shared" si="27"/>
        <v>Q48|NIST PQC</v>
      </c>
      <c r="AY380" s="13" t="s">
        <v>439</v>
      </c>
      <c r="AZ380" s="13" t="s">
        <v>439</v>
      </c>
      <c r="BA380" s="2"/>
    </row>
    <row r="381" spans="48:53" x14ac:dyDescent="0.2">
      <c r="AV381" s="2" t="s">
        <v>761</v>
      </c>
      <c r="AW381" s="2" t="s">
        <v>1042</v>
      </c>
      <c r="AX381" s="2" t="str">
        <f t="shared" si="27"/>
        <v>Q48|CMMC 2.0</v>
      </c>
      <c r="AY381" s="13" t="s">
        <v>572</v>
      </c>
      <c r="AZ381" s="13" t="s">
        <v>1078</v>
      </c>
      <c r="BA381" s="2">
        <v>1</v>
      </c>
    </row>
    <row r="382" spans="48:53" x14ac:dyDescent="0.2">
      <c r="AV382" s="2" t="s">
        <v>761</v>
      </c>
      <c r="AW382" s="2" t="s">
        <v>711</v>
      </c>
      <c r="AX382" s="2" t="str">
        <f t="shared" si="27"/>
        <v>Q48|FISMA</v>
      </c>
      <c r="AY382" s="13" t="s">
        <v>573</v>
      </c>
      <c r="AZ382" s="13" t="s">
        <v>1078</v>
      </c>
      <c r="BA382" s="2">
        <v>1</v>
      </c>
    </row>
    <row r="383" spans="48:53" x14ac:dyDescent="0.2">
      <c r="AV383" s="2" t="s">
        <v>761</v>
      </c>
      <c r="AW383" s="2" t="s">
        <v>712</v>
      </c>
      <c r="AX383" s="2" t="str">
        <f t="shared" si="27"/>
        <v>Q48|FedRAMP</v>
      </c>
      <c r="AY383" s="13" t="s">
        <v>573</v>
      </c>
      <c r="AZ383" s="13" t="s">
        <v>1078</v>
      </c>
      <c r="BA383" s="2">
        <v>1</v>
      </c>
    </row>
    <row r="384" spans="48:53" x14ac:dyDescent="0.2">
      <c r="AV384" s="2" t="s">
        <v>761</v>
      </c>
      <c r="AW384" s="2" t="s">
        <v>1043</v>
      </c>
      <c r="AX384" s="2" t="str">
        <f t="shared" si="27"/>
        <v>Q48|ISO 27001</v>
      </c>
      <c r="AY384" s="13" t="s">
        <v>574</v>
      </c>
      <c r="AZ384" s="13" t="s">
        <v>1148</v>
      </c>
      <c r="BA384" s="2">
        <v>1</v>
      </c>
    </row>
    <row r="385" spans="48:53" x14ac:dyDescent="0.2">
      <c r="AV385" s="2" t="s">
        <v>761</v>
      </c>
      <c r="AW385" s="2" t="s">
        <v>713</v>
      </c>
      <c r="AX385" s="2" t="str">
        <f t="shared" si="27"/>
        <v>Q48|SOC2</v>
      </c>
      <c r="AY385" s="13" t="s">
        <v>522</v>
      </c>
      <c r="AZ385" s="13" t="s">
        <v>1194</v>
      </c>
      <c r="BA385" s="2">
        <v>1</v>
      </c>
    </row>
    <row r="386" spans="48:53" x14ac:dyDescent="0.2">
      <c r="AV386" s="2" t="s">
        <v>761</v>
      </c>
      <c r="AW386" s="2" t="s">
        <v>1044</v>
      </c>
      <c r="AX386" s="2" t="str">
        <f t="shared" si="27"/>
        <v>Q48|CIS v8</v>
      </c>
      <c r="AY386" s="13">
        <v>16.5</v>
      </c>
      <c r="AZ386" s="13" t="s">
        <v>1089</v>
      </c>
      <c r="BA386" s="2">
        <v>0.8</v>
      </c>
    </row>
    <row r="387" spans="48:53" x14ac:dyDescent="0.2">
      <c r="AV387" s="2" t="s">
        <v>762</v>
      </c>
      <c r="AW387" s="2" t="s">
        <v>1041</v>
      </c>
      <c r="AX387" s="2" t="str">
        <f t="shared" si="27"/>
        <v>Q49|NIST CSF 2.0</v>
      </c>
      <c r="AY387" s="13" t="s">
        <v>575</v>
      </c>
      <c r="AZ387" s="13" t="s">
        <v>1064</v>
      </c>
      <c r="BA387" s="2">
        <v>1</v>
      </c>
    </row>
    <row r="388" spans="48:53" x14ac:dyDescent="0.2">
      <c r="AV388" s="2" t="s">
        <v>762</v>
      </c>
      <c r="AW388" s="2" t="s">
        <v>710</v>
      </c>
      <c r="AX388" s="2" t="str">
        <f t="shared" ref="AX388:AX451" si="28">_xlfn.CONCAT(AV388,"|",AW388)</f>
        <v>Q49|NIST PQC</v>
      </c>
      <c r="AY388" s="13" t="s">
        <v>439</v>
      </c>
      <c r="AZ388" s="13" t="s">
        <v>439</v>
      </c>
      <c r="BA388" s="2"/>
    </row>
    <row r="389" spans="48:53" x14ac:dyDescent="0.2">
      <c r="AV389" s="2" t="s">
        <v>762</v>
      </c>
      <c r="AW389" s="2" t="s">
        <v>1042</v>
      </c>
      <c r="AX389" s="2" t="str">
        <f t="shared" si="28"/>
        <v>Q49|CMMC 2.0</v>
      </c>
      <c r="AY389" s="13" t="s">
        <v>439</v>
      </c>
      <c r="AZ389" s="13" t="s">
        <v>439</v>
      </c>
      <c r="BA389" s="2"/>
    </row>
    <row r="390" spans="48:53" x14ac:dyDescent="0.2">
      <c r="AV390" s="2" t="s">
        <v>762</v>
      </c>
      <c r="AW390" s="2" t="s">
        <v>711</v>
      </c>
      <c r="AX390" s="2" t="str">
        <f t="shared" si="28"/>
        <v>Q49|FISMA</v>
      </c>
      <c r="AY390" s="13" t="s">
        <v>577</v>
      </c>
      <c r="AZ390" s="13" t="s">
        <v>1079</v>
      </c>
      <c r="BA390" s="2">
        <v>1</v>
      </c>
    </row>
    <row r="391" spans="48:53" x14ac:dyDescent="0.2">
      <c r="AV391" s="2" t="s">
        <v>762</v>
      </c>
      <c r="AW391" s="2" t="s">
        <v>712</v>
      </c>
      <c r="AX391" s="2" t="str">
        <f t="shared" si="28"/>
        <v>Q49|FedRAMP</v>
      </c>
      <c r="AY391" s="13" t="s">
        <v>577</v>
      </c>
      <c r="AZ391" s="13" t="s">
        <v>1079</v>
      </c>
      <c r="BA391" s="2">
        <v>1</v>
      </c>
    </row>
    <row r="392" spans="48:53" x14ac:dyDescent="0.2">
      <c r="AV392" s="2" t="s">
        <v>762</v>
      </c>
      <c r="AW392" s="2" t="s">
        <v>1043</v>
      </c>
      <c r="AX392" s="2" t="str">
        <f t="shared" si="28"/>
        <v>Q49|ISO 27001</v>
      </c>
      <c r="AY392" s="13" t="s">
        <v>578</v>
      </c>
      <c r="AZ392" s="13" t="s">
        <v>1149</v>
      </c>
      <c r="BA392" s="2">
        <v>1</v>
      </c>
    </row>
    <row r="393" spans="48:53" x14ac:dyDescent="0.2">
      <c r="AV393" s="2" t="s">
        <v>762</v>
      </c>
      <c r="AW393" s="2" t="s">
        <v>713</v>
      </c>
      <c r="AX393" s="2" t="str">
        <f t="shared" si="28"/>
        <v>Q49|SOC2</v>
      </c>
      <c r="AY393" s="13" t="s">
        <v>475</v>
      </c>
      <c r="AZ393" s="13" t="s">
        <v>1193</v>
      </c>
      <c r="BA393" s="2">
        <v>1</v>
      </c>
    </row>
    <row r="394" spans="48:53" x14ac:dyDescent="0.2">
      <c r="AV394" s="2" t="s">
        <v>762</v>
      </c>
      <c r="AW394" s="2" t="s">
        <v>1044</v>
      </c>
      <c r="AX394" s="2" t="str">
        <f t="shared" si="28"/>
        <v>Q49|CIS v8</v>
      </c>
      <c r="AY394" s="13">
        <v>11.1</v>
      </c>
      <c r="AZ394" s="13" t="s">
        <v>1090</v>
      </c>
      <c r="BA394" s="2">
        <v>1</v>
      </c>
    </row>
    <row r="395" spans="48:53" x14ac:dyDescent="0.2">
      <c r="AV395" s="2" t="s">
        <v>763</v>
      </c>
      <c r="AW395" s="2" t="s">
        <v>1041</v>
      </c>
      <c r="AX395" s="2" t="str">
        <f t="shared" si="28"/>
        <v>Q50|NIST CSF 2.0</v>
      </c>
      <c r="AY395" s="13" t="s">
        <v>515</v>
      </c>
      <c r="AZ395" s="13" t="s">
        <v>1064</v>
      </c>
      <c r="BA395" s="2">
        <v>1</v>
      </c>
    </row>
    <row r="396" spans="48:53" x14ac:dyDescent="0.2">
      <c r="AV396" s="2" t="s">
        <v>763</v>
      </c>
      <c r="AW396" s="2" t="s">
        <v>710</v>
      </c>
      <c r="AX396" s="2" t="str">
        <f t="shared" si="28"/>
        <v>Q50|NIST PQC</v>
      </c>
      <c r="AY396" s="13" t="s">
        <v>439</v>
      </c>
      <c r="AZ396" s="13" t="s">
        <v>439</v>
      </c>
      <c r="BA396" s="2"/>
    </row>
    <row r="397" spans="48:53" x14ac:dyDescent="0.2">
      <c r="AV397" s="2" t="s">
        <v>763</v>
      </c>
      <c r="AW397" s="2" t="s">
        <v>1042</v>
      </c>
      <c r="AX397" s="2" t="str">
        <f t="shared" si="28"/>
        <v>Q50|CMMC 2.0</v>
      </c>
      <c r="AY397" s="13" t="s">
        <v>468</v>
      </c>
      <c r="AZ397" s="13" t="s">
        <v>1073</v>
      </c>
      <c r="BA397" s="2">
        <v>0.8</v>
      </c>
    </row>
    <row r="398" spans="48:53" x14ac:dyDescent="0.2">
      <c r="AV398" s="2" t="s">
        <v>763</v>
      </c>
      <c r="AW398" s="2" t="s">
        <v>711</v>
      </c>
      <c r="AX398" s="2" t="str">
        <f t="shared" si="28"/>
        <v>Q50|FISMA</v>
      </c>
      <c r="AY398" s="13" t="s">
        <v>516</v>
      </c>
      <c r="AZ398" s="13" t="s">
        <v>1077</v>
      </c>
      <c r="BA398" s="2">
        <v>1</v>
      </c>
    </row>
    <row r="399" spans="48:53" x14ac:dyDescent="0.2">
      <c r="AV399" s="2" t="s">
        <v>763</v>
      </c>
      <c r="AW399" s="2" t="s">
        <v>712</v>
      </c>
      <c r="AX399" s="2" t="str">
        <f t="shared" si="28"/>
        <v>Q50|FedRAMP</v>
      </c>
      <c r="AY399" s="13" t="s">
        <v>516</v>
      </c>
      <c r="AZ399" s="13" t="s">
        <v>1077</v>
      </c>
      <c r="BA399" s="2">
        <v>1</v>
      </c>
    </row>
    <row r="400" spans="48:53" x14ac:dyDescent="0.2">
      <c r="AV400" s="2" t="s">
        <v>763</v>
      </c>
      <c r="AW400" s="2" t="s">
        <v>1043</v>
      </c>
      <c r="AX400" s="2" t="str">
        <f t="shared" si="28"/>
        <v>Q50|ISO 27001</v>
      </c>
      <c r="AY400" s="13" t="s">
        <v>517</v>
      </c>
      <c r="AZ400" s="13" t="s">
        <v>1138</v>
      </c>
      <c r="BA400" s="2">
        <v>1</v>
      </c>
    </row>
    <row r="401" spans="48:53" x14ac:dyDescent="0.2">
      <c r="AV401" s="2" t="s">
        <v>763</v>
      </c>
      <c r="AW401" s="2" t="s">
        <v>713</v>
      </c>
      <c r="AX401" s="2" t="str">
        <f t="shared" si="28"/>
        <v>Q50|SOC2</v>
      </c>
      <c r="AY401" s="13" t="s">
        <v>470</v>
      </c>
      <c r="AZ401" s="13" t="s">
        <v>1192</v>
      </c>
      <c r="BA401" s="2">
        <v>1</v>
      </c>
    </row>
    <row r="402" spans="48:53" x14ac:dyDescent="0.2">
      <c r="AV402" s="2" t="s">
        <v>763</v>
      </c>
      <c r="AW402" s="2" t="s">
        <v>1044</v>
      </c>
      <c r="AX402" s="2" t="str">
        <f t="shared" si="28"/>
        <v>Q50|CIS v8</v>
      </c>
      <c r="AY402" s="13">
        <v>1.4</v>
      </c>
      <c r="AZ402" s="13" t="s">
        <v>1092</v>
      </c>
      <c r="BA402" s="2">
        <v>0.8</v>
      </c>
    </row>
    <row r="403" spans="48:53" x14ac:dyDescent="0.2">
      <c r="AV403" s="2" t="s">
        <v>764</v>
      </c>
      <c r="AW403" s="2" t="s">
        <v>1041</v>
      </c>
      <c r="AX403" s="2" t="str">
        <f t="shared" si="28"/>
        <v>Q51|NIST CSF 2.0</v>
      </c>
      <c r="AY403" s="13" t="s">
        <v>579</v>
      </c>
      <c r="AZ403" s="13" t="s">
        <v>1067</v>
      </c>
      <c r="BA403" s="2">
        <v>1</v>
      </c>
    </row>
    <row r="404" spans="48:53" x14ac:dyDescent="0.2">
      <c r="AV404" s="2" t="s">
        <v>764</v>
      </c>
      <c r="AW404" s="2" t="s">
        <v>710</v>
      </c>
      <c r="AX404" s="2" t="str">
        <f t="shared" si="28"/>
        <v>Q51|NIST PQC</v>
      </c>
      <c r="AY404" s="13" t="s">
        <v>439</v>
      </c>
      <c r="AZ404" s="13" t="s">
        <v>439</v>
      </c>
      <c r="BA404" s="2"/>
    </row>
    <row r="405" spans="48:53" x14ac:dyDescent="0.2">
      <c r="AV405" s="2" t="s">
        <v>764</v>
      </c>
      <c r="AW405" s="2" t="s">
        <v>1042</v>
      </c>
      <c r="AX405" s="2" t="str">
        <f t="shared" si="28"/>
        <v>Q51|CMMC 2.0</v>
      </c>
      <c r="AY405" s="13" t="s">
        <v>580</v>
      </c>
      <c r="AZ405" s="13" t="s">
        <v>1076</v>
      </c>
      <c r="BA405" s="2">
        <v>1</v>
      </c>
    </row>
    <row r="406" spans="48:53" x14ac:dyDescent="0.2">
      <c r="AV406" s="2" t="s">
        <v>764</v>
      </c>
      <c r="AW406" s="2" t="s">
        <v>711</v>
      </c>
      <c r="AX406" s="2" t="str">
        <f t="shared" si="28"/>
        <v>Q51|FISMA</v>
      </c>
      <c r="AY406" s="13" t="s">
        <v>581</v>
      </c>
      <c r="AZ406" s="13" t="s">
        <v>1076</v>
      </c>
      <c r="BA406" s="2">
        <v>1</v>
      </c>
    </row>
    <row r="407" spans="48:53" x14ac:dyDescent="0.2">
      <c r="AV407" s="2" t="s">
        <v>764</v>
      </c>
      <c r="AW407" s="2" t="s">
        <v>712</v>
      </c>
      <c r="AX407" s="2" t="str">
        <f t="shared" si="28"/>
        <v>Q51|FedRAMP</v>
      </c>
      <c r="AY407" s="13" t="s">
        <v>581</v>
      </c>
      <c r="AZ407" s="13" t="s">
        <v>1076</v>
      </c>
      <c r="BA407" s="2">
        <v>1</v>
      </c>
    </row>
    <row r="408" spans="48:53" x14ac:dyDescent="0.2">
      <c r="AV408" s="2" t="s">
        <v>764</v>
      </c>
      <c r="AW408" s="2" t="s">
        <v>1043</v>
      </c>
      <c r="AX408" s="2" t="str">
        <f t="shared" si="28"/>
        <v>Q51|ISO 27001</v>
      </c>
      <c r="AY408" s="13" t="s">
        <v>582</v>
      </c>
      <c r="AZ408" s="13" t="s">
        <v>1150</v>
      </c>
      <c r="BA408" s="2">
        <v>1</v>
      </c>
    </row>
    <row r="409" spans="48:53" x14ac:dyDescent="0.2">
      <c r="AV409" s="2" t="s">
        <v>764</v>
      </c>
      <c r="AW409" s="2" t="s">
        <v>713</v>
      </c>
      <c r="AX409" s="2" t="str">
        <f t="shared" si="28"/>
        <v>Q51|SOC2</v>
      </c>
      <c r="AY409" s="13" t="s">
        <v>559</v>
      </c>
      <c r="AZ409" s="13" t="s">
        <v>1197</v>
      </c>
      <c r="BA409" s="2">
        <v>1</v>
      </c>
    </row>
    <row r="410" spans="48:53" x14ac:dyDescent="0.2">
      <c r="AV410" s="2" t="s">
        <v>764</v>
      </c>
      <c r="AW410" s="2" t="s">
        <v>1044</v>
      </c>
      <c r="AX410" s="2" t="str">
        <f t="shared" si="28"/>
        <v>Q51|CIS v8</v>
      </c>
      <c r="AY410" s="13">
        <v>1.3</v>
      </c>
      <c r="AZ410" s="13" t="s">
        <v>1092</v>
      </c>
      <c r="BA410" s="2">
        <v>0.8</v>
      </c>
    </row>
    <row r="411" spans="48:53" x14ac:dyDescent="0.2">
      <c r="AV411" s="2" t="s">
        <v>765</v>
      </c>
      <c r="AW411" s="2" t="s">
        <v>1041</v>
      </c>
      <c r="AX411" s="2" t="str">
        <f t="shared" si="28"/>
        <v>Q52|NIST CSF 2.0</v>
      </c>
      <c r="AY411" s="13" t="s">
        <v>583</v>
      </c>
      <c r="AZ411" s="13" t="s">
        <v>1064</v>
      </c>
      <c r="BA411" s="2">
        <v>1</v>
      </c>
    </row>
    <row r="412" spans="48:53" x14ac:dyDescent="0.2">
      <c r="AV412" s="2" t="s">
        <v>765</v>
      </c>
      <c r="AW412" s="2" t="s">
        <v>710</v>
      </c>
      <c r="AX412" s="2" t="str">
        <f t="shared" si="28"/>
        <v>Q52|NIST PQC</v>
      </c>
      <c r="AY412" s="13" t="s">
        <v>439</v>
      </c>
      <c r="AZ412" s="13" t="s">
        <v>439</v>
      </c>
      <c r="BA412" s="2"/>
    </row>
    <row r="413" spans="48:53" x14ac:dyDescent="0.2">
      <c r="AV413" s="2" t="s">
        <v>765</v>
      </c>
      <c r="AW413" s="2" t="s">
        <v>1042</v>
      </c>
      <c r="AX413" s="2" t="str">
        <f t="shared" si="28"/>
        <v>Q52|CMMC 2.0</v>
      </c>
      <c r="AY413" s="13" t="s">
        <v>580</v>
      </c>
      <c r="AZ413" s="13" t="s">
        <v>1076</v>
      </c>
      <c r="BA413" s="2">
        <v>0.8</v>
      </c>
    </row>
    <row r="414" spans="48:53" x14ac:dyDescent="0.2">
      <c r="AV414" s="2" t="s">
        <v>765</v>
      </c>
      <c r="AW414" s="2" t="s">
        <v>711</v>
      </c>
      <c r="AX414" s="2" t="str">
        <f t="shared" si="28"/>
        <v>Q52|FISMA</v>
      </c>
      <c r="AY414" s="13" t="s">
        <v>548</v>
      </c>
      <c r="AZ414" s="13" t="s">
        <v>1084</v>
      </c>
      <c r="BA414" s="2">
        <v>1</v>
      </c>
    </row>
    <row r="415" spans="48:53" x14ac:dyDescent="0.2">
      <c r="AV415" s="2" t="s">
        <v>765</v>
      </c>
      <c r="AW415" s="2" t="s">
        <v>712</v>
      </c>
      <c r="AX415" s="2" t="str">
        <f t="shared" si="28"/>
        <v>Q52|FedRAMP</v>
      </c>
      <c r="AY415" s="13" t="s">
        <v>548</v>
      </c>
      <c r="AZ415" s="13" t="s">
        <v>1084</v>
      </c>
      <c r="BA415" s="2">
        <v>1</v>
      </c>
    </row>
    <row r="416" spans="48:53" x14ac:dyDescent="0.2">
      <c r="AV416" s="2" t="s">
        <v>765</v>
      </c>
      <c r="AW416" s="2" t="s">
        <v>1043</v>
      </c>
      <c r="AX416" s="2" t="str">
        <f t="shared" si="28"/>
        <v>Q52|ISO 27001</v>
      </c>
      <c r="AY416" s="13" t="s">
        <v>582</v>
      </c>
      <c r="AZ416" s="13" t="s">
        <v>1150</v>
      </c>
      <c r="BA416" s="2">
        <v>1</v>
      </c>
    </row>
    <row r="417" spans="48:53" x14ac:dyDescent="0.2">
      <c r="AV417" s="2" t="s">
        <v>765</v>
      </c>
      <c r="AW417" s="2" t="s">
        <v>713</v>
      </c>
      <c r="AX417" s="2" t="str">
        <f t="shared" si="28"/>
        <v>Q52|SOC2</v>
      </c>
      <c r="AY417" s="13" t="s">
        <v>584</v>
      </c>
      <c r="AZ417" s="13" t="s">
        <v>1197</v>
      </c>
      <c r="BA417" s="2">
        <v>1</v>
      </c>
    </row>
    <row r="418" spans="48:53" x14ac:dyDescent="0.2">
      <c r="AV418" s="2" t="s">
        <v>765</v>
      </c>
      <c r="AW418" s="2" t="s">
        <v>1044</v>
      </c>
      <c r="AX418" s="2" t="str">
        <f t="shared" si="28"/>
        <v>Q52|CIS v8</v>
      </c>
      <c r="AY418" s="13">
        <v>1.3</v>
      </c>
      <c r="AZ418" s="13" t="s">
        <v>1092</v>
      </c>
      <c r="BA418" s="2">
        <v>0.8</v>
      </c>
    </row>
    <row r="419" spans="48:53" x14ac:dyDescent="0.2">
      <c r="AV419" s="2" t="s">
        <v>766</v>
      </c>
      <c r="AW419" s="2" t="s">
        <v>1041</v>
      </c>
      <c r="AX419" s="2" t="str">
        <f t="shared" si="28"/>
        <v>Q53|NIST CSF 2.0</v>
      </c>
      <c r="AY419" s="13" t="s">
        <v>585</v>
      </c>
      <c r="AZ419" s="13" t="s">
        <v>1068</v>
      </c>
      <c r="BA419" s="2">
        <v>1</v>
      </c>
    </row>
    <row r="420" spans="48:53" x14ac:dyDescent="0.2">
      <c r="AV420" s="2" t="s">
        <v>766</v>
      </c>
      <c r="AW420" s="2" t="s">
        <v>710</v>
      </c>
      <c r="AX420" s="2" t="str">
        <f t="shared" si="28"/>
        <v>Q53|NIST PQC</v>
      </c>
      <c r="AY420" s="13" t="s">
        <v>439</v>
      </c>
      <c r="AZ420" s="13" t="s">
        <v>439</v>
      </c>
      <c r="BA420" s="2"/>
    </row>
    <row r="421" spans="48:53" x14ac:dyDescent="0.2">
      <c r="AV421" s="2" t="s">
        <v>766</v>
      </c>
      <c r="AW421" s="2" t="s">
        <v>1042</v>
      </c>
      <c r="AX421" s="2" t="str">
        <f t="shared" si="28"/>
        <v>Q53|CMMC 2.0</v>
      </c>
      <c r="AY421" s="13" t="s">
        <v>526</v>
      </c>
      <c r="AZ421" s="13" t="s">
        <v>1076</v>
      </c>
      <c r="BA421" s="2">
        <v>1</v>
      </c>
    </row>
    <row r="422" spans="48:53" x14ac:dyDescent="0.2">
      <c r="AV422" s="2" t="s">
        <v>766</v>
      </c>
      <c r="AW422" s="2" t="s">
        <v>711</v>
      </c>
      <c r="AX422" s="2" t="str">
        <f t="shared" si="28"/>
        <v>Q53|FISMA</v>
      </c>
      <c r="AY422" s="13" t="s">
        <v>569</v>
      </c>
      <c r="AZ422" s="13" t="s">
        <v>1076</v>
      </c>
      <c r="BA422" s="2">
        <v>1</v>
      </c>
    </row>
    <row r="423" spans="48:53" x14ac:dyDescent="0.2">
      <c r="AV423" s="2" t="s">
        <v>766</v>
      </c>
      <c r="AW423" s="2" t="s">
        <v>712</v>
      </c>
      <c r="AX423" s="2" t="str">
        <f t="shared" si="28"/>
        <v>Q53|FedRAMP</v>
      </c>
      <c r="AY423" s="13" t="s">
        <v>569</v>
      </c>
      <c r="AZ423" s="13" t="s">
        <v>1076</v>
      </c>
      <c r="BA423" s="2">
        <v>1</v>
      </c>
    </row>
    <row r="424" spans="48:53" x14ac:dyDescent="0.2">
      <c r="AV424" s="2" t="s">
        <v>766</v>
      </c>
      <c r="AW424" s="2" t="s">
        <v>1043</v>
      </c>
      <c r="AX424" s="2" t="str">
        <f t="shared" si="28"/>
        <v>Q53|ISO 27001</v>
      </c>
      <c r="AY424" s="13" t="s">
        <v>506</v>
      </c>
      <c r="AZ424" s="13" t="s">
        <v>1150</v>
      </c>
      <c r="BA424" s="2">
        <v>1</v>
      </c>
    </row>
    <row r="425" spans="48:53" x14ac:dyDescent="0.2">
      <c r="AV425" s="2" t="s">
        <v>766</v>
      </c>
      <c r="AW425" s="2" t="s">
        <v>713</v>
      </c>
      <c r="AX425" s="2" t="str">
        <f t="shared" si="28"/>
        <v>Q53|SOC2</v>
      </c>
      <c r="AY425" s="13" t="s">
        <v>586</v>
      </c>
      <c r="AZ425" s="13" t="s">
        <v>1198</v>
      </c>
      <c r="BA425" s="2">
        <v>1</v>
      </c>
    </row>
    <row r="426" spans="48:53" x14ac:dyDescent="0.2">
      <c r="AV426" s="2" t="s">
        <v>766</v>
      </c>
      <c r="AW426" s="2" t="s">
        <v>1044</v>
      </c>
      <c r="AX426" s="2" t="str">
        <f t="shared" si="28"/>
        <v>Q53|CIS v8</v>
      </c>
      <c r="AY426" s="13">
        <v>1.9</v>
      </c>
      <c r="AZ426" s="13" t="s">
        <v>1092</v>
      </c>
      <c r="BA426" s="2">
        <v>1</v>
      </c>
    </row>
    <row r="427" spans="48:53" x14ac:dyDescent="0.2">
      <c r="AV427" s="2" t="s">
        <v>767</v>
      </c>
      <c r="AW427" s="2" t="s">
        <v>1041</v>
      </c>
      <c r="AX427" s="2" t="str">
        <f t="shared" si="28"/>
        <v>Q54|NIST CSF 2.0</v>
      </c>
      <c r="AY427" s="13" t="s">
        <v>587</v>
      </c>
      <c r="AZ427" s="13" t="s">
        <v>1068</v>
      </c>
      <c r="BA427" s="2">
        <v>1</v>
      </c>
    </row>
    <row r="428" spans="48:53" x14ac:dyDescent="0.2">
      <c r="AV428" s="2" t="s">
        <v>767</v>
      </c>
      <c r="AW428" s="2" t="s">
        <v>710</v>
      </c>
      <c r="AX428" s="2" t="str">
        <f t="shared" si="28"/>
        <v>Q54|NIST PQC</v>
      </c>
      <c r="AY428" s="13" t="s">
        <v>439</v>
      </c>
      <c r="AZ428" s="13" t="s">
        <v>439</v>
      </c>
      <c r="BA428" s="2"/>
    </row>
    <row r="429" spans="48:53" x14ac:dyDescent="0.2">
      <c r="AV429" s="2" t="s">
        <v>767</v>
      </c>
      <c r="AW429" s="2" t="s">
        <v>1042</v>
      </c>
      <c r="AX429" s="2" t="str">
        <f t="shared" si="28"/>
        <v>Q54|CMMC 2.0</v>
      </c>
      <c r="AY429" s="13" t="s">
        <v>568</v>
      </c>
      <c r="AZ429" s="13" t="s">
        <v>1076</v>
      </c>
      <c r="BA429" s="2">
        <v>1</v>
      </c>
    </row>
    <row r="430" spans="48:53" x14ac:dyDescent="0.2">
      <c r="AV430" s="2" t="s">
        <v>767</v>
      </c>
      <c r="AW430" s="2" t="s">
        <v>711</v>
      </c>
      <c r="AX430" s="2" t="str">
        <f t="shared" si="28"/>
        <v>Q54|FISMA</v>
      </c>
      <c r="AY430" s="13" t="s">
        <v>569</v>
      </c>
      <c r="AZ430" s="13" t="s">
        <v>1076</v>
      </c>
      <c r="BA430" s="2">
        <v>1</v>
      </c>
    </row>
    <row r="431" spans="48:53" x14ac:dyDescent="0.2">
      <c r="AV431" s="2" t="s">
        <v>767</v>
      </c>
      <c r="AW431" s="2" t="s">
        <v>712</v>
      </c>
      <c r="AX431" s="2" t="str">
        <f t="shared" si="28"/>
        <v>Q54|FedRAMP</v>
      </c>
      <c r="AY431" s="13" t="s">
        <v>569</v>
      </c>
      <c r="AZ431" s="13" t="s">
        <v>1076</v>
      </c>
      <c r="BA431" s="2">
        <v>1</v>
      </c>
    </row>
    <row r="432" spans="48:53" x14ac:dyDescent="0.2">
      <c r="AV432" s="2" t="s">
        <v>767</v>
      </c>
      <c r="AW432" s="2" t="s">
        <v>1043</v>
      </c>
      <c r="AX432" s="2" t="str">
        <f t="shared" si="28"/>
        <v>Q54|ISO 27001</v>
      </c>
      <c r="AY432" s="13" t="s">
        <v>588</v>
      </c>
      <c r="AZ432" s="13" t="s">
        <v>1150</v>
      </c>
      <c r="BA432" s="2">
        <v>1</v>
      </c>
    </row>
    <row r="433" spans="48:53" x14ac:dyDescent="0.2">
      <c r="AV433" s="2" t="s">
        <v>767</v>
      </c>
      <c r="AW433" s="2" t="s">
        <v>713</v>
      </c>
      <c r="AX433" s="2" t="str">
        <f t="shared" si="28"/>
        <v>Q54|SOC2</v>
      </c>
      <c r="AY433" s="13" t="s">
        <v>589</v>
      </c>
      <c r="AZ433" s="13" t="s">
        <v>1198</v>
      </c>
      <c r="BA433" s="2">
        <v>1</v>
      </c>
    </row>
    <row r="434" spans="48:53" x14ac:dyDescent="0.2">
      <c r="AV434" s="2" t="s">
        <v>767</v>
      </c>
      <c r="AW434" s="2" t="s">
        <v>1044</v>
      </c>
      <c r="AX434" s="2" t="str">
        <f t="shared" si="28"/>
        <v>Q54|CIS v8</v>
      </c>
      <c r="AY434" s="13">
        <v>1.9</v>
      </c>
      <c r="AZ434" s="13" t="s">
        <v>1092</v>
      </c>
      <c r="BA434" s="2">
        <v>0.8</v>
      </c>
    </row>
    <row r="435" spans="48:53" x14ac:dyDescent="0.2">
      <c r="AV435" s="2" t="s">
        <v>768</v>
      </c>
      <c r="AW435" s="2" t="s">
        <v>1041</v>
      </c>
      <c r="AX435" s="2" t="str">
        <f t="shared" si="28"/>
        <v>Q55|NIST CSF 2.0</v>
      </c>
      <c r="AY435" s="13" t="s">
        <v>518</v>
      </c>
      <c r="AZ435" s="13" t="s">
        <v>1066</v>
      </c>
      <c r="BA435" s="2">
        <v>1</v>
      </c>
    </row>
    <row r="436" spans="48:53" x14ac:dyDescent="0.2">
      <c r="AV436" s="2" t="s">
        <v>768</v>
      </c>
      <c r="AW436" s="2" t="s">
        <v>710</v>
      </c>
      <c r="AX436" s="2" t="str">
        <f t="shared" si="28"/>
        <v>Q55|NIST PQC</v>
      </c>
      <c r="AY436" s="13" t="s">
        <v>439</v>
      </c>
      <c r="AZ436" s="13" t="s">
        <v>439</v>
      </c>
      <c r="BA436" s="2"/>
    </row>
    <row r="437" spans="48:53" x14ac:dyDescent="0.2">
      <c r="AV437" s="2" t="s">
        <v>768</v>
      </c>
      <c r="AW437" s="2" t="s">
        <v>1042</v>
      </c>
      <c r="AX437" s="2" t="str">
        <f t="shared" si="28"/>
        <v>Q55|CMMC 2.0</v>
      </c>
      <c r="AY437" s="13" t="s">
        <v>502</v>
      </c>
      <c r="AZ437" s="13" t="s">
        <v>1076</v>
      </c>
      <c r="BA437" s="2">
        <v>1</v>
      </c>
    </row>
    <row r="438" spans="48:53" x14ac:dyDescent="0.2">
      <c r="AV438" s="2" t="s">
        <v>768</v>
      </c>
      <c r="AW438" s="2" t="s">
        <v>711</v>
      </c>
      <c r="AX438" s="2" t="str">
        <f t="shared" si="28"/>
        <v>Q55|FISMA</v>
      </c>
      <c r="AY438" s="13" t="s">
        <v>520</v>
      </c>
      <c r="AZ438" s="13" t="s">
        <v>1076</v>
      </c>
      <c r="BA438" s="2">
        <v>1</v>
      </c>
    </row>
    <row r="439" spans="48:53" x14ac:dyDescent="0.2">
      <c r="AV439" s="2" t="s">
        <v>768</v>
      </c>
      <c r="AW439" s="2" t="s">
        <v>712</v>
      </c>
      <c r="AX439" s="2" t="str">
        <f t="shared" si="28"/>
        <v>Q55|FedRAMP</v>
      </c>
      <c r="AY439" s="13" t="s">
        <v>520</v>
      </c>
      <c r="AZ439" s="13" t="s">
        <v>1076</v>
      </c>
      <c r="BA439" s="2">
        <v>1</v>
      </c>
    </row>
    <row r="440" spans="48:53" x14ac:dyDescent="0.2">
      <c r="AV440" s="2" t="s">
        <v>768</v>
      </c>
      <c r="AW440" s="2" t="s">
        <v>1043</v>
      </c>
      <c r="AX440" s="2" t="str">
        <f t="shared" si="28"/>
        <v>Q55|ISO 27001</v>
      </c>
      <c r="AY440" s="13" t="s">
        <v>486</v>
      </c>
      <c r="AZ440" s="13" t="s">
        <v>1150</v>
      </c>
      <c r="BA440" s="2">
        <v>1</v>
      </c>
    </row>
    <row r="441" spans="48:53" x14ac:dyDescent="0.2">
      <c r="AV441" s="2" t="s">
        <v>768</v>
      </c>
      <c r="AW441" s="2" t="s">
        <v>713</v>
      </c>
      <c r="AX441" s="2" t="str">
        <f t="shared" si="28"/>
        <v>Q55|SOC2</v>
      </c>
      <c r="AY441" s="13" t="s">
        <v>590</v>
      </c>
      <c r="AZ441" s="13" t="s">
        <v>1198</v>
      </c>
      <c r="BA441" s="2">
        <v>1</v>
      </c>
    </row>
    <row r="442" spans="48:53" x14ac:dyDescent="0.2">
      <c r="AV442" s="2" t="s">
        <v>768</v>
      </c>
      <c r="AW442" s="2" t="s">
        <v>1044</v>
      </c>
      <c r="AX442" s="2" t="str">
        <f t="shared" si="28"/>
        <v>Q55|CIS v8</v>
      </c>
      <c r="AY442" s="13">
        <v>1.1000000000000001</v>
      </c>
      <c r="AZ442" s="13" t="s">
        <v>1092</v>
      </c>
      <c r="BA442" s="2">
        <v>0.8</v>
      </c>
    </row>
    <row r="443" spans="48:53" x14ac:dyDescent="0.2">
      <c r="AV443" s="2" t="s">
        <v>769</v>
      </c>
      <c r="AW443" s="2" t="s">
        <v>1041</v>
      </c>
      <c r="AX443" s="2" t="str">
        <f t="shared" si="28"/>
        <v>Q56|NIST CSF 2.0</v>
      </c>
      <c r="AY443" s="13" t="s">
        <v>591</v>
      </c>
      <c r="AZ443" s="13" t="s">
        <v>1065</v>
      </c>
      <c r="BA443" s="2">
        <v>1</v>
      </c>
    </row>
    <row r="444" spans="48:53" x14ac:dyDescent="0.2">
      <c r="AV444" s="2" t="s">
        <v>769</v>
      </c>
      <c r="AW444" s="2" t="s">
        <v>710</v>
      </c>
      <c r="AX444" s="2" t="str">
        <f t="shared" si="28"/>
        <v>Q56|NIST PQC</v>
      </c>
      <c r="AY444" s="13" t="s">
        <v>439</v>
      </c>
      <c r="AZ444" s="13" t="s">
        <v>439</v>
      </c>
      <c r="BA444" s="2"/>
    </row>
    <row r="445" spans="48:53" x14ac:dyDescent="0.2">
      <c r="AV445" s="2" t="s">
        <v>769</v>
      </c>
      <c r="AW445" s="2" t="s">
        <v>1042</v>
      </c>
      <c r="AX445" s="2" t="str">
        <f t="shared" si="28"/>
        <v>Q56|CMMC 2.0</v>
      </c>
      <c r="AY445" s="13" t="s">
        <v>526</v>
      </c>
      <c r="AZ445" s="13" t="s">
        <v>1076</v>
      </c>
      <c r="BA445" s="2">
        <v>1</v>
      </c>
    </row>
    <row r="446" spans="48:53" x14ac:dyDescent="0.2">
      <c r="AV446" s="2" t="s">
        <v>769</v>
      </c>
      <c r="AW446" s="2" t="s">
        <v>711</v>
      </c>
      <c r="AX446" s="2" t="str">
        <f t="shared" si="28"/>
        <v>Q56|FISMA</v>
      </c>
      <c r="AY446" s="13" t="s">
        <v>503</v>
      </c>
      <c r="AZ446" s="13" t="s">
        <v>1076</v>
      </c>
      <c r="BA446" s="2">
        <v>1</v>
      </c>
    </row>
    <row r="447" spans="48:53" x14ac:dyDescent="0.2">
      <c r="AV447" s="2" t="s">
        <v>769</v>
      </c>
      <c r="AW447" s="2" t="s">
        <v>712</v>
      </c>
      <c r="AX447" s="2" t="str">
        <f t="shared" si="28"/>
        <v>Q56|FedRAMP</v>
      </c>
      <c r="AY447" s="13" t="s">
        <v>503</v>
      </c>
      <c r="AZ447" s="13" t="s">
        <v>1076</v>
      </c>
      <c r="BA447" s="2">
        <v>1</v>
      </c>
    </row>
    <row r="448" spans="48:53" x14ac:dyDescent="0.2">
      <c r="AV448" s="2" t="s">
        <v>769</v>
      </c>
      <c r="AW448" s="2" t="s">
        <v>1043</v>
      </c>
      <c r="AX448" s="2" t="str">
        <f t="shared" si="28"/>
        <v>Q56|ISO 27001</v>
      </c>
      <c r="AY448" s="13" t="s">
        <v>588</v>
      </c>
      <c r="AZ448" s="13" t="s">
        <v>1150</v>
      </c>
      <c r="BA448" s="2">
        <v>1</v>
      </c>
    </row>
    <row r="449" spans="48:53" x14ac:dyDescent="0.2">
      <c r="AV449" s="2" t="s">
        <v>769</v>
      </c>
      <c r="AW449" s="2" t="s">
        <v>713</v>
      </c>
      <c r="AX449" s="2" t="str">
        <f t="shared" si="28"/>
        <v>Q56|SOC2</v>
      </c>
      <c r="AY449" s="13" t="s">
        <v>589</v>
      </c>
      <c r="AZ449" s="13" t="s">
        <v>1198</v>
      </c>
      <c r="BA449" s="2">
        <v>1</v>
      </c>
    </row>
    <row r="450" spans="48:53" x14ac:dyDescent="0.2">
      <c r="AV450" s="2" t="s">
        <v>769</v>
      </c>
      <c r="AW450" s="2" t="s">
        <v>1044</v>
      </c>
      <c r="AX450" s="2" t="str">
        <f t="shared" si="28"/>
        <v>Q56|CIS v8</v>
      </c>
      <c r="AY450" s="13">
        <v>1.9</v>
      </c>
      <c r="AZ450" s="13" t="s">
        <v>1092</v>
      </c>
      <c r="BA450" s="2">
        <v>0.8</v>
      </c>
    </row>
    <row r="451" spans="48:53" x14ac:dyDescent="0.2">
      <c r="AV451" s="2" t="s">
        <v>770</v>
      </c>
      <c r="AW451" s="2" t="s">
        <v>1041</v>
      </c>
      <c r="AX451" s="2" t="str">
        <f t="shared" si="28"/>
        <v>Q57|NIST CSF 2.0</v>
      </c>
      <c r="AY451" s="13" t="s">
        <v>585</v>
      </c>
      <c r="AZ451" s="13" t="s">
        <v>1068</v>
      </c>
      <c r="BA451" s="2">
        <v>1</v>
      </c>
    </row>
    <row r="452" spans="48:53" x14ac:dyDescent="0.2">
      <c r="AV452" s="2" t="s">
        <v>770</v>
      </c>
      <c r="AW452" s="2" t="s">
        <v>710</v>
      </c>
      <c r="AX452" s="2" t="str">
        <f t="shared" ref="AX452:AX515" si="29">_xlfn.CONCAT(AV452,"|",AW452)</f>
        <v>Q57|NIST PQC</v>
      </c>
      <c r="AY452" s="13" t="s">
        <v>439</v>
      </c>
      <c r="AZ452" s="13" t="s">
        <v>439</v>
      </c>
      <c r="BA452" s="2"/>
    </row>
    <row r="453" spans="48:53" x14ac:dyDescent="0.2">
      <c r="AV453" s="2" t="s">
        <v>770</v>
      </c>
      <c r="AW453" s="2" t="s">
        <v>1042</v>
      </c>
      <c r="AX453" s="2" t="str">
        <f t="shared" si="29"/>
        <v>Q57|CMMC 2.0</v>
      </c>
      <c r="AY453" s="13" t="s">
        <v>580</v>
      </c>
      <c r="AZ453" s="13" t="s">
        <v>1076</v>
      </c>
      <c r="BA453" s="2">
        <v>0.8</v>
      </c>
    </row>
    <row r="454" spans="48:53" x14ac:dyDescent="0.2">
      <c r="AV454" s="2" t="s">
        <v>770</v>
      </c>
      <c r="AW454" s="2" t="s">
        <v>711</v>
      </c>
      <c r="AX454" s="2" t="str">
        <f t="shared" si="29"/>
        <v>Q57|FISMA</v>
      </c>
      <c r="AY454" s="13" t="s">
        <v>569</v>
      </c>
      <c r="AZ454" s="13" t="s">
        <v>1076</v>
      </c>
      <c r="BA454" s="2">
        <v>1</v>
      </c>
    </row>
    <row r="455" spans="48:53" x14ac:dyDescent="0.2">
      <c r="AV455" s="2" t="s">
        <v>770</v>
      </c>
      <c r="AW455" s="2" t="s">
        <v>712</v>
      </c>
      <c r="AX455" s="2" t="str">
        <f t="shared" si="29"/>
        <v>Q57|FedRAMP</v>
      </c>
      <c r="AY455" s="13" t="s">
        <v>569</v>
      </c>
      <c r="AZ455" s="13" t="s">
        <v>1076</v>
      </c>
      <c r="BA455" s="2">
        <v>1</v>
      </c>
    </row>
    <row r="456" spans="48:53" x14ac:dyDescent="0.2">
      <c r="AV456" s="2" t="s">
        <v>770</v>
      </c>
      <c r="AW456" s="2" t="s">
        <v>1043</v>
      </c>
      <c r="AX456" s="2" t="str">
        <f t="shared" si="29"/>
        <v>Q57|ISO 27001</v>
      </c>
      <c r="AY456" s="13" t="s">
        <v>592</v>
      </c>
      <c r="AZ456" s="13" t="s">
        <v>1150</v>
      </c>
      <c r="BA456" s="2">
        <v>1</v>
      </c>
    </row>
    <row r="457" spans="48:53" x14ac:dyDescent="0.2">
      <c r="AV457" s="2" t="s">
        <v>770</v>
      </c>
      <c r="AW457" s="2" t="s">
        <v>713</v>
      </c>
      <c r="AX457" s="2" t="str">
        <f t="shared" si="29"/>
        <v>Q57|SOC2</v>
      </c>
      <c r="AY457" s="13" t="s">
        <v>590</v>
      </c>
      <c r="AZ457" s="13" t="s">
        <v>1198</v>
      </c>
      <c r="BA457" s="2">
        <v>1</v>
      </c>
    </row>
    <row r="458" spans="48:53" x14ac:dyDescent="0.2">
      <c r="AV458" s="2" t="s">
        <v>770</v>
      </c>
      <c r="AW458" s="2" t="s">
        <v>1044</v>
      </c>
      <c r="AX458" s="2" t="str">
        <f t="shared" si="29"/>
        <v>Q57|CIS v8</v>
      </c>
      <c r="AY458" s="13">
        <v>1.9</v>
      </c>
      <c r="AZ458" s="13" t="s">
        <v>1092</v>
      </c>
      <c r="BA458" s="2">
        <v>0.8</v>
      </c>
    </row>
    <row r="459" spans="48:53" x14ac:dyDescent="0.2">
      <c r="AV459" s="2" t="s">
        <v>771</v>
      </c>
      <c r="AW459" s="2" t="s">
        <v>1041</v>
      </c>
      <c r="AX459" s="2" t="str">
        <f t="shared" si="29"/>
        <v>Q58|NIST CSF 2.0</v>
      </c>
      <c r="AY459" s="13" t="s">
        <v>593</v>
      </c>
      <c r="AZ459" s="13" t="s">
        <v>1067</v>
      </c>
      <c r="BA459" s="2">
        <v>1</v>
      </c>
    </row>
    <row r="460" spans="48:53" x14ac:dyDescent="0.2">
      <c r="AV460" s="2" t="s">
        <v>771</v>
      </c>
      <c r="AW460" s="2" t="s">
        <v>710</v>
      </c>
      <c r="AX460" s="2" t="str">
        <f t="shared" si="29"/>
        <v>Q58|NIST PQC</v>
      </c>
      <c r="AY460" s="13" t="s">
        <v>439</v>
      </c>
      <c r="AZ460" s="13" t="s">
        <v>439</v>
      </c>
      <c r="BA460" s="2"/>
    </row>
    <row r="461" spans="48:53" x14ac:dyDescent="0.2">
      <c r="AV461" s="2" t="s">
        <v>771</v>
      </c>
      <c r="AW461" s="2" t="s">
        <v>1042</v>
      </c>
      <c r="AX461" s="2" t="str">
        <f t="shared" si="29"/>
        <v>Q58|CMMC 2.0</v>
      </c>
      <c r="AY461" s="13" t="s">
        <v>526</v>
      </c>
      <c r="AZ461" s="13" t="s">
        <v>1076</v>
      </c>
      <c r="BA461" s="2">
        <v>0.8</v>
      </c>
    </row>
    <row r="462" spans="48:53" x14ac:dyDescent="0.2">
      <c r="AV462" s="2" t="s">
        <v>771</v>
      </c>
      <c r="AW462" s="2" t="s">
        <v>711</v>
      </c>
      <c r="AX462" s="2" t="str">
        <f t="shared" si="29"/>
        <v>Q58|FISMA</v>
      </c>
      <c r="AY462" s="13" t="s">
        <v>569</v>
      </c>
      <c r="AZ462" s="13" t="s">
        <v>1076</v>
      </c>
      <c r="BA462" s="2">
        <v>1</v>
      </c>
    </row>
    <row r="463" spans="48:53" x14ac:dyDescent="0.2">
      <c r="AV463" s="2" t="s">
        <v>771</v>
      </c>
      <c r="AW463" s="2" t="s">
        <v>712</v>
      </c>
      <c r="AX463" s="2" t="str">
        <f t="shared" si="29"/>
        <v>Q58|FedRAMP</v>
      </c>
      <c r="AY463" s="13" t="s">
        <v>569</v>
      </c>
      <c r="AZ463" s="13" t="s">
        <v>1076</v>
      </c>
      <c r="BA463" s="2">
        <v>1</v>
      </c>
    </row>
    <row r="464" spans="48:53" x14ac:dyDescent="0.2">
      <c r="AV464" s="2" t="s">
        <v>771</v>
      </c>
      <c r="AW464" s="2" t="s">
        <v>1043</v>
      </c>
      <c r="AX464" s="2" t="str">
        <f t="shared" si="29"/>
        <v>Q58|ISO 27001</v>
      </c>
      <c r="AY464" s="13" t="s">
        <v>506</v>
      </c>
      <c r="AZ464" s="13" t="s">
        <v>1150</v>
      </c>
      <c r="BA464" s="2">
        <v>1</v>
      </c>
    </row>
    <row r="465" spans="48:53" x14ac:dyDescent="0.2">
      <c r="AV465" s="2" t="s">
        <v>771</v>
      </c>
      <c r="AW465" s="2" t="s">
        <v>713</v>
      </c>
      <c r="AX465" s="2" t="str">
        <f t="shared" si="29"/>
        <v>Q58|SOC2</v>
      </c>
      <c r="AY465" s="13" t="s">
        <v>586</v>
      </c>
      <c r="AZ465" s="13" t="s">
        <v>1198</v>
      </c>
      <c r="BA465" s="2">
        <v>1</v>
      </c>
    </row>
    <row r="466" spans="48:53" x14ac:dyDescent="0.2">
      <c r="AV466" s="2" t="s">
        <v>771</v>
      </c>
      <c r="AW466" s="2" t="s">
        <v>1044</v>
      </c>
      <c r="AX466" s="2" t="str">
        <f t="shared" si="29"/>
        <v>Q58|CIS v8</v>
      </c>
      <c r="AY466" s="13">
        <v>1.9</v>
      </c>
      <c r="AZ466" s="13" t="s">
        <v>1092</v>
      </c>
      <c r="BA466" s="2">
        <v>0.8</v>
      </c>
    </row>
    <row r="467" spans="48:53" x14ac:dyDescent="0.2">
      <c r="AV467" s="2" t="s">
        <v>772</v>
      </c>
      <c r="AW467" s="2" t="s">
        <v>1041</v>
      </c>
      <c r="AX467" s="2" t="str">
        <f t="shared" si="29"/>
        <v>Q59|NIST CSF 2.0</v>
      </c>
      <c r="AY467" s="13" t="s">
        <v>545</v>
      </c>
      <c r="AZ467" s="13" t="s">
        <v>1067</v>
      </c>
      <c r="BA467" s="2">
        <v>1</v>
      </c>
    </row>
    <row r="468" spans="48:53" x14ac:dyDescent="0.2">
      <c r="AV468" s="2" t="s">
        <v>772</v>
      </c>
      <c r="AW468" s="2" t="s">
        <v>710</v>
      </c>
      <c r="AX468" s="2" t="str">
        <f t="shared" si="29"/>
        <v>Q59|NIST PQC</v>
      </c>
      <c r="AY468" s="13" t="s">
        <v>439</v>
      </c>
      <c r="AZ468" s="13" t="s">
        <v>439</v>
      </c>
      <c r="BA468" s="2"/>
    </row>
    <row r="469" spans="48:53" x14ac:dyDescent="0.2">
      <c r="AV469" s="2" t="s">
        <v>772</v>
      </c>
      <c r="AW469" s="2" t="s">
        <v>1042</v>
      </c>
      <c r="AX469" s="2" t="str">
        <f t="shared" si="29"/>
        <v>Q59|CMMC 2.0</v>
      </c>
      <c r="AY469" s="13" t="s">
        <v>502</v>
      </c>
      <c r="AZ469" s="13" t="s">
        <v>1076</v>
      </c>
      <c r="BA469" s="2">
        <v>1</v>
      </c>
    </row>
    <row r="470" spans="48:53" x14ac:dyDescent="0.2">
      <c r="AV470" s="2" t="s">
        <v>772</v>
      </c>
      <c r="AW470" s="2" t="s">
        <v>711</v>
      </c>
      <c r="AX470" s="2" t="str">
        <f t="shared" si="29"/>
        <v>Q59|FISMA</v>
      </c>
      <c r="AY470" s="13" t="s">
        <v>594</v>
      </c>
      <c r="AZ470" s="13" t="s">
        <v>1076</v>
      </c>
      <c r="BA470" s="2">
        <v>1</v>
      </c>
    </row>
    <row r="471" spans="48:53" x14ac:dyDescent="0.2">
      <c r="AV471" s="2" t="s">
        <v>772</v>
      </c>
      <c r="AW471" s="2" t="s">
        <v>712</v>
      </c>
      <c r="AX471" s="2" t="str">
        <f t="shared" si="29"/>
        <v>Q59|FedRAMP</v>
      </c>
      <c r="AY471" s="13" t="s">
        <v>594</v>
      </c>
      <c r="AZ471" s="13" t="s">
        <v>1076</v>
      </c>
      <c r="BA471" s="2">
        <v>1</v>
      </c>
    </row>
    <row r="472" spans="48:53" x14ac:dyDescent="0.2">
      <c r="AV472" s="2" t="s">
        <v>772</v>
      </c>
      <c r="AW472" s="2" t="s">
        <v>1043</v>
      </c>
      <c r="AX472" s="2" t="str">
        <f t="shared" si="29"/>
        <v>Q59|ISO 27001</v>
      </c>
      <c r="AY472" s="13" t="s">
        <v>595</v>
      </c>
      <c r="AZ472" s="13" t="s">
        <v>1150</v>
      </c>
      <c r="BA472" s="2">
        <v>1</v>
      </c>
    </row>
    <row r="473" spans="48:53" x14ac:dyDescent="0.2">
      <c r="AV473" s="2" t="s">
        <v>772</v>
      </c>
      <c r="AW473" s="2" t="s">
        <v>713</v>
      </c>
      <c r="AX473" s="2" t="str">
        <f t="shared" si="29"/>
        <v>Q59|SOC2</v>
      </c>
      <c r="AY473" s="13" t="s">
        <v>596</v>
      </c>
      <c r="AZ473" s="13" t="s">
        <v>1198</v>
      </c>
      <c r="BA473" s="2">
        <v>1</v>
      </c>
    </row>
    <row r="474" spans="48:53" x14ac:dyDescent="0.2">
      <c r="AV474" s="2" t="s">
        <v>772</v>
      </c>
      <c r="AW474" s="2" t="s">
        <v>1044</v>
      </c>
      <c r="AX474" s="2" t="str">
        <f t="shared" si="29"/>
        <v>Q59|CIS v8</v>
      </c>
      <c r="AY474" s="13">
        <v>1.1000000000000001</v>
      </c>
      <c r="AZ474" s="13" t="s">
        <v>1092</v>
      </c>
      <c r="BA474" s="2">
        <v>0.8</v>
      </c>
    </row>
    <row r="475" spans="48:53" x14ac:dyDescent="0.2">
      <c r="AV475" s="2" t="s">
        <v>773</v>
      </c>
      <c r="AW475" s="2" t="s">
        <v>1041</v>
      </c>
      <c r="AX475" s="2" t="str">
        <f t="shared" si="29"/>
        <v>Q60|NIST CSF 2.0</v>
      </c>
      <c r="AY475" s="13" t="s">
        <v>597</v>
      </c>
      <c r="AZ475" s="13" t="s">
        <v>1068</v>
      </c>
      <c r="BA475" s="2">
        <v>1</v>
      </c>
    </row>
    <row r="476" spans="48:53" x14ac:dyDescent="0.2">
      <c r="AV476" s="2" t="s">
        <v>773</v>
      </c>
      <c r="AW476" s="2" t="s">
        <v>710</v>
      </c>
      <c r="AX476" s="2" t="str">
        <f t="shared" si="29"/>
        <v>Q60|NIST PQC</v>
      </c>
      <c r="AY476" s="13" t="s">
        <v>439</v>
      </c>
      <c r="AZ476" s="13" t="s">
        <v>439</v>
      </c>
      <c r="BA476" s="2"/>
    </row>
    <row r="477" spans="48:53" x14ac:dyDescent="0.2">
      <c r="AV477" s="2" t="s">
        <v>773</v>
      </c>
      <c r="AW477" s="2" t="s">
        <v>1042</v>
      </c>
      <c r="AX477" s="2" t="str">
        <f t="shared" si="29"/>
        <v>Q60|CMMC 2.0</v>
      </c>
      <c r="AY477" s="13" t="s">
        <v>580</v>
      </c>
      <c r="AZ477" s="13" t="s">
        <v>1076</v>
      </c>
      <c r="BA477" s="2">
        <v>0.8</v>
      </c>
    </row>
    <row r="478" spans="48:53" x14ac:dyDescent="0.2">
      <c r="AV478" s="2" t="s">
        <v>773</v>
      </c>
      <c r="AW478" s="2" t="s">
        <v>711</v>
      </c>
      <c r="AX478" s="2" t="str">
        <f t="shared" si="29"/>
        <v>Q60|FISMA</v>
      </c>
      <c r="AY478" s="13" t="s">
        <v>503</v>
      </c>
      <c r="AZ478" s="13" t="s">
        <v>1076</v>
      </c>
      <c r="BA478" s="2">
        <v>1</v>
      </c>
    </row>
    <row r="479" spans="48:53" x14ac:dyDescent="0.2">
      <c r="AV479" s="2" t="s">
        <v>773</v>
      </c>
      <c r="AW479" s="2" t="s">
        <v>712</v>
      </c>
      <c r="AX479" s="2" t="str">
        <f t="shared" si="29"/>
        <v>Q60|FedRAMP</v>
      </c>
      <c r="AY479" s="13" t="s">
        <v>503</v>
      </c>
      <c r="AZ479" s="13" t="s">
        <v>1076</v>
      </c>
      <c r="BA479" s="2">
        <v>1</v>
      </c>
    </row>
    <row r="480" spans="48:53" x14ac:dyDescent="0.2">
      <c r="AV480" s="2" t="s">
        <v>773</v>
      </c>
      <c r="AW480" s="2" t="s">
        <v>1043</v>
      </c>
      <c r="AX480" s="2" t="str">
        <f t="shared" si="29"/>
        <v>Q60|ISO 27001</v>
      </c>
      <c r="AY480" s="13" t="s">
        <v>486</v>
      </c>
      <c r="AZ480" s="13" t="s">
        <v>1150</v>
      </c>
      <c r="BA480" s="2">
        <v>1</v>
      </c>
    </row>
    <row r="481" spans="48:53" x14ac:dyDescent="0.2">
      <c r="AV481" s="2" t="s">
        <v>773</v>
      </c>
      <c r="AW481" s="2" t="s">
        <v>713</v>
      </c>
      <c r="AX481" s="2" t="str">
        <f t="shared" si="29"/>
        <v>Q60|SOC2</v>
      </c>
      <c r="AY481" s="13" t="s">
        <v>598</v>
      </c>
      <c r="AZ481" s="13" t="s">
        <v>1197</v>
      </c>
      <c r="BA481" s="2">
        <v>1</v>
      </c>
    </row>
    <row r="482" spans="48:53" x14ac:dyDescent="0.2">
      <c r="AV482" s="2" t="s">
        <v>773</v>
      </c>
      <c r="AW482" s="2" t="s">
        <v>1044</v>
      </c>
      <c r="AX482" s="2" t="str">
        <f t="shared" si="29"/>
        <v>Q60|CIS v8</v>
      </c>
      <c r="AY482" s="13">
        <v>1.1100000000000001</v>
      </c>
      <c r="AZ482" s="13" t="s">
        <v>1092</v>
      </c>
      <c r="BA482" s="2">
        <v>0.8</v>
      </c>
    </row>
    <row r="483" spans="48:53" x14ac:dyDescent="0.2">
      <c r="AV483" s="2" t="s">
        <v>774</v>
      </c>
      <c r="AW483" s="2" t="s">
        <v>1041</v>
      </c>
      <c r="AX483" s="2" t="str">
        <f t="shared" si="29"/>
        <v>Q61|NIST CSF 2.0</v>
      </c>
      <c r="AY483" s="13" t="s">
        <v>599</v>
      </c>
      <c r="AZ483" s="13" t="s">
        <v>1068</v>
      </c>
      <c r="BA483" s="2">
        <v>1</v>
      </c>
    </row>
    <row r="484" spans="48:53" x14ac:dyDescent="0.2">
      <c r="AV484" s="2" t="s">
        <v>774</v>
      </c>
      <c r="AW484" s="2" t="s">
        <v>710</v>
      </c>
      <c r="AX484" s="2" t="str">
        <f t="shared" si="29"/>
        <v>Q61|NIST PQC</v>
      </c>
      <c r="AY484" s="13" t="s">
        <v>600</v>
      </c>
      <c r="AZ484" s="13" t="s">
        <v>1096</v>
      </c>
      <c r="BA484" s="2">
        <v>1</v>
      </c>
    </row>
    <row r="485" spans="48:53" x14ac:dyDescent="0.2">
      <c r="AV485" s="2" t="s">
        <v>774</v>
      </c>
      <c r="AW485" s="2" t="s">
        <v>1042</v>
      </c>
      <c r="AX485" s="2" t="str">
        <f t="shared" si="29"/>
        <v>Q61|CMMC 2.0</v>
      </c>
      <c r="AY485" s="13" t="s">
        <v>601</v>
      </c>
      <c r="AZ485" s="13" t="s">
        <v>1071</v>
      </c>
      <c r="BA485" s="2">
        <v>1</v>
      </c>
    </row>
    <row r="486" spans="48:53" x14ac:dyDescent="0.2">
      <c r="AV486" s="2" t="s">
        <v>774</v>
      </c>
      <c r="AW486" s="2" t="s">
        <v>711</v>
      </c>
      <c r="AX486" s="2" t="str">
        <f t="shared" si="29"/>
        <v>Q61|FISMA</v>
      </c>
      <c r="AY486" s="13" t="s">
        <v>602</v>
      </c>
      <c r="AZ486" s="13" t="s">
        <v>1071</v>
      </c>
      <c r="BA486" s="2">
        <v>1</v>
      </c>
    </row>
    <row r="487" spans="48:53" x14ac:dyDescent="0.2">
      <c r="AV487" s="2" t="s">
        <v>774</v>
      </c>
      <c r="AW487" s="2" t="s">
        <v>712</v>
      </c>
      <c r="AX487" s="2" t="str">
        <f t="shared" si="29"/>
        <v>Q61|FedRAMP</v>
      </c>
      <c r="AY487" s="13" t="s">
        <v>602</v>
      </c>
      <c r="AZ487" s="13" t="s">
        <v>1071</v>
      </c>
      <c r="BA487" s="2">
        <v>1</v>
      </c>
    </row>
    <row r="488" spans="48:53" x14ac:dyDescent="0.2">
      <c r="AV488" s="2" t="s">
        <v>774</v>
      </c>
      <c r="AW488" s="2" t="s">
        <v>1043</v>
      </c>
      <c r="AX488" s="2" t="str">
        <f t="shared" si="29"/>
        <v>Q61|ISO 27001</v>
      </c>
      <c r="AY488" s="13" t="s">
        <v>603</v>
      </c>
      <c r="AZ488" s="13" t="s">
        <v>1140</v>
      </c>
      <c r="BA488" s="2">
        <v>1</v>
      </c>
    </row>
    <row r="489" spans="48:53" x14ac:dyDescent="0.2">
      <c r="AV489" s="2" t="s">
        <v>774</v>
      </c>
      <c r="AW489" s="2" t="s">
        <v>713</v>
      </c>
      <c r="AX489" s="2" t="str">
        <f t="shared" si="29"/>
        <v>Q61|SOC2</v>
      </c>
      <c r="AY489" s="13" t="s">
        <v>444</v>
      </c>
      <c r="AZ489" s="13" t="s">
        <v>1191</v>
      </c>
      <c r="BA489" s="2">
        <v>1</v>
      </c>
    </row>
    <row r="490" spans="48:53" x14ac:dyDescent="0.2">
      <c r="AV490" s="2" t="s">
        <v>774</v>
      </c>
      <c r="AW490" s="2" t="s">
        <v>1044</v>
      </c>
      <c r="AX490" s="2" t="str">
        <f t="shared" si="29"/>
        <v>Q61|CIS v8</v>
      </c>
      <c r="AY490" s="13">
        <v>3.11</v>
      </c>
      <c r="AZ490" s="13" t="s">
        <v>1094</v>
      </c>
      <c r="BA490" s="2">
        <v>1</v>
      </c>
    </row>
    <row r="491" spans="48:53" x14ac:dyDescent="0.2">
      <c r="AV491" s="2" t="s">
        <v>775</v>
      </c>
      <c r="AW491" s="2" t="s">
        <v>1041</v>
      </c>
      <c r="AX491" s="2" t="str">
        <f t="shared" si="29"/>
        <v>Q62|NIST CSF 2.0</v>
      </c>
      <c r="AY491" s="13" t="s">
        <v>604</v>
      </c>
      <c r="AZ491" s="13" t="s">
        <v>1068</v>
      </c>
      <c r="BA491" s="2">
        <v>1</v>
      </c>
    </row>
    <row r="492" spans="48:53" x14ac:dyDescent="0.2">
      <c r="AV492" s="2" t="s">
        <v>775</v>
      </c>
      <c r="AW492" s="2" t="s">
        <v>710</v>
      </c>
      <c r="AX492" s="2" t="str">
        <f t="shared" si="29"/>
        <v>Q62|NIST PQC</v>
      </c>
      <c r="AY492" s="13" t="s">
        <v>605</v>
      </c>
      <c r="AZ492" s="13" t="s">
        <v>1096</v>
      </c>
      <c r="BA492" s="2">
        <v>1</v>
      </c>
    </row>
    <row r="493" spans="48:53" x14ac:dyDescent="0.2">
      <c r="AV493" s="2" t="s">
        <v>775</v>
      </c>
      <c r="AW493" s="2" t="s">
        <v>1042</v>
      </c>
      <c r="AX493" s="2" t="str">
        <f t="shared" si="29"/>
        <v>Q62|CMMC 2.0</v>
      </c>
      <c r="AY493" s="13" t="s">
        <v>463</v>
      </c>
      <c r="AZ493" s="13" t="s">
        <v>1071</v>
      </c>
      <c r="BA493" s="2">
        <v>1</v>
      </c>
    </row>
    <row r="494" spans="48:53" x14ac:dyDescent="0.2">
      <c r="AV494" s="2" t="s">
        <v>775</v>
      </c>
      <c r="AW494" s="2" t="s">
        <v>711</v>
      </c>
      <c r="AX494" s="2" t="str">
        <f t="shared" si="29"/>
        <v>Q62|FISMA</v>
      </c>
      <c r="AY494" s="13" t="s">
        <v>606</v>
      </c>
      <c r="AZ494" s="13" t="s">
        <v>1071</v>
      </c>
      <c r="BA494" s="2">
        <v>1</v>
      </c>
    </row>
    <row r="495" spans="48:53" x14ac:dyDescent="0.2">
      <c r="AV495" s="2" t="s">
        <v>775</v>
      </c>
      <c r="AW495" s="2" t="s">
        <v>712</v>
      </c>
      <c r="AX495" s="2" t="str">
        <f t="shared" si="29"/>
        <v>Q62|FedRAMP</v>
      </c>
      <c r="AY495" s="13" t="s">
        <v>606</v>
      </c>
      <c r="AZ495" s="13" t="s">
        <v>1071</v>
      </c>
      <c r="BA495" s="2">
        <v>1</v>
      </c>
    </row>
    <row r="496" spans="48:53" x14ac:dyDescent="0.2">
      <c r="AV496" s="2" t="s">
        <v>775</v>
      </c>
      <c r="AW496" s="2" t="s">
        <v>1043</v>
      </c>
      <c r="AX496" s="2" t="str">
        <f t="shared" si="29"/>
        <v>Q62|ISO 27001</v>
      </c>
      <c r="AY496" s="13" t="s">
        <v>603</v>
      </c>
      <c r="AZ496" s="13" t="s">
        <v>1140</v>
      </c>
      <c r="BA496" s="2">
        <v>1</v>
      </c>
    </row>
    <row r="497" spans="48:53" x14ac:dyDescent="0.2">
      <c r="AV497" s="2" t="s">
        <v>775</v>
      </c>
      <c r="AW497" s="2" t="s">
        <v>713</v>
      </c>
      <c r="AX497" s="2" t="str">
        <f t="shared" si="29"/>
        <v>Q62|SOC2</v>
      </c>
      <c r="AY497" s="13" t="s">
        <v>444</v>
      </c>
      <c r="AZ497" s="13" t="s">
        <v>1191</v>
      </c>
      <c r="BA497" s="2">
        <v>1</v>
      </c>
    </row>
    <row r="498" spans="48:53" x14ac:dyDescent="0.2">
      <c r="AV498" s="2" t="s">
        <v>775</v>
      </c>
      <c r="AW498" s="2" t="s">
        <v>1044</v>
      </c>
      <c r="AX498" s="2" t="str">
        <f t="shared" si="29"/>
        <v>Q62|CIS v8</v>
      </c>
      <c r="AY498" s="13">
        <v>3.13</v>
      </c>
      <c r="AZ498" s="13" t="s">
        <v>1094</v>
      </c>
      <c r="BA498" s="2">
        <v>1</v>
      </c>
    </row>
    <row r="499" spans="48:53" x14ac:dyDescent="0.2">
      <c r="AV499" s="2" t="s">
        <v>776</v>
      </c>
      <c r="AW499" s="2" t="s">
        <v>1041</v>
      </c>
      <c r="AX499" s="2" t="str">
        <f t="shared" si="29"/>
        <v>Q63|NIST CSF 2.0</v>
      </c>
      <c r="AY499" s="13" t="s">
        <v>599</v>
      </c>
      <c r="AZ499" s="13" t="s">
        <v>1068</v>
      </c>
      <c r="BA499" s="2">
        <v>1</v>
      </c>
    </row>
    <row r="500" spans="48:53" x14ac:dyDescent="0.2">
      <c r="AV500" s="2" t="s">
        <v>776</v>
      </c>
      <c r="AW500" s="2" t="s">
        <v>710</v>
      </c>
      <c r="AX500" s="2" t="str">
        <f t="shared" si="29"/>
        <v>Q63|NIST PQC</v>
      </c>
      <c r="AY500" s="13" t="s">
        <v>607</v>
      </c>
      <c r="AZ500" s="13" t="s">
        <v>1096</v>
      </c>
      <c r="BA500" s="2">
        <v>1</v>
      </c>
    </row>
    <row r="501" spans="48:53" x14ac:dyDescent="0.2">
      <c r="AV501" s="2" t="s">
        <v>776</v>
      </c>
      <c r="AW501" s="2" t="s">
        <v>1042</v>
      </c>
      <c r="AX501" s="2" t="str">
        <f t="shared" si="29"/>
        <v>Q63|CMMC 2.0</v>
      </c>
      <c r="AY501" s="13" t="s">
        <v>452</v>
      </c>
      <c r="AZ501" s="13" t="s">
        <v>1071</v>
      </c>
      <c r="BA501" s="2">
        <v>0.8</v>
      </c>
    </row>
    <row r="502" spans="48:53" x14ac:dyDescent="0.2">
      <c r="AV502" s="2" t="s">
        <v>776</v>
      </c>
      <c r="AW502" s="2" t="s">
        <v>711</v>
      </c>
      <c r="AX502" s="2" t="str">
        <f t="shared" si="29"/>
        <v>Q63|FISMA</v>
      </c>
      <c r="AY502" s="13" t="s">
        <v>453</v>
      </c>
      <c r="AZ502" s="13" t="s">
        <v>1071</v>
      </c>
      <c r="BA502" s="2">
        <v>1</v>
      </c>
    </row>
    <row r="503" spans="48:53" x14ac:dyDescent="0.2">
      <c r="AV503" s="2" t="s">
        <v>776</v>
      </c>
      <c r="AW503" s="2" t="s">
        <v>712</v>
      </c>
      <c r="AX503" s="2" t="str">
        <f t="shared" si="29"/>
        <v>Q63|FedRAMP</v>
      </c>
      <c r="AY503" s="13" t="s">
        <v>453</v>
      </c>
      <c r="AZ503" s="13" t="s">
        <v>1071</v>
      </c>
      <c r="BA503" s="2">
        <v>1</v>
      </c>
    </row>
    <row r="504" spans="48:53" x14ac:dyDescent="0.2">
      <c r="AV504" s="2" t="s">
        <v>776</v>
      </c>
      <c r="AW504" s="2" t="s">
        <v>1043</v>
      </c>
      <c r="AX504" s="2" t="str">
        <f t="shared" si="29"/>
        <v>Q63|ISO 27001</v>
      </c>
      <c r="AY504" s="13" t="s">
        <v>603</v>
      </c>
      <c r="AZ504" s="13" t="s">
        <v>1140</v>
      </c>
      <c r="BA504" s="2">
        <v>0.8</v>
      </c>
    </row>
    <row r="505" spans="48:53" x14ac:dyDescent="0.2">
      <c r="AV505" s="2" t="s">
        <v>776</v>
      </c>
      <c r="AW505" s="2" t="s">
        <v>713</v>
      </c>
      <c r="AX505" s="2" t="str">
        <f t="shared" si="29"/>
        <v>Q63|SOC2</v>
      </c>
      <c r="AY505" s="13" t="s">
        <v>444</v>
      </c>
      <c r="AZ505" s="13" t="s">
        <v>1191</v>
      </c>
      <c r="BA505" s="2">
        <v>0.8</v>
      </c>
    </row>
    <row r="506" spans="48:53" x14ac:dyDescent="0.2">
      <c r="AV506" s="2" t="s">
        <v>776</v>
      </c>
      <c r="AW506" s="2" t="s">
        <v>1044</v>
      </c>
      <c r="AX506" s="2" t="str">
        <f t="shared" si="29"/>
        <v>Q63|CIS v8</v>
      </c>
      <c r="AY506" s="13">
        <v>3.11</v>
      </c>
      <c r="AZ506" s="13" t="s">
        <v>1094</v>
      </c>
      <c r="BA506" s="2">
        <v>0.8</v>
      </c>
    </row>
    <row r="507" spans="48:53" x14ac:dyDescent="0.2">
      <c r="AV507" s="2" t="s">
        <v>777</v>
      </c>
      <c r="AW507" s="2" t="s">
        <v>1041</v>
      </c>
      <c r="AX507" s="2" t="str">
        <f t="shared" si="29"/>
        <v>Q64|NIST CSF 2.0</v>
      </c>
      <c r="AY507" s="13" t="s">
        <v>608</v>
      </c>
      <c r="AZ507" s="13" t="s">
        <v>1068</v>
      </c>
      <c r="BA507" s="2">
        <v>1</v>
      </c>
    </row>
    <row r="508" spans="48:53" x14ac:dyDescent="0.2">
      <c r="AV508" s="2" t="s">
        <v>777</v>
      </c>
      <c r="AW508" s="2" t="s">
        <v>710</v>
      </c>
      <c r="AX508" s="2" t="str">
        <f t="shared" si="29"/>
        <v>Q64|NIST PQC</v>
      </c>
      <c r="AY508" s="13" t="s">
        <v>609</v>
      </c>
      <c r="AZ508" s="13" t="s">
        <v>1096</v>
      </c>
      <c r="BA508" s="2">
        <v>1</v>
      </c>
    </row>
    <row r="509" spans="48:53" x14ac:dyDescent="0.2">
      <c r="AV509" s="2" t="s">
        <v>777</v>
      </c>
      <c r="AW509" s="2" t="s">
        <v>1042</v>
      </c>
      <c r="AX509" s="2" t="str">
        <f t="shared" si="29"/>
        <v>Q64|CMMC 2.0</v>
      </c>
      <c r="AY509" s="13" t="s">
        <v>452</v>
      </c>
      <c r="AZ509" s="13" t="s">
        <v>1071</v>
      </c>
      <c r="BA509" s="2">
        <v>0.8</v>
      </c>
    </row>
    <row r="510" spans="48:53" x14ac:dyDescent="0.2">
      <c r="AV510" s="2" t="s">
        <v>777</v>
      </c>
      <c r="AW510" s="2" t="s">
        <v>711</v>
      </c>
      <c r="AX510" s="2" t="str">
        <f t="shared" si="29"/>
        <v>Q64|FISMA</v>
      </c>
      <c r="AY510" s="13" t="s">
        <v>453</v>
      </c>
      <c r="AZ510" s="13" t="s">
        <v>1071</v>
      </c>
      <c r="BA510" s="2">
        <v>1</v>
      </c>
    </row>
    <row r="511" spans="48:53" x14ac:dyDescent="0.2">
      <c r="AV511" s="2" t="s">
        <v>777</v>
      </c>
      <c r="AW511" s="2" t="s">
        <v>712</v>
      </c>
      <c r="AX511" s="2" t="str">
        <f t="shared" si="29"/>
        <v>Q64|FedRAMP</v>
      </c>
      <c r="AY511" s="13" t="s">
        <v>453</v>
      </c>
      <c r="AZ511" s="13" t="s">
        <v>1071</v>
      </c>
      <c r="BA511" s="2">
        <v>1</v>
      </c>
    </row>
    <row r="512" spans="48:53" x14ac:dyDescent="0.2">
      <c r="AV512" s="2" t="s">
        <v>777</v>
      </c>
      <c r="AW512" s="2" t="s">
        <v>1043</v>
      </c>
      <c r="AX512" s="2" t="str">
        <f t="shared" si="29"/>
        <v>Q64|ISO 27001</v>
      </c>
      <c r="AY512" s="13" t="s">
        <v>603</v>
      </c>
      <c r="AZ512" s="13" t="s">
        <v>1140</v>
      </c>
      <c r="BA512" s="2">
        <v>0.8</v>
      </c>
    </row>
    <row r="513" spans="48:53" x14ac:dyDescent="0.2">
      <c r="AV513" s="2" t="s">
        <v>777</v>
      </c>
      <c r="AW513" s="2" t="s">
        <v>713</v>
      </c>
      <c r="AX513" s="2" t="str">
        <f t="shared" si="29"/>
        <v>Q64|SOC2</v>
      </c>
      <c r="AY513" s="13" t="s">
        <v>610</v>
      </c>
      <c r="AZ513" s="13" t="s">
        <v>1191</v>
      </c>
      <c r="BA513" s="2">
        <v>0.8</v>
      </c>
    </row>
    <row r="514" spans="48:53" x14ac:dyDescent="0.2">
      <c r="AV514" s="2" t="s">
        <v>777</v>
      </c>
      <c r="AW514" s="2" t="s">
        <v>1044</v>
      </c>
      <c r="AX514" s="2" t="str">
        <f t="shared" si="29"/>
        <v>Q64|CIS v8</v>
      </c>
      <c r="AY514" s="13">
        <v>3.11</v>
      </c>
      <c r="AZ514" s="13" t="s">
        <v>1094</v>
      </c>
      <c r="BA514" s="2">
        <v>0.6</v>
      </c>
    </row>
    <row r="515" spans="48:53" x14ac:dyDescent="0.2">
      <c r="AV515" s="2" t="s">
        <v>778</v>
      </c>
      <c r="AW515" s="2" t="s">
        <v>1041</v>
      </c>
      <c r="AX515" s="2" t="str">
        <f t="shared" si="29"/>
        <v>Q65|NIST CSF 2.0</v>
      </c>
      <c r="AY515" s="13" t="s">
        <v>599</v>
      </c>
      <c r="AZ515" s="13" t="s">
        <v>1068</v>
      </c>
      <c r="BA515" s="2">
        <v>1</v>
      </c>
    </row>
    <row r="516" spans="48:53" x14ac:dyDescent="0.2">
      <c r="AV516" s="2" t="s">
        <v>778</v>
      </c>
      <c r="AW516" s="2" t="s">
        <v>710</v>
      </c>
      <c r="AX516" s="2" t="str">
        <f t="shared" ref="AX516:AX579" si="30">_xlfn.CONCAT(AV516,"|",AW516)</f>
        <v>Q65|NIST PQC</v>
      </c>
      <c r="AY516" s="13" t="s">
        <v>611</v>
      </c>
      <c r="AZ516" s="13" t="s">
        <v>1096</v>
      </c>
      <c r="BA516" s="2">
        <v>1</v>
      </c>
    </row>
    <row r="517" spans="48:53" x14ac:dyDescent="0.2">
      <c r="AV517" s="2" t="s">
        <v>778</v>
      </c>
      <c r="AW517" s="2" t="s">
        <v>1042</v>
      </c>
      <c r="AX517" s="2" t="str">
        <f t="shared" si="30"/>
        <v>Q65|CMMC 2.0</v>
      </c>
      <c r="AY517" s="13" t="s">
        <v>452</v>
      </c>
      <c r="AZ517" s="13" t="s">
        <v>1071</v>
      </c>
      <c r="BA517" s="2">
        <v>1</v>
      </c>
    </row>
    <row r="518" spans="48:53" x14ac:dyDescent="0.2">
      <c r="AV518" s="2" t="s">
        <v>778</v>
      </c>
      <c r="AW518" s="2" t="s">
        <v>711</v>
      </c>
      <c r="AX518" s="2" t="str">
        <f t="shared" si="30"/>
        <v>Q65|FISMA</v>
      </c>
      <c r="AY518" s="13" t="s">
        <v>453</v>
      </c>
      <c r="AZ518" s="13" t="s">
        <v>1071</v>
      </c>
      <c r="BA518" s="2">
        <v>1</v>
      </c>
    </row>
    <row r="519" spans="48:53" x14ac:dyDescent="0.2">
      <c r="AV519" s="2" t="s">
        <v>778</v>
      </c>
      <c r="AW519" s="2" t="s">
        <v>712</v>
      </c>
      <c r="AX519" s="2" t="str">
        <f t="shared" si="30"/>
        <v>Q65|FedRAMP</v>
      </c>
      <c r="AY519" s="13" t="s">
        <v>453</v>
      </c>
      <c r="AZ519" s="13" t="s">
        <v>1071</v>
      </c>
      <c r="BA519" s="2">
        <v>1</v>
      </c>
    </row>
    <row r="520" spans="48:53" x14ac:dyDescent="0.2">
      <c r="AV520" s="2" t="s">
        <v>778</v>
      </c>
      <c r="AW520" s="2" t="s">
        <v>1043</v>
      </c>
      <c r="AX520" s="2" t="str">
        <f t="shared" si="30"/>
        <v>Q65|ISO 27001</v>
      </c>
      <c r="AY520" s="13" t="s">
        <v>603</v>
      </c>
      <c r="AZ520" s="13" t="s">
        <v>1140</v>
      </c>
      <c r="BA520" s="2">
        <v>1</v>
      </c>
    </row>
    <row r="521" spans="48:53" x14ac:dyDescent="0.2">
      <c r="AV521" s="2" t="s">
        <v>778</v>
      </c>
      <c r="AW521" s="2" t="s">
        <v>713</v>
      </c>
      <c r="AX521" s="2" t="str">
        <f t="shared" si="30"/>
        <v>Q65|SOC2</v>
      </c>
      <c r="AY521" s="13" t="s">
        <v>444</v>
      </c>
      <c r="AZ521" s="13" t="s">
        <v>1191</v>
      </c>
      <c r="BA521" s="2">
        <v>1</v>
      </c>
    </row>
    <row r="522" spans="48:53" x14ac:dyDescent="0.2">
      <c r="AV522" s="2" t="s">
        <v>778</v>
      </c>
      <c r="AW522" s="2" t="s">
        <v>1044</v>
      </c>
      <c r="AX522" s="2" t="str">
        <f t="shared" si="30"/>
        <v>Q65|CIS v8</v>
      </c>
      <c r="AY522" s="13">
        <v>3.11</v>
      </c>
      <c r="AZ522" s="13" t="s">
        <v>1094</v>
      </c>
      <c r="BA522" s="2">
        <v>1</v>
      </c>
    </row>
    <row r="523" spans="48:53" x14ac:dyDescent="0.2">
      <c r="AV523" s="2" t="s">
        <v>779</v>
      </c>
      <c r="AW523" s="2" t="s">
        <v>1041</v>
      </c>
      <c r="AX523" s="2" t="str">
        <f t="shared" si="30"/>
        <v>Q66|NIST CSF 2.0</v>
      </c>
      <c r="AY523" s="13" t="s">
        <v>612</v>
      </c>
      <c r="AZ523" s="13" t="s">
        <v>1068</v>
      </c>
      <c r="BA523" s="2">
        <v>1</v>
      </c>
    </row>
    <row r="524" spans="48:53" x14ac:dyDescent="0.2">
      <c r="AV524" s="2" t="s">
        <v>779</v>
      </c>
      <c r="AW524" s="2" t="s">
        <v>710</v>
      </c>
      <c r="AX524" s="2" t="str">
        <f t="shared" si="30"/>
        <v>Q66|NIST PQC</v>
      </c>
      <c r="AY524" s="13" t="s">
        <v>439</v>
      </c>
      <c r="AZ524" s="13" t="s">
        <v>439</v>
      </c>
      <c r="BA524" s="2"/>
    </row>
    <row r="525" spans="48:53" x14ac:dyDescent="0.2">
      <c r="AV525" s="2" t="s">
        <v>779</v>
      </c>
      <c r="AW525" s="2" t="s">
        <v>1042</v>
      </c>
      <c r="AX525" s="2" t="str">
        <f t="shared" si="30"/>
        <v>Q66|CMMC 2.0</v>
      </c>
      <c r="AY525" s="13" t="s">
        <v>613</v>
      </c>
      <c r="AZ525" s="13" t="s">
        <v>1080</v>
      </c>
      <c r="BA525" s="2">
        <v>1</v>
      </c>
    </row>
    <row r="526" spans="48:53" x14ac:dyDescent="0.2">
      <c r="AV526" s="2" t="s">
        <v>779</v>
      </c>
      <c r="AW526" s="2" t="s">
        <v>711</v>
      </c>
      <c r="AX526" s="2" t="str">
        <f t="shared" si="30"/>
        <v>Q66|FISMA</v>
      </c>
      <c r="AY526" s="13" t="s">
        <v>614</v>
      </c>
      <c r="AZ526" s="13" t="s">
        <v>1080</v>
      </c>
      <c r="BA526" s="2">
        <v>1</v>
      </c>
    </row>
    <row r="527" spans="48:53" x14ac:dyDescent="0.2">
      <c r="AV527" s="2" t="s">
        <v>779</v>
      </c>
      <c r="AW527" s="2" t="s">
        <v>712</v>
      </c>
      <c r="AX527" s="2" t="str">
        <f t="shared" si="30"/>
        <v>Q66|FedRAMP</v>
      </c>
      <c r="AY527" s="13" t="s">
        <v>614</v>
      </c>
      <c r="AZ527" s="13" t="s">
        <v>1080</v>
      </c>
      <c r="BA527" s="2">
        <v>1</v>
      </c>
    </row>
    <row r="528" spans="48:53" x14ac:dyDescent="0.2">
      <c r="AV528" s="2" t="s">
        <v>779</v>
      </c>
      <c r="AW528" s="2" t="s">
        <v>1043</v>
      </c>
      <c r="AX528" s="2" t="str">
        <f t="shared" si="30"/>
        <v>Q66|ISO 27001</v>
      </c>
      <c r="AY528" s="13" t="s">
        <v>615</v>
      </c>
      <c r="AZ528" s="13" t="s">
        <v>1141</v>
      </c>
      <c r="BA528" s="2">
        <v>1</v>
      </c>
    </row>
    <row r="529" spans="48:53" x14ac:dyDescent="0.2">
      <c r="AV529" s="2" t="s">
        <v>779</v>
      </c>
      <c r="AW529" s="2" t="s">
        <v>713</v>
      </c>
      <c r="AX529" s="2" t="str">
        <f t="shared" si="30"/>
        <v>Q66|SOC2</v>
      </c>
      <c r="AY529" s="13" t="s">
        <v>444</v>
      </c>
      <c r="AZ529" s="13" t="s">
        <v>1191</v>
      </c>
      <c r="BA529" s="2">
        <v>1</v>
      </c>
    </row>
    <row r="530" spans="48:53" x14ac:dyDescent="0.2">
      <c r="AV530" s="2" t="s">
        <v>779</v>
      </c>
      <c r="AW530" s="2" t="s">
        <v>1044</v>
      </c>
      <c r="AX530" s="2" t="str">
        <f t="shared" si="30"/>
        <v>Q66|CIS v8</v>
      </c>
      <c r="AY530" s="13">
        <v>3.12</v>
      </c>
      <c r="AZ530" s="13" t="s">
        <v>1094</v>
      </c>
      <c r="BA530" s="2">
        <v>1</v>
      </c>
    </row>
    <row r="531" spans="48:53" x14ac:dyDescent="0.2">
      <c r="AV531" s="2" t="s">
        <v>780</v>
      </c>
      <c r="AW531" s="2" t="s">
        <v>1041</v>
      </c>
      <c r="AX531" s="2" t="str">
        <f t="shared" si="30"/>
        <v>Q67|NIST CSF 2.0</v>
      </c>
      <c r="AY531" s="13" t="s">
        <v>599</v>
      </c>
      <c r="AZ531" s="13" t="s">
        <v>1068</v>
      </c>
      <c r="BA531" s="2">
        <v>0.8</v>
      </c>
    </row>
    <row r="532" spans="48:53" x14ac:dyDescent="0.2">
      <c r="AV532" s="2" t="s">
        <v>780</v>
      </c>
      <c r="AW532" s="2" t="s">
        <v>710</v>
      </c>
      <c r="AX532" s="2" t="str">
        <f t="shared" si="30"/>
        <v>Q67|NIST PQC</v>
      </c>
      <c r="AY532" s="13" t="s">
        <v>616</v>
      </c>
      <c r="AZ532" s="13" t="s">
        <v>1096</v>
      </c>
      <c r="BA532" s="2">
        <v>0.8</v>
      </c>
    </row>
    <row r="533" spans="48:53" x14ac:dyDescent="0.2">
      <c r="AV533" s="2" t="s">
        <v>780</v>
      </c>
      <c r="AW533" s="2" t="s">
        <v>1042</v>
      </c>
      <c r="AX533" s="2" t="str">
        <f t="shared" si="30"/>
        <v>Q67|CMMC 2.0</v>
      </c>
      <c r="AY533" s="13" t="s">
        <v>452</v>
      </c>
      <c r="AZ533" s="13" t="s">
        <v>1071</v>
      </c>
      <c r="BA533" s="2">
        <v>0.6</v>
      </c>
    </row>
    <row r="534" spans="48:53" x14ac:dyDescent="0.2">
      <c r="AV534" s="2" t="s">
        <v>780</v>
      </c>
      <c r="AW534" s="2" t="s">
        <v>711</v>
      </c>
      <c r="AX534" s="2" t="str">
        <f t="shared" si="30"/>
        <v>Q67|FISMA</v>
      </c>
      <c r="AY534" s="13" t="s">
        <v>453</v>
      </c>
      <c r="AZ534" s="13" t="s">
        <v>1071</v>
      </c>
      <c r="BA534" s="2">
        <v>0.8</v>
      </c>
    </row>
    <row r="535" spans="48:53" x14ac:dyDescent="0.2">
      <c r="AV535" s="2" t="s">
        <v>780</v>
      </c>
      <c r="AW535" s="2" t="s">
        <v>712</v>
      </c>
      <c r="AX535" s="2" t="str">
        <f t="shared" si="30"/>
        <v>Q67|FedRAMP</v>
      </c>
      <c r="AY535" s="13" t="s">
        <v>453</v>
      </c>
      <c r="AZ535" s="13" t="s">
        <v>1071</v>
      </c>
      <c r="BA535" s="2">
        <v>0.8</v>
      </c>
    </row>
    <row r="536" spans="48:53" x14ac:dyDescent="0.2">
      <c r="AV536" s="2" t="s">
        <v>780</v>
      </c>
      <c r="AW536" s="2" t="s">
        <v>1043</v>
      </c>
      <c r="AX536" s="2" t="str">
        <f t="shared" si="30"/>
        <v>Q67|ISO 27001</v>
      </c>
      <c r="AY536" s="13" t="s">
        <v>603</v>
      </c>
      <c r="AZ536" s="13" t="s">
        <v>1140</v>
      </c>
      <c r="BA536" s="2">
        <v>0.6</v>
      </c>
    </row>
    <row r="537" spans="48:53" x14ac:dyDescent="0.2">
      <c r="AV537" s="2" t="s">
        <v>780</v>
      </c>
      <c r="AW537" s="2" t="s">
        <v>713</v>
      </c>
      <c r="AX537" s="2" t="str">
        <f t="shared" si="30"/>
        <v>Q67|SOC2</v>
      </c>
      <c r="AY537" s="13" t="s">
        <v>444</v>
      </c>
      <c r="AZ537" s="13" t="s">
        <v>1191</v>
      </c>
      <c r="BA537" s="2">
        <v>0.6</v>
      </c>
    </row>
    <row r="538" spans="48:53" x14ac:dyDescent="0.2">
      <c r="AV538" s="2" t="s">
        <v>780</v>
      </c>
      <c r="AW538" s="2" t="s">
        <v>1044</v>
      </c>
      <c r="AX538" s="2" t="str">
        <f t="shared" si="30"/>
        <v>Q67|CIS v8</v>
      </c>
      <c r="AY538" s="13">
        <v>3.11</v>
      </c>
      <c r="AZ538" s="13" t="s">
        <v>1094</v>
      </c>
      <c r="BA538" s="2">
        <v>0.6</v>
      </c>
    </row>
    <row r="539" spans="48:53" x14ac:dyDescent="0.2">
      <c r="AV539" s="2" t="s">
        <v>781</v>
      </c>
      <c r="AW539" s="2" t="s">
        <v>1041</v>
      </c>
      <c r="AX539" s="2" t="str">
        <f t="shared" si="30"/>
        <v>Q68|NIST CSF 2.0</v>
      </c>
      <c r="AY539" s="13" t="s">
        <v>599</v>
      </c>
      <c r="AZ539" s="13" t="s">
        <v>1068</v>
      </c>
      <c r="BA539" s="2">
        <v>1</v>
      </c>
    </row>
    <row r="540" spans="48:53" x14ac:dyDescent="0.2">
      <c r="AV540" s="2" t="s">
        <v>781</v>
      </c>
      <c r="AW540" s="2" t="s">
        <v>710</v>
      </c>
      <c r="AX540" s="2" t="str">
        <f t="shared" si="30"/>
        <v>Q68|NIST PQC</v>
      </c>
      <c r="AY540" s="13" t="s">
        <v>617</v>
      </c>
      <c r="AZ540" s="13" t="s">
        <v>1096</v>
      </c>
      <c r="BA540" s="2">
        <v>1</v>
      </c>
    </row>
    <row r="541" spans="48:53" x14ac:dyDescent="0.2">
      <c r="AV541" s="2" t="s">
        <v>781</v>
      </c>
      <c r="AW541" s="2" t="s">
        <v>1042</v>
      </c>
      <c r="AX541" s="2" t="str">
        <f t="shared" si="30"/>
        <v>Q68|CMMC 2.0</v>
      </c>
      <c r="AY541" s="13" t="s">
        <v>601</v>
      </c>
      <c r="AZ541" s="13" t="s">
        <v>1071</v>
      </c>
      <c r="BA541" s="2">
        <v>0.8</v>
      </c>
    </row>
    <row r="542" spans="48:53" x14ac:dyDescent="0.2">
      <c r="AV542" s="2" t="s">
        <v>781</v>
      </c>
      <c r="AW542" s="2" t="s">
        <v>711</v>
      </c>
      <c r="AX542" s="2" t="str">
        <f t="shared" si="30"/>
        <v>Q68|FISMA</v>
      </c>
      <c r="AY542" s="13" t="s">
        <v>602</v>
      </c>
      <c r="AZ542" s="13" t="s">
        <v>1071</v>
      </c>
      <c r="BA542" s="2">
        <v>1</v>
      </c>
    </row>
    <row r="543" spans="48:53" x14ac:dyDescent="0.2">
      <c r="AV543" s="2" t="s">
        <v>781</v>
      </c>
      <c r="AW543" s="2" t="s">
        <v>712</v>
      </c>
      <c r="AX543" s="2" t="str">
        <f t="shared" si="30"/>
        <v>Q68|FedRAMP</v>
      </c>
      <c r="AY543" s="13" t="s">
        <v>602</v>
      </c>
      <c r="AZ543" s="13" t="s">
        <v>1071</v>
      </c>
      <c r="BA543" s="2">
        <v>1</v>
      </c>
    </row>
    <row r="544" spans="48:53" x14ac:dyDescent="0.2">
      <c r="AV544" s="2" t="s">
        <v>781</v>
      </c>
      <c r="AW544" s="2" t="s">
        <v>1043</v>
      </c>
      <c r="AX544" s="2" t="str">
        <f t="shared" si="30"/>
        <v>Q68|ISO 27001</v>
      </c>
      <c r="AY544" s="13" t="s">
        <v>603</v>
      </c>
      <c r="AZ544" s="13" t="s">
        <v>1140</v>
      </c>
      <c r="BA544" s="2">
        <v>0.8</v>
      </c>
    </row>
    <row r="545" spans="48:53" x14ac:dyDescent="0.2">
      <c r="AV545" s="2" t="s">
        <v>781</v>
      </c>
      <c r="AW545" s="2" t="s">
        <v>713</v>
      </c>
      <c r="AX545" s="2" t="str">
        <f t="shared" si="30"/>
        <v>Q68|SOC2</v>
      </c>
      <c r="AY545" s="13" t="s">
        <v>444</v>
      </c>
      <c r="AZ545" s="13" t="s">
        <v>1191</v>
      </c>
      <c r="BA545" s="2">
        <v>0.8</v>
      </c>
    </row>
    <row r="546" spans="48:53" x14ac:dyDescent="0.2">
      <c r="AV546" s="2" t="s">
        <v>781</v>
      </c>
      <c r="AW546" s="2" t="s">
        <v>1044</v>
      </c>
      <c r="AX546" s="2" t="str">
        <f t="shared" si="30"/>
        <v>Q68|CIS v8</v>
      </c>
      <c r="AY546" s="13">
        <v>3.11</v>
      </c>
      <c r="AZ546" s="13" t="s">
        <v>1094</v>
      </c>
      <c r="BA546" s="2">
        <v>0.8</v>
      </c>
    </row>
    <row r="547" spans="48:53" x14ac:dyDescent="0.2">
      <c r="AV547" s="2" t="s">
        <v>782</v>
      </c>
      <c r="AW547" s="2" t="s">
        <v>1041</v>
      </c>
      <c r="AX547" s="2" t="str">
        <f t="shared" si="30"/>
        <v>Q69|NIST CSF 2.0</v>
      </c>
      <c r="AY547" s="13" t="s">
        <v>618</v>
      </c>
      <c r="AZ547" s="13" t="s">
        <v>1065</v>
      </c>
      <c r="BA547" s="2">
        <v>1</v>
      </c>
    </row>
    <row r="548" spans="48:53" x14ac:dyDescent="0.2">
      <c r="AV548" s="2" t="s">
        <v>782</v>
      </c>
      <c r="AW548" s="2" t="s">
        <v>710</v>
      </c>
      <c r="AX548" s="2" t="str">
        <f t="shared" si="30"/>
        <v>Q69|NIST PQC</v>
      </c>
      <c r="AY548" s="13" t="s">
        <v>439</v>
      </c>
      <c r="AZ548" s="13" t="s">
        <v>439</v>
      </c>
      <c r="BA548" s="2"/>
    </row>
    <row r="549" spans="48:53" x14ac:dyDescent="0.2">
      <c r="AV549" s="2" t="s">
        <v>782</v>
      </c>
      <c r="AW549" s="2" t="s">
        <v>1042</v>
      </c>
      <c r="AX549" s="2" t="str">
        <f t="shared" si="30"/>
        <v>Q69|CMMC 2.0</v>
      </c>
      <c r="AY549" s="13" t="s">
        <v>452</v>
      </c>
      <c r="AZ549" s="13" t="s">
        <v>1071</v>
      </c>
      <c r="BA549" s="2">
        <v>0.8</v>
      </c>
    </row>
    <row r="550" spans="48:53" x14ac:dyDescent="0.2">
      <c r="AV550" s="2" t="s">
        <v>782</v>
      </c>
      <c r="AW550" s="2" t="s">
        <v>711</v>
      </c>
      <c r="AX550" s="2" t="str">
        <f t="shared" si="30"/>
        <v>Q69|FISMA</v>
      </c>
      <c r="AY550" s="13" t="s">
        <v>619</v>
      </c>
      <c r="AZ550" s="13" t="s">
        <v>1075</v>
      </c>
      <c r="BA550" s="2">
        <v>1</v>
      </c>
    </row>
    <row r="551" spans="48:53" x14ac:dyDescent="0.2">
      <c r="AV551" s="2" t="s">
        <v>782</v>
      </c>
      <c r="AW551" s="2" t="s">
        <v>712</v>
      </c>
      <c r="AX551" s="2" t="str">
        <f t="shared" si="30"/>
        <v>Q69|FedRAMP</v>
      </c>
      <c r="AY551" s="13" t="s">
        <v>619</v>
      </c>
      <c r="AZ551" s="13" t="s">
        <v>1075</v>
      </c>
      <c r="BA551" s="2">
        <v>1</v>
      </c>
    </row>
    <row r="552" spans="48:53" x14ac:dyDescent="0.2">
      <c r="AV552" s="2" t="s">
        <v>782</v>
      </c>
      <c r="AW552" s="2" t="s">
        <v>1043</v>
      </c>
      <c r="AX552" s="2" t="str">
        <f t="shared" si="30"/>
        <v>Q69|ISO 27001</v>
      </c>
      <c r="AY552" s="13" t="s">
        <v>620</v>
      </c>
      <c r="AZ552" s="13" t="s">
        <v>1144</v>
      </c>
      <c r="BA552" s="2">
        <v>1</v>
      </c>
    </row>
    <row r="553" spans="48:53" x14ac:dyDescent="0.2">
      <c r="AV553" s="2" t="s">
        <v>782</v>
      </c>
      <c r="AW553" s="2" t="s">
        <v>713</v>
      </c>
      <c r="AX553" s="2" t="str">
        <f t="shared" si="30"/>
        <v>Q69|SOC2</v>
      </c>
      <c r="AY553" s="13" t="s">
        <v>484</v>
      </c>
      <c r="AZ553" s="13" t="s">
        <v>1194</v>
      </c>
      <c r="BA553" s="2">
        <v>1</v>
      </c>
    </row>
    <row r="554" spans="48:53" x14ac:dyDescent="0.2">
      <c r="AV554" s="2" t="s">
        <v>782</v>
      </c>
      <c r="AW554" s="2" t="s">
        <v>1044</v>
      </c>
      <c r="AX554" s="2" t="str">
        <f t="shared" si="30"/>
        <v>Q69|CIS v8</v>
      </c>
      <c r="AY554" s="13">
        <v>8.1</v>
      </c>
      <c r="AZ554" s="13" t="s">
        <v>1100</v>
      </c>
      <c r="BA554" s="2">
        <v>0.8</v>
      </c>
    </row>
    <row r="555" spans="48:53" x14ac:dyDescent="0.2">
      <c r="AV555" s="2" t="s">
        <v>783</v>
      </c>
      <c r="AW555" s="2" t="s">
        <v>1041</v>
      </c>
      <c r="AX555" s="2" t="str">
        <f t="shared" si="30"/>
        <v>Q70|NIST CSF 2.0</v>
      </c>
      <c r="AY555" s="13" t="s">
        <v>599</v>
      </c>
      <c r="AZ555" s="13" t="s">
        <v>1068</v>
      </c>
      <c r="BA555" s="2">
        <v>0.8</v>
      </c>
    </row>
    <row r="556" spans="48:53" x14ac:dyDescent="0.2">
      <c r="AV556" s="2" t="s">
        <v>783</v>
      </c>
      <c r="AW556" s="2" t="s">
        <v>710</v>
      </c>
      <c r="AX556" s="2" t="str">
        <f t="shared" si="30"/>
        <v>Q70|NIST PQC</v>
      </c>
      <c r="AY556" s="13" t="s">
        <v>439</v>
      </c>
      <c r="AZ556" s="13" t="s">
        <v>439</v>
      </c>
      <c r="BA556" s="2"/>
    </row>
    <row r="557" spans="48:53" x14ac:dyDescent="0.2">
      <c r="AV557" s="2" t="s">
        <v>783</v>
      </c>
      <c r="AW557" s="2" t="s">
        <v>1042</v>
      </c>
      <c r="AX557" s="2" t="str">
        <f t="shared" si="30"/>
        <v>Q70|CMMC 2.0</v>
      </c>
      <c r="AY557" s="13" t="s">
        <v>452</v>
      </c>
      <c r="AZ557" s="13" t="s">
        <v>1071</v>
      </c>
      <c r="BA557" s="2">
        <v>0.8</v>
      </c>
    </row>
    <row r="558" spans="48:53" x14ac:dyDescent="0.2">
      <c r="AV558" s="2" t="s">
        <v>783</v>
      </c>
      <c r="AW558" s="2" t="s">
        <v>711</v>
      </c>
      <c r="AX558" s="2" t="str">
        <f t="shared" si="30"/>
        <v>Q70|FISMA</v>
      </c>
      <c r="AY558" s="13" t="s">
        <v>453</v>
      </c>
      <c r="AZ558" s="13" t="s">
        <v>1071</v>
      </c>
      <c r="BA558" s="2">
        <v>1</v>
      </c>
    </row>
    <row r="559" spans="48:53" x14ac:dyDescent="0.2">
      <c r="AV559" s="2" t="s">
        <v>783</v>
      </c>
      <c r="AW559" s="2" t="s">
        <v>712</v>
      </c>
      <c r="AX559" s="2" t="str">
        <f t="shared" si="30"/>
        <v>Q70|FedRAMP</v>
      </c>
      <c r="AY559" s="13" t="s">
        <v>453</v>
      </c>
      <c r="AZ559" s="13" t="s">
        <v>1071</v>
      </c>
      <c r="BA559" s="2">
        <v>1</v>
      </c>
    </row>
    <row r="560" spans="48:53" x14ac:dyDescent="0.2">
      <c r="AV560" s="2" t="s">
        <v>783</v>
      </c>
      <c r="AW560" s="2" t="s">
        <v>1043</v>
      </c>
      <c r="AX560" s="2" t="str">
        <f t="shared" si="30"/>
        <v>Q70|ISO 27001</v>
      </c>
      <c r="AY560" s="13" t="s">
        <v>603</v>
      </c>
      <c r="AZ560" s="13" t="s">
        <v>1140</v>
      </c>
      <c r="BA560" s="2">
        <v>0.8</v>
      </c>
    </row>
    <row r="561" spans="48:53" x14ac:dyDescent="0.2">
      <c r="AV561" s="2" t="s">
        <v>783</v>
      </c>
      <c r="AW561" s="2" t="s">
        <v>713</v>
      </c>
      <c r="AX561" s="2" t="str">
        <f t="shared" si="30"/>
        <v>Q70|SOC2</v>
      </c>
      <c r="AY561" s="13" t="s">
        <v>444</v>
      </c>
      <c r="AZ561" s="13" t="s">
        <v>1191</v>
      </c>
      <c r="BA561" s="2">
        <v>0.8</v>
      </c>
    </row>
    <row r="562" spans="48:53" x14ac:dyDescent="0.2">
      <c r="AV562" s="2" t="s">
        <v>783</v>
      </c>
      <c r="AW562" s="2" t="s">
        <v>1044</v>
      </c>
      <c r="AX562" s="2" t="str">
        <f t="shared" si="30"/>
        <v>Q70|CIS v8</v>
      </c>
      <c r="AY562" s="13">
        <v>3.11</v>
      </c>
      <c r="AZ562" s="13" t="s">
        <v>1094</v>
      </c>
      <c r="BA562" s="2">
        <v>0.8</v>
      </c>
    </row>
    <row r="563" spans="48:53" x14ac:dyDescent="0.2">
      <c r="AV563" s="2" t="s">
        <v>784</v>
      </c>
      <c r="AW563" s="2" t="s">
        <v>1041</v>
      </c>
      <c r="AX563" s="2" t="str">
        <f t="shared" si="30"/>
        <v>Q71|NIST CSF 2.0</v>
      </c>
      <c r="AY563" s="13" t="s">
        <v>621</v>
      </c>
      <c r="AZ563" s="13" t="s">
        <v>1068</v>
      </c>
      <c r="BA563" s="2">
        <v>1</v>
      </c>
    </row>
    <row r="564" spans="48:53" x14ac:dyDescent="0.2">
      <c r="AV564" s="2" t="s">
        <v>784</v>
      </c>
      <c r="AW564" s="2" t="s">
        <v>710</v>
      </c>
      <c r="AX564" s="2" t="str">
        <f t="shared" si="30"/>
        <v>Q71|NIST PQC</v>
      </c>
      <c r="AY564" s="13" t="s">
        <v>622</v>
      </c>
      <c r="AZ564" s="13" t="s">
        <v>1096</v>
      </c>
      <c r="BA564" s="2">
        <v>1</v>
      </c>
    </row>
    <row r="565" spans="48:53" x14ac:dyDescent="0.2">
      <c r="AV565" s="2" t="s">
        <v>784</v>
      </c>
      <c r="AW565" s="2" t="s">
        <v>1042</v>
      </c>
      <c r="AX565" s="2" t="str">
        <f t="shared" si="30"/>
        <v>Q71|CMMC 2.0</v>
      </c>
      <c r="AY565" s="13" t="s">
        <v>623</v>
      </c>
      <c r="AZ565" s="13" t="s">
        <v>1071</v>
      </c>
      <c r="BA565" s="2">
        <v>1</v>
      </c>
    </row>
    <row r="566" spans="48:53" x14ac:dyDescent="0.2">
      <c r="AV566" s="2" t="s">
        <v>784</v>
      </c>
      <c r="AW566" s="2" t="s">
        <v>711</v>
      </c>
      <c r="AX566" s="2" t="str">
        <f t="shared" si="30"/>
        <v>Q71|FISMA</v>
      </c>
      <c r="AY566" s="13" t="s">
        <v>624</v>
      </c>
      <c r="AZ566" s="13" t="s">
        <v>1071</v>
      </c>
      <c r="BA566" s="2">
        <v>1</v>
      </c>
    </row>
    <row r="567" spans="48:53" x14ac:dyDescent="0.2">
      <c r="AV567" s="2" t="s">
        <v>784</v>
      </c>
      <c r="AW567" s="2" t="s">
        <v>712</v>
      </c>
      <c r="AX567" s="2" t="str">
        <f t="shared" si="30"/>
        <v>Q71|FedRAMP</v>
      </c>
      <c r="AY567" s="13" t="s">
        <v>624</v>
      </c>
      <c r="AZ567" s="13" t="s">
        <v>1071</v>
      </c>
      <c r="BA567" s="2">
        <v>1</v>
      </c>
    </row>
    <row r="568" spans="48:53" x14ac:dyDescent="0.2">
      <c r="AV568" s="2" t="s">
        <v>784</v>
      </c>
      <c r="AW568" s="2" t="s">
        <v>1043</v>
      </c>
      <c r="AX568" s="2" t="str">
        <f t="shared" si="30"/>
        <v>Q71|ISO 27001</v>
      </c>
      <c r="AY568" s="13" t="s">
        <v>625</v>
      </c>
      <c r="AZ568" s="13" t="s">
        <v>1142</v>
      </c>
      <c r="BA568" s="2">
        <v>1</v>
      </c>
    </row>
    <row r="569" spans="48:53" x14ac:dyDescent="0.2">
      <c r="AV569" s="2" t="s">
        <v>784</v>
      </c>
      <c r="AW569" s="2" t="s">
        <v>713</v>
      </c>
      <c r="AX569" s="2" t="str">
        <f t="shared" si="30"/>
        <v>Q71|SOC2</v>
      </c>
      <c r="AY569" s="13" t="s">
        <v>444</v>
      </c>
      <c r="AZ569" s="13" t="s">
        <v>1191</v>
      </c>
      <c r="BA569" s="2">
        <v>1</v>
      </c>
    </row>
    <row r="570" spans="48:53" x14ac:dyDescent="0.2">
      <c r="AV570" s="2" t="s">
        <v>784</v>
      </c>
      <c r="AW570" s="2" t="s">
        <v>1044</v>
      </c>
      <c r="AX570" s="2" t="str">
        <f t="shared" si="30"/>
        <v>Q71|CIS v8</v>
      </c>
      <c r="AY570" s="13">
        <v>3.11</v>
      </c>
      <c r="AZ570" s="13" t="s">
        <v>1094</v>
      </c>
      <c r="BA570" s="2">
        <v>1</v>
      </c>
    </row>
    <row r="571" spans="48:53" x14ac:dyDescent="0.2">
      <c r="AV571" s="2" t="s">
        <v>785</v>
      </c>
      <c r="AW571" s="2" t="s">
        <v>1041</v>
      </c>
      <c r="AX571" s="2" t="str">
        <f t="shared" si="30"/>
        <v>Q72|NIST CSF 2.0</v>
      </c>
      <c r="AY571" s="13" t="s">
        <v>599</v>
      </c>
      <c r="AZ571" s="13" t="s">
        <v>1068</v>
      </c>
      <c r="BA571" s="2">
        <v>1</v>
      </c>
    </row>
    <row r="572" spans="48:53" x14ac:dyDescent="0.2">
      <c r="AV572" s="2" t="s">
        <v>785</v>
      </c>
      <c r="AW572" s="2" t="s">
        <v>710</v>
      </c>
      <c r="AX572" s="2" t="str">
        <f t="shared" si="30"/>
        <v>Q72|NIST PQC</v>
      </c>
      <c r="AY572" s="13" t="s">
        <v>626</v>
      </c>
      <c r="AZ572" s="13" t="s">
        <v>1096</v>
      </c>
      <c r="BA572" s="2">
        <v>1</v>
      </c>
    </row>
    <row r="573" spans="48:53" x14ac:dyDescent="0.2">
      <c r="AV573" s="2" t="s">
        <v>785</v>
      </c>
      <c r="AW573" s="2" t="s">
        <v>1042</v>
      </c>
      <c r="AX573" s="2" t="str">
        <f t="shared" si="30"/>
        <v>Q72|CMMC 2.0</v>
      </c>
      <c r="AY573" s="13" t="s">
        <v>439</v>
      </c>
      <c r="AZ573" s="13" t="s">
        <v>439</v>
      </c>
      <c r="BA573" s="2"/>
    </row>
    <row r="574" spans="48:53" x14ac:dyDescent="0.2">
      <c r="AV574" s="2" t="s">
        <v>785</v>
      </c>
      <c r="AW574" s="2" t="s">
        <v>711</v>
      </c>
      <c r="AX574" s="2" t="str">
        <f t="shared" si="30"/>
        <v>Q72|FISMA</v>
      </c>
      <c r="AY574" s="13" t="s">
        <v>453</v>
      </c>
      <c r="AZ574" s="13" t="s">
        <v>1071</v>
      </c>
      <c r="BA574" s="2">
        <v>1</v>
      </c>
    </row>
    <row r="575" spans="48:53" x14ac:dyDescent="0.2">
      <c r="AV575" s="2" t="s">
        <v>785</v>
      </c>
      <c r="AW575" s="2" t="s">
        <v>712</v>
      </c>
      <c r="AX575" s="2" t="str">
        <f t="shared" si="30"/>
        <v>Q72|FedRAMP</v>
      </c>
      <c r="AY575" s="13" t="s">
        <v>453</v>
      </c>
      <c r="AZ575" s="13" t="s">
        <v>1071</v>
      </c>
      <c r="BA575" s="2">
        <v>1</v>
      </c>
    </row>
    <row r="576" spans="48:53" x14ac:dyDescent="0.2">
      <c r="AV576" s="2" t="s">
        <v>785</v>
      </c>
      <c r="AW576" s="2" t="s">
        <v>1043</v>
      </c>
      <c r="AX576" s="2" t="str">
        <f t="shared" si="30"/>
        <v>Q72|ISO 27001</v>
      </c>
      <c r="AY576" s="13" t="s">
        <v>625</v>
      </c>
      <c r="AZ576" s="13" t="s">
        <v>1142</v>
      </c>
      <c r="BA576" s="2">
        <v>1</v>
      </c>
    </row>
    <row r="577" spans="48:53" x14ac:dyDescent="0.2">
      <c r="AV577" s="2" t="s">
        <v>785</v>
      </c>
      <c r="AW577" s="2" t="s">
        <v>713</v>
      </c>
      <c r="AX577" s="2" t="str">
        <f t="shared" si="30"/>
        <v>Q72|SOC2</v>
      </c>
      <c r="AY577" s="13" t="s">
        <v>444</v>
      </c>
      <c r="AZ577" s="13" t="s">
        <v>1191</v>
      </c>
      <c r="BA577" s="2">
        <v>1</v>
      </c>
    </row>
    <row r="578" spans="48:53" x14ac:dyDescent="0.2">
      <c r="AV578" s="2" t="s">
        <v>785</v>
      </c>
      <c r="AW578" s="2" t="s">
        <v>1044</v>
      </c>
      <c r="AX578" s="2" t="str">
        <f t="shared" si="30"/>
        <v>Q72|CIS v8</v>
      </c>
      <c r="AY578" s="13">
        <v>3.11</v>
      </c>
      <c r="AZ578" s="13" t="s">
        <v>1094</v>
      </c>
      <c r="BA578" s="2">
        <v>0.8</v>
      </c>
    </row>
    <row r="579" spans="48:53" x14ac:dyDescent="0.2">
      <c r="AV579" s="2" t="s">
        <v>786</v>
      </c>
      <c r="AW579" s="2" t="s">
        <v>1041</v>
      </c>
      <c r="AX579" s="2" t="str">
        <f t="shared" si="30"/>
        <v>Q73|NIST CSF 2.0</v>
      </c>
      <c r="AY579" s="13" t="s">
        <v>621</v>
      </c>
      <c r="AZ579" s="13" t="s">
        <v>1068</v>
      </c>
      <c r="BA579" s="2">
        <v>1</v>
      </c>
    </row>
    <row r="580" spans="48:53" x14ac:dyDescent="0.2">
      <c r="AV580" s="2" t="s">
        <v>786</v>
      </c>
      <c r="AW580" s="2" t="s">
        <v>710</v>
      </c>
      <c r="AX580" s="2" t="str">
        <f t="shared" ref="AX580:AX643" si="31">_xlfn.CONCAT(AV580,"|",AW580)</f>
        <v>Q73|NIST PQC</v>
      </c>
      <c r="AY580" s="13" t="s">
        <v>628</v>
      </c>
      <c r="AZ580" s="13" t="s">
        <v>1096</v>
      </c>
      <c r="BA580" s="2">
        <v>1</v>
      </c>
    </row>
    <row r="581" spans="48:53" x14ac:dyDescent="0.2">
      <c r="AV581" s="2" t="s">
        <v>786</v>
      </c>
      <c r="AW581" s="2" t="s">
        <v>1042</v>
      </c>
      <c r="AX581" s="2" t="str">
        <f t="shared" si="31"/>
        <v>Q73|CMMC 2.0</v>
      </c>
      <c r="AY581" s="13" t="s">
        <v>623</v>
      </c>
      <c r="AZ581" s="13" t="s">
        <v>1071</v>
      </c>
      <c r="BA581" s="2">
        <v>1</v>
      </c>
    </row>
    <row r="582" spans="48:53" x14ac:dyDescent="0.2">
      <c r="AV582" s="2" t="s">
        <v>786</v>
      </c>
      <c r="AW582" s="2" t="s">
        <v>711</v>
      </c>
      <c r="AX582" s="2" t="str">
        <f t="shared" si="31"/>
        <v>Q73|FISMA</v>
      </c>
      <c r="AY582" s="13" t="s">
        <v>624</v>
      </c>
      <c r="AZ582" s="13" t="s">
        <v>1071</v>
      </c>
      <c r="BA582" s="2">
        <v>1</v>
      </c>
    </row>
    <row r="583" spans="48:53" x14ac:dyDescent="0.2">
      <c r="AV583" s="2" t="s">
        <v>786</v>
      </c>
      <c r="AW583" s="2" t="s">
        <v>712</v>
      </c>
      <c r="AX583" s="2" t="str">
        <f t="shared" si="31"/>
        <v>Q73|FedRAMP</v>
      </c>
      <c r="AY583" s="13" t="s">
        <v>624</v>
      </c>
      <c r="AZ583" s="13" t="s">
        <v>1071</v>
      </c>
      <c r="BA583" s="2">
        <v>1</v>
      </c>
    </row>
    <row r="584" spans="48:53" x14ac:dyDescent="0.2">
      <c r="AV584" s="2" t="s">
        <v>786</v>
      </c>
      <c r="AW584" s="2" t="s">
        <v>1043</v>
      </c>
      <c r="AX584" s="2" t="str">
        <f t="shared" si="31"/>
        <v>Q73|ISO 27001</v>
      </c>
      <c r="AY584" s="13" t="s">
        <v>625</v>
      </c>
      <c r="AZ584" s="13" t="s">
        <v>1142</v>
      </c>
      <c r="BA584" s="2">
        <v>1</v>
      </c>
    </row>
    <row r="585" spans="48:53" x14ac:dyDescent="0.2">
      <c r="AV585" s="2" t="s">
        <v>786</v>
      </c>
      <c r="AW585" s="2" t="s">
        <v>713</v>
      </c>
      <c r="AX585" s="2" t="str">
        <f t="shared" si="31"/>
        <v>Q73|SOC2</v>
      </c>
      <c r="AY585" s="13" t="s">
        <v>444</v>
      </c>
      <c r="AZ585" s="13" t="s">
        <v>1191</v>
      </c>
      <c r="BA585" s="2">
        <v>1</v>
      </c>
    </row>
    <row r="586" spans="48:53" x14ac:dyDescent="0.2">
      <c r="AV586" s="2" t="s">
        <v>786</v>
      </c>
      <c r="AW586" s="2" t="s">
        <v>1044</v>
      </c>
      <c r="AX586" s="2" t="str">
        <f t="shared" si="31"/>
        <v>Q73|CIS v8</v>
      </c>
      <c r="AY586" s="13">
        <v>3.11</v>
      </c>
      <c r="AZ586" s="13" t="s">
        <v>1094</v>
      </c>
      <c r="BA586" s="2">
        <v>1</v>
      </c>
    </row>
    <row r="587" spans="48:53" x14ac:dyDescent="0.2">
      <c r="AV587" s="2" t="s">
        <v>787</v>
      </c>
      <c r="AW587" s="2" t="s">
        <v>1041</v>
      </c>
      <c r="AX587" s="2" t="str">
        <f t="shared" si="31"/>
        <v>Q74|NIST CSF 2.0</v>
      </c>
      <c r="AY587" s="13" t="s">
        <v>599</v>
      </c>
      <c r="AZ587" s="13" t="s">
        <v>1068</v>
      </c>
      <c r="BA587" s="2">
        <v>0.8</v>
      </c>
    </row>
    <row r="588" spans="48:53" x14ac:dyDescent="0.2">
      <c r="AV588" s="2" t="s">
        <v>787</v>
      </c>
      <c r="AW588" s="2" t="s">
        <v>710</v>
      </c>
      <c r="AX588" s="2" t="str">
        <f t="shared" si="31"/>
        <v>Q74|NIST PQC</v>
      </c>
      <c r="AY588" s="13" t="s">
        <v>629</v>
      </c>
      <c r="AZ588" s="13" t="s">
        <v>1096</v>
      </c>
      <c r="BA588" s="2">
        <v>1</v>
      </c>
    </row>
    <row r="589" spans="48:53" x14ac:dyDescent="0.2">
      <c r="AV589" s="2" t="s">
        <v>787</v>
      </c>
      <c r="AW589" s="2" t="s">
        <v>1042</v>
      </c>
      <c r="AX589" s="2" t="str">
        <f t="shared" si="31"/>
        <v>Q74|CMMC 2.0</v>
      </c>
      <c r="AY589" s="13" t="s">
        <v>439</v>
      </c>
      <c r="AZ589" s="13" t="s">
        <v>439</v>
      </c>
      <c r="BA589" s="2"/>
    </row>
    <row r="590" spans="48:53" x14ac:dyDescent="0.2">
      <c r="AV590" s="2" t="s">
        <v>787</v>
      </c>
      <c r="AW590" s="2" t="s">
        <v>711</v>
      </c>
      <c r="AX590" s="2" t="str">
        <f t="shared" si="31"/>
        <v>Q74|FISMA</v>
      </c>
      <c r="AY590" s="13" t="s">
        <v>453</v>
      </c>
      <c r="AZ590" s="13" t="s">
        <v>1071</v>
      </c>
      <c r="BA590" s="2">
        <v>0.8</v>
      </c>
    </row>
    <row r="591" spans="48:53" x14ac:dyDescent="0.2">
      <c r="AV591" s="2" t="s">
        <v>787</v>
      </c>
      <c r="AW591" s="2" t="s">
        <v>712</v>
      </c>
      <c r="AX591" s="2" t="str">
        <f t="shared" si="31"/>
        <v>Q74|FedRAMP</v>
      </c>
      <c r="AY591" s="13" t="s">
        <v>453</v>
      </c>
      <c r="AZ591" s="13" t="s">
        <v>1071</v>
      </c>
      <c r="BA591" s="2">
        <v>0.8</v>
      </c>
    </row>
    <row r="592" spans="48:53" x14ac:dyDescent="0.2">
      <c r="AV592" s="2" t="s">
        <v>787</v>
      </c>
      <c r="AW592" s="2" t="s">
        <v>1043</v>
      </c>
      <c r="AX592" s="2" t="str">
        <f t="shared" si="31"/>
        <v>Q74|ISO 27001</v>
      </c>
      <c r="AY592" s="13" t="s">
        <v>625</v>
      </c>
      <c r="AZ592" s="13" t="s">
        <v>1142</v>
      </c>
      <c r="BA592" s="2">
        <v>0.6</v>
      </c>
    </row>
    <row r="593" spans="48:53" x14ac:dyDescent="0.2">
      <c r="AV593" s="2" t="s">
        <v>787</v>
      </c>
      <c r="AW593" s="2" t="s">
        <v>713</v>
      </c>
      <c r="AX593" s="2" t="str">
        <f t="shared" si="31"/>
        <v>Q74|SOC2</v>
      </c>
      <c r="AY593" s="13" t="s">
        <v>444</v>
      </c>
      <c r="AZ593" s="13" t="s">
        <v>1191</v>
      </c>
      <c r="BA593" s="2">
        <v>0.6</v>
      </c>
    </row>
    <row r="594" spans="48:53" x14ac:dyDescent="0.2">
      <c r="AV594" s="2" t="s">
        <v>787</v>
      </c>
      <c r="AW594" s="2" t="s">
        <v>1044</v>
      </c>
      <c r="AX594" s="2" t="str">
        <f t="shared" si="31"/>
        <v>Q74|CIS v8</v>
      </c>
      <c r="AY594" s="13">
        <v>3.11</v>
      </c>
      <c r="AZ594" s="13" t="s">
        <v>1094</v>
      </c>
      <c r="BA594" s="2">
        <v>0.6</v>
      </c>
    </row>
    <row r="595" spans="48:53" x14ac:dyDescent="0.2">
      <c r="AV595" s="2" t="s">
        <v>788</v>
      </c>
      <c r="AW595" s="2" t="s">
        <v>1041</v>
      </c>
      <c r="AX595" s="2" t="str">
        <f t="shared" si="31"/>
        <v>Q75|NIST CSF 2.0</v>
      </c>
      <c r="AY595" s="13" t="s">
        <v>621</v>
      </c>
      <c r="AZ595" s="13" t="s">
        <v>1068</v>
      </c>
      <c r="BA595" s="2">
        <v>1</v>
      </c>
    </row>
    <row r="596" spans="48:53" x14ac:dyDescent="0.2">
      <c r="AV596" s="2" t="s">
        <v>788</v>
      </c>
      <c r="AW596" s="2" t="s">
        <v>710</v>
      </c>
      <c r="AX596" s="2" t="str">
        <f t="shared" si="31"/>
        <v>Q75|NIST PQC</v>
      </c>
      <c r="AY596" s="13" t="s">
        <v>439</v>
      </c>
      <c r="AZ596" s="13" t="s">
        <v>439</v>
      </c>
      <c r="BA596" s="2"/>
    </row>
    <row r="597" spans="48:53" x14ac:dyDescent="0.2">
      <c r="AV597" s="2" t="s">
        <v>788</v>
      </c>
      <c r="AW597" s="2" t="s">
        <v>1042</v>
      </c>
      <c r="AX597" s="2" t="str">
        <f t="shared" si="31"/>
        <v>Q75|CMMC 2.0</v>
      </c>
      <c r="AY597" s="13" t="s">
        <v>623</v>
      </c>
      <c r="AZ597" s="13" t="s">
        <v>1071</v>
      </c>
      <c r="BA597" s="2">
        <v>1</v>
      </c>
    </row>
    <row r="598" spans="48:53" x14ac:dyDescent="0.2">
      <c r="AV598" s="2" t="s">
        <v>788</v>
      </c>
      <c r="AW598" s="2" t="s">
        <v>711</v>
      </c>
      <c r="AX598" s="2" t="str">
        <f t="shared" si="31"/>
        <v>Q75|FISMA</v>
      </c>
      <c r="AY598" s="13" t="s">
        <v>624</v>
      </c>
      <c r="AZ598" s="13" t="s">
        <v>1071</v>
      </c>
      <c r="BA598" s="2">
        <v>1</v>
      </c>
    </row>
    <row r="599" spans="48:53" x14ac:dyDescent="0.2">
      <c r="AV599" s="2" t="s">
        <v>788</v>
      </c>
      <c r="AW599" s="2" t="s">
        <v>712</v>
      </c>
      <c r="AX599" s="2" t="str">
        <f t="shared" si="31"/>
        <v>Q75|FedRAMP</v>
      </c>
      <c r="AY599" s="13" t="s">
        <v>624</v>
      </c>
      <c r="AZ599" s="13" t="s">
        <v>1071</v>
      </c>
      <c r="BA599" s="2">
        <v>1</v>
      </c>
    </row>
    <row r="600" spans="48:53" x14ac:dyDescent="0.2">
      <c r="AV600" s="2" t="s">
        <v>788</v>
      </c>
      <c r="AW600" s="2" t="s">
        <v>1043</v>
      </c>
      <c r="AX600" s="2" t="str">
        <f t="shared" si="31"/>
        <v>Q75|ISO 27001</v>
      </c>
      <c r="AY600" s="13" t="s">
        <v>625</v>
      </c>
      <c r="AZ600" s="13" t="s">
        <v>1142</v>
      </c>
      <c r="BA600" s="2">
        <v>1</v>
      </c>
    </row>
    <row r="601" spans="48:53" x14ac:dyDescent="0.2">
      <c r="AV601" s="2" t="s">
        <v>788</v>
      </c>
      <c r="AW601" s="2" t="s">
        <v>713</v>
      </c>
      <c r="AX601" s="2" t="str">
        <f t="shared" si="31"/>
        <v>Q75|SOC2</v>
      </c>
      <c r="AY601" s="13" t="s">
        <v>444</v>
      </c>
      <c r="AZ601" s="13" t="s">
        <v>1191</v>
      </c>
      <c r="BA601" s="2">
        <v>1</v>
      </c>
    </row>
    <row r="602" spans="48:53" x14ac:dyDescent="0.2">
      <c r="AV602" s="2" t="s">
        <v>788</v>
      </c>
      <c r="AW602" s="2" t="s">
        <v>1044</v>
      </c>
      <c r="AX602" s="2" t="str">
        <f t="shared" si="31"/>
        <v>Q75|CIS v8</v>
      </c>
      <c r="AY602" s="13">
        <v>3.11</v>
      </c>
      <c r="AZ602" s="13" t="s">
        <v>1094</v>
      </c>
      <c r="BA602" s="2">
        <v>0.8</v>
      </c>
    </row>
    <row r="603" spans="48:53" x14ac:dyDescent="0.2">
      <c r="AV603" s="2" t="s">
        <v>789</v>
      </c>
      <c r="AW603" s="2" t="s">
        <v>1041</v>
      </c>
      <c r="AX603" s="2" t="str">
        <f t="shared" si="31"/>
        <v>Q76|NIST CSF 2.0</v>
      </c>
      <c r="AY603" s="13" t="s">
        <v>630</v>
      </c>
      <c r="AZ603" s="13" t="s">
        <v>1068</v>
      </c>
      <c r="BA603" s="2">
        <v>1</v>
      </c>
    </row>
    <row r="604" spans="48:53" x14ac:dyDescent="0.2">
      <c r="AV604" s="2" t="s">
        <v>789</v>
      </c>
      <c r="AW604" s="2" t="s">
        <v>710</v>
      </c>
      <c r="AX604" s="2" t="str">
        <f t="shared" si="31"/>
        <v>Q76|NIST PQC</v>
      </c>
      <c r="AY604" s="13" t="s">
        <v>631</v>
      </c>
      <c r="AZ604" s="13" t="s">
        <v>1096</v>
      </c>
      <c r="BA604" s="2">
        <v>0.8</v>
      </c>
    </row>
    <row r="605" spans="48:53" x14ac:dyDescent="0.2">
      <c r="AV605" s="2" t="s">
        <v>789</v>
      </c>
      <c r="AW605" s="2" t="s">
        <v>1042</v>
      </c>
      <c r="AX605" s="2" t="str">
        <f t="shared" si="31"/>
        <v>Q76|CMMC 2.0</v>
      </c>
      <c r="AY605" s="13" t="s">
        <v>439</v>
      </c>
      <c r="AZ605" s="13" t="s">
        <v>439</v>
      </c>
      <c r="BA605" s="2"/>
    </row>
    <row r="606" spans="48:53" x14ac:dyDescent="0.2">
      <c r="AV606" s="2" t="s">
        <v>789</v>
      </c>
      <c r="AW606" s="2" t="s">
        <v>711</v>
      </c>
      <c r="AX606" s="2" t="str">
        <f t="shared" si="31"/>
        <v>Q76|FISMA</v>
      </c>
      <c r="AY606" s="13" t="s">
        <v>624</v>
      </c>
      <c r="AZ606" s="13" t="s">
        <v>1071</v>
      </c>
      <c r="BA606" s="2">
        <v>1</v>
      </c>
    </row>
    <row r="607" spans="48:53" x14ac:dyDescent="0.2">
      <c r="AV607" s="2" t="s">
        <v>789</v>
      </c>
      <c r="AW607" s="2" t="s">
        <v>712</v>
      </c>
      <c r="AX607" s="2" t="str">
        <f t="shared" si="31"/>
        <v>Q76|FedRAMP</v>
      </c>
      <c r="AY607" s="13" t="s">
        <v>624</v>
      </c>
      <c r="AZ607" s="13" t="s">
        <v>1071</v>
      </c>
      <c r="BA607" s="2">
        <v>1</v>
      </c>
    </row>
    <row r="608" spans="48:53" x14ac:dyDescent="0.2">
      <c r="AV608" s="2" t="s">
        <v>789</v>
      </c>
      <c r="AW608" s="2" t="s">
        <v>1043</v>
      </c>
      <c r="AX608" s="2" t="str">
        <f t="shared" si="31"/>
        <v>Q76|ISO 27001</v>
      </c>
      <c r="AY608" s="13" t="s">
        <v>625</v>
      </c>
      <c r="AZ608" s="13" t="s">
        <v>1142</v>
      </c>
      <c r="BA608" s="2">
        <v>0.8</v>
      </c>
    </row>
    <row r="609" spans="48:53" x14ac:dyDescent="0.2">
      <c r="AV609" s="2" t="s">
        <v>789</v>
      </c>
      <c r="AW609" s="2" t="s">
        <v>713</v>
      </c>
      <c r="AX609" s="2" t="str">
        <f t="shared" si="31"/>
        <v>Q76|SOC2</v>
      </c>
      <c r="AY609" s="13" t="s">
        <v>633</v>
      </c>
      <c r="AZ609" s="13" t="s">
        <v>1191</v>
      </c>
      <c r="BA609" s="2">
        <v>0.8</v>
      </c>
    </row>
    <row r="610" spans="48:53" x14ac:dyDescent="0.2">
      <c r="AV610" s="2" t="s">
        <v>789</v>
      </c>
      <c r="AW610" s="2" t="s">
        <v>1044</v>
      </c>
      <c r="AX610" s="2" t="str">
        <f t="shared" si="31"/>
        <v>Q76|CIS v8</v>
      </c>
      <c r="AY610" s="13">
        <v>3.11</v>
      </c>
      <c r="AZ610" s="13" t="s">
        <v>1094</v>
      </c>
      <c r="BA610" s="2">
        <v>0.6</v>
      </c>
    </row>
    <row r="611" spans="48:53" x14ac:dyDescent="0.2">
      <c r="AV611" s="2" t="s">
        <v>790</v>
      </c>
      <c r="AW611" s="2" t="s">
        <v>1041</v>
      </c>
      <c r="AX611" s="2" t="str">
        <f t="shared" si="31"/>
        <v>Q77|NIST CSF 2.0</v>
      </c>
      <c r="AY611" s="13" t="s">
        <v>634</v>
      </c>
      <c r="AZ611" s="13" t="s">
        <v>1065</v>
      </c>
      <c r="BA611" s="2">
        <v>1</v>
      </c>
    </row>
    <row r="612" spans="48:53" x14ac:dyDescent="0.2">
      <c r="AV612" s="2" t="s">
        <v>790</v>
      </c>
      <c r="AW612" s="2" t="s">
        <v>710</v>
      </c>
      <c r="AX612" s="2" t="str">
        <f t="shared" si="31"/>
        <v>Q77|NIST PQC</v>
      </c>
      <c r="AY612" s="13" t="s">
        <v>439</v>
      </c>
      <c r="AZ612" s="13" t="s">
        <v>439</v>
      </c>
      <c r="BA612" s="2"/>
    </row>
    <row r="613" spans="48:53" x14ac:dyDescent="0.2">
      <c r="AV613" s="2" t="s">
        <v>790</v>
      </c>
      <c r="AW613" s="2" t="s">
        <v>1042</v>
      </c>
      <c r="AX613" s="2" t="str">
        <f t="shared" si="31"/>
        <v>Q77|CMMC 2.0</v>
      </c>
      <c r="AY613" s="13" t="s">
        <v>635</v>
      </c>
      <c r="AZ613" s="13" t="s">
        <v>1081</v>
      </c>
      <c r="BA613" s="2">
        <v>1</v>
      </c>
    </row>
    <row r="614" spans="48:53" x14ac:dyDescent="0.2">
      <c r="AV614" s="2" t="s">
        <v>790</v>
      </c>
      <c r="AW614" s="2" t="s">
        <v>711</v>
      </c>
      <c r="AX614" s="2" t="str">
        <f t="shared" si="31"/>
        <v>Q77|FISMA</v>
      </c>
      <c r="AY614" s="13" t="s">
        <v>636</v>
      </c>
      <c r="AZ614" s="13" t="s">
        <v>1081</v>
      </c>
      <c r="BA614" s="2">
        <v>1</v>
      </c>
    </row>
    <row r="615" spans="48:53" x14ac:dyDescent="0.2">
      <c r="AV615" s="2" t="s">
        <v>790</v>
      </c>
      <c r="AW615" s="2" t="s">
        <v>712</v>
      </c>
      <c r="AX615" s="2" t="str">
        <f t="shared" si="31"/>
        <v>Q77|FedRAMP</v>
      </c>
      <c r="AY615" s="13" t="s">
        <v>636</v>
      </c>
      <c r="AZ615" s="13" t="s">
        <v>1081</v>
      </c>
      <c r="BA615" s="2">
        <v>1</v>
      </c>
    </row>
    <row r="616" spans="48:53" x14ac:dyDescent="0.2">
      <c r="AV616" s="2" t="s">
        <v>790</v>
      </c>
      <c r="AW616" s="2" t="s">
        <v>1043</v>
      </c>
      <c r="AX616" s="2" t="str">
        <f t="shared" si="31"/>
        <v>Q77|ISO 27001</v>
      </c>
      <c r="AY616" s="13" t="s">
        <v>620</v>
      </c>
      <c r="AZ616" s="13" t="s">
        <v>1144</v>
      </c>
      <c r="BA616" s="2">
        <v>1</v>
      </c>
    </row>
    <row r="617" spans="48:53" x14ac:dyDescent="0.2">
      <c r="AV617" s="2" t="s">
        <v>790</v>
      </c>
      <c r="AW617" s="2" t="s">
        <v>713</v>
      </c>
      <c r="AX617" s="2" t="str">
        <f t="shared" si="31"/>
        <v>Q77|SOC2</v>
      </c>
      <c r="AY617" s="13" t="s">
        <v>484</v>
      </c>
      <c r="AZ617" s="13" t="s">
        <v>1194</v>
      </c>
      <c r="BA617" s="2">
        <v>1</v>
      </c>
    </row>
    <row r="618" spans="48:53" x14ac:dyDescent="0.2">
      <c r="AV618" s="2" t="s">
        <v>790</v>
      </c>
      <c r="AW618" s="2" t="s">
        <v>1044</v>
      </c>
      <c r="AX618" s="2" t="str">
        <f t="shared" si="31"/>
        <v>Q77|CIS v8</v>
      </c>
      <c r="AY618" s="13">
        <v>8.1999999999999993</v>
      </c>
      <c r="AZ618" s="13" t="s">
        <v>1100</v>
      </c>
      <c r="BA618" s="2">
        <v>1</v>
      </c>
    </row>
    <row r="619" spans="48:53" x14ac:dyDescent="0.2">
      <c r="AV619" s="2" t="s">
        <v>791</v>
      </c>
      <c r="AW619" s="2" t="s">
        <v>1041</v>
      </c>
      <c r="AX619" s="2" t="str">
        <f t="shared" si="31"/>
        <v>Q78|NIST CSF 2.0</v>
      </c>
      <c r="AY619" s="13" t="s">
        <v>621</v>
      </c>
      <c r="AZ619" s="13" t="s">
        <v>1068</v>
      </c>
      <c r="BA619" s="2">
        <v>1</v>
      </c>
    </row>
    <row r="620" spans="48:53" x14ac:dyDescent="0.2">
      <c r="AV620" s="2" t="s">
        <v>791</v>
      </c>
      <c r="AW620" s="2" t="s">
        <v>710</v>
      </c>
      <c r="AX620" s="2" t="str">
        <f t="shared" si="31"/>
        <v>Q78|NIST PQC</v>
      </c>
      <c r="AY620" s="13" t="s">
        <v>637</v>
      </c>
      <c r="AZ620" s="13" t="s">
        <v>1096</v>
      </c>
      <c r="BA620" s="2">
        <v>1</v>
      </c>
    </row>
    <row r="621" spans="48:53" x14ac:dyDescent="0.2">
      <c r="AV621" s="2" t="s">
        <v>791</v>
      </c>
      <c r="AW621" s="2" t="s">
        <v>1042</v>
      </c>
      <c r="AX621" s="2" t="str">
        <f t="shared" si="31"/>
        <v>Q78|CMMC 2.0</v>
      </c>
      <c r="AY621" s="13" t="s">
        <v>623</v>
      </c>
      <c r="AZ621" s="13" t="s">
        <v>1071</v>
      </c>
      <c r="BA621" s="2">
        <v>1</v>
      </c>
    </row>
    <row r="622" spans="48:53" x14ac:dyDescent="0.2">
      <c r="AV622" s="2" t="s">
        <v>791</v>
      </c>
      <c r="AW622" s="2" t="s">
        <v>711</v>
      </c>
      <c r="AX622" s="2" t="str">
        <f t="shared" si="31"/>
        <v>Q78|FISMA</v>
      </c>
      <c r="AY622" s="13" t="s">
        <v>624</v>
      </c>
      <c r="AZ622" s="13" t="s">
        <v>1071</v>
      </c>
      <c r="BA622" s="2">
        <v>1</v>
      </c>
    </row>
    <row r="623" spans="48:53" x14ac:dyDescent="0.2">
      <c r="AV623" s="2" t="s">
        <v>791</v>
      </c>
      <c r="AW623" s="2" t="s">
        <v>712</v>
      </c>
      <c r="AX623" s="2" t="str">
        <f t="shared" si="31"/>
        <v>Q78|FedRAMP</v>
      </c>
      <c r="AY623" s="13" t="s">
        <v>624</v>
      </c>
      <c r="AZ623" s="13" t="s">
        <v>1071</v>
      </c>
      <c r="BA623" s="2">
        <v>1</v>
      </c>
    </row>
    <row r="624" spans="48:53" x14ac:dyDescent="0.2">
      <c r="AV624" s="2" t="s">
        <v>791</v>
      </c>
      <c r="AW624" s="2" t="s">
        <v>1043</v>
      </c>
      <c r="AX624" s="2" t="str">
        <f t="shared" si="31"/>
        <v>Q78|ISO 27001</v>
      </c>
      <c r="AY624" s="13" t="s">
        <v>625</v>
      </c>
      <c r="AZ624" s="13" t="s">
        <v>1142</v>
      </c>
      <c r="BA624" s="2">
        <v>1</v>
      </c>
    </row>
    <row r="625" spans="48:53" x14ac:dyDescent="0.2">
      <c r="AV625" s="2" t="s">
        <v>791</v>
      </c>
      <c r="AW625" s="2" t="s">
        <v>713</v>
      </c>
      <c r="AX625" s="2" t="str">
        <f t="shared" si="31"/>
        <v>Q78|SOC2</v>
      </c>
      <c r="AY625" s="13" t="s">
        <v>444</v>
      </c>
      <c r="AZ625" s="13" t="s">
        <v>1191</v>
      </c>
      <c r="BA625" s="2">
        <v>1</v>
      </c>
    </row>
    <row r="626" spans="48:53" x14ac:dyDescent="0.2">
      <c r="AV626" s="2" t="s">
        <v>791</v>
      </c>
      <c r="AW626" s="2" t="s">
        <v>1044</v>
      </c>
      <c r="AX626" s="2" t="str">
        <f t="shared" si="31"/>
        <v>Q78|CIS v8</v>
      </c>
      <c r="AY626" s="13">
        <v>3.11</v>
      </c>
      <c r="AZ626" s="13" t="s">
        <v>1094</v>
      </c>
      <c r="BA626" s="2">
        <v>0.8</v>
      </c>
    </row>
    <row r="627" spans="48:53" x14ac:dyDescent="0.2">
      <c r="AV627" s="2" t="s">
        <v>792</v>
      </c>
      <c r="AW627" s="2" t="s">
        <v>1041</v>
      </c>
      <c r="AX627" s="2" t="str">
        <f t="shared" si="31"/>
        <v>Q79|NIST CSF 2.0</v>
      </c>
      <c r="AY627" s="13" t="s">
        <v>518</v>
      </c>
      <c r="AZ627" s="13" t="s">
        <v>1066</v>
      </c>
      <c r="BA627" s="2">
        <v>1</v>
      </c>
    </row>
    <row r="628" spans="48:53" x14ac:dyDescent="0.2">
      <c r="AV628" s="2" t="s">
        <v>792</v>
      </c>
      <c r="AW628" s="2" t="s">
        <v>710</v>
      </c>
      <c r="AX628" s="2" t="str">
        <f t="shared" si="31"/>
        <v>Q79|NIST PQC</v>
      </c>
      <c r="AY628" s="13" t="s">
        <v>439</v>
      </c>
      <c r="AZ628" s="13" t="s">
        <v>439</v>
      </c>
      <c r="BA628" s="2"/>
    </row>
    <row r="629" spans="48:53" x14ac:dyDescent="0.2">
      <c r="AV629" s="2" t="s">
        <v>792</v>
      </c>
      <c r="AW629" s="2" t="s">
        <v>1042</v>
      </c>
      <c r="AX629" s="2" t="str">
        <f t="shared" si="31"/>
        <v>Q79|CMMC 2.0</v>
      </c>
      <c r="AY629" s="13" t="s">
        <v>638</v>
      </c>
      <c r="AZ629" s="13" t="s">
        <v>1078</v>
      </c>
      <c r="BA629" s="2">
        <v>1</v>
      </c>
    </row>
    <row r="630" spans="48:53" x14ac:dyDescent="0.2">
      <c r="AV630" s="2" t="s">
        <v>792</v>
      </c>
      <c r="AW630" s="2" t="s">
        <v>711</v>
      </c>
      <c r="AX630" s="2" t="str">
        <f t="shared" si="31"/>
        <v>Q79|FISMA</v>
      </c>
      <c r="AY630" s="13" t="s">
        <v>573</v>
      </c>
      <c r="AZ630" s="13" t="s">
        <v>1078</v>
      </c>
      <c r="BA630" s="2">
        <v>1</v>
      </c>
    </row>
    <row r="631" spans="48:53" x14ac:dyDescent="0.2">
      <c r="AV631" s="2" t="s">
        <v>792</v>
      </c>
      <c r="AW631" s="2" t="s">
        <v>712</v>
      </c>
      <c r="AX631" s="2" t="str">
        <f t="shared" si="31"/>
        <v>Q79|FedRAMP</v>
      </c>
      <c r="AY631" s="13" t="s">
        <v>573</v>
      </c>
      <c r="AZ631" s="13" t="s">
        <v>1078</v>
      </c>
      <c r="BA631" s="2">
        <v>1</v>
      </c>
    </row>
    <row r="632" spans="48:53" x14ac:dyDescent="0.2">
      <c r="AV632" s="2" t="s">
        <v>792</v>
      </c>
      <c r="AW632" s="2" t="s">
        <v>1043</v>
      </c>
      <c r="AX632" s="2" t="str">
        <f t="shared" si="31"/>
        <v>Q79|ISO 27001</v>
      </c>
      <c r="AY632" s="13" t="s">
        <v>639</v>
      </c>
      <c r="AZ632" s="13" t="s">
        <v>1148</v>
      </c>
      <c r="BA632" s="2">
        <v>1</v>
      </c>
    </row>
    <row r="633" spans="48:53" x14ac:dyDescent="0.2">
      <c r="AV633" s="2" t="s">
        <v>792</v>
      </c>
      <c r="AW633" s="2" t="s">
        <v>713</v>
      </c>
      <c r="AX633" s="2" t="str">
        <f t="shared" si="31"/>
        <v>Q79|SOC2</v>
      </c>
      <c r="AY633" s="13" t="s">
        <v>522</v>
      </c>
      <c r="AZ633" s="13" t="s">
        <v>1194</v>
      </c>
      <c r="BA633" s="2">
        <v>1</v>
      </c>
    </row>
    <row r="634" spans="48:53" x14ac:dyDescent="0.2">
      <c r="AV634" s="2" t="s">
        <v>792</v>
      </c>
      <c r="AW634" s="2" t="s">
        <v>1044</v>
      </c>
      <c r="AX634" s="2" t="str">
        <f t="shared" si="31"/>
        <v>Q79|CIS v8</v>
      </c>
      <c r="AY634" s="13">
        <v>16.3</v>
      </c>
      <c r="AZ634" s="13" t="s">
        <v>1089</v>
      </c>
      <c r="BA634" s="2">
        <v>0.8</v>
      </c>
    </row>
    <row r="635" spans="48:53" x14ac:dyDescent="0.2">
      <c r="AV635" s="2" t="s">
        <v>793</v>
      </c>
      <c r="AW635" s="2" t="s">
        <v>1041</v>
      </c>
      <c r="AX635" s="2" t="str">
        <f t="shared" si="31"/>
        <v>Q80|NIST CSF 2.0</v>
      </c>
      <c r="AY635" s="13" t="s">
        <v>599</v>
      </c>
      <c r="AZ635" s="13" t="s">
        <v>1068</v>
      </c>
      <c r="BA635" s="2">
        <v>1</v>
      </c>
    </row>
    <row r="636" spans="48:53" x14ac:dyDescent="0.2">
      <c r="AV636" s="2" t="s">
        <v>793</v>
      </c>
      <c r="AW636" s="2" t="s">
        <v>710</v>
      </c>
      <c r="AX636" s="2" t="str">
        <f t="shared" si="31"/>
        <v>Q80|NIST PQC</v>
      </c>
      <c r="AY636" s="13" t="s">
        <v>640</v>
      </c>
      <c r="AZ636" s="13" t="s">
        <v>1096</v>
      </c>
      <c r="BA636" s="2">
        <v>1</v>
      </c>
    </row>
    <row r="637" spans="48:53" x14ac:dyDescent="0.2">
      <c r="AV637" s="2" t="s">
        <v>793</v>
      </c>
      <c r="AW637" s="2" t="s">
        <v>1042</v>
      </c>
      <c r="AX637" s="2" t="str">
        <f t="shared" si="31"/>
        <v>Q80|CMMC 2.0</v>
      </c>
      <c r="AY637" s="13" t="s">
        <v>623</v>
      </c>
      <c r="AZ637" s="13" t="s">
        <v>1071</v>
      </c>
      <c r="BA637" s="2">
        <v>1</v>
      </c>
    </row>
    <row r="638" spans="48:53" x14ac:dyDescent="0.2">
      <c r="AV638" s="2" t="s">
        <v>793</v>
      </c>
      <c r="AW638" s="2" t="s">
        <v>711</v>
      </c>
      <c r="AX638" s="2" t="str">
        <f t="shared" si="31"/>
        <v>Q80|FISMA</v>
      </c>
      <c r="AY638" s="13" t="s">
        <v>624</v>
      </c>
      <c r="AZ638" s="13" t="s">
        <v>1071</v>
      </c>
      <c r="BA638" s="2">
        <v>1</v>
      </c>
    </row>
    <row r="639" spans="48:53" x14ac:dyDescent="0.2">
      <c r="AV639" s="2" t="s">
        <v>793</v>
      </c>
      <c r="AW639" s="2" t="s">
        <v>712</v>
      </c>
      <c r="AX639" s="2" t="str">
        <f t="shared" si="31"/>
        <v>Q80|FedRAMP</v>
      </c>
      <c r="AY639" s="13" t="s">
        <v>624</v>
      </c>
      <c r="AZ639" s="13" t="s">
        <v>1071</v>
      </c>
      <c r="BA639" s="2">
        <v>1</v>
      </c>
    </row>
    <row r="640" spans="48:53" x14ac:dyDescent="0.2">
      <c r="AV640" s="2" t="s">
        <v>793</v>
      </c>
      <c r="AW640" s="2" t="s">
        <v>1043</v>
      </c>
      <c r="AX640" s="2" t="str">
        <f t="shared" si="31"/>
        <v>Q80|ISO 27001</v>
      </c>
      <c r="AY640" s="13" t="s">
        <v>625</v>
      </c>
      <c r="AZ640" s="13" t="s">
        <v>1142</v>
      </c>
      <c r="BA640" s="2">
        <v>1</v>
      </c>
    </row>
    <row r="641" spans="48:53" x14ac:dyDescent="0.2">
      <c r="AV641" s="2" t="s">
        <v>793</v>
      </c>
      <c r="AW641" s="2" t="s">
        <v>713</v>
      </c>
      <c r="AX641" s="2" t="str">
        <f t="shared" si="31"/>
        <v>Q80|SOC2</v>
      </c>
      <c r="AY641" s="13" t="s">
        <v>444</v>
      </c>
      <c r="AZ641" s="13" t="s">
        <v>1191</v>
      </c>
      <c r="BA641" s="2">
        <v>1</v>
      </c>
    </row>
    <row r="642" spans="48:53" x14ac:dyDescent="0.2">
      <c r="AV642" s="2" t="s">
        <v>793</v>
      </c>
      <c r="AW642" s="2" t="s">
        <v>1044</v>
      </c>
      <c r="AX642" s="2" t="str">
        <f t="shared" si="31"/>
        <v>Q80|CIS v8</v>
      </c>
      <c r="AY642" s="13">
        <v>3.11</v>
      </c>
      <c r="AZ642" s="13" t="s">
        <v>1094</v>
      </c>
      <c r="BA642" s="2">
        <v>1</v>
      </c>
    </row>
    <row r="643" spans="48:53" x14ac:dyDescent="0.2">
      <c r="AV643" s="2" t="s">
        <v>794</v>
      </c>
      <c r="AW643" s="2" t="s">
        <v>1041</v>
      </c>
      <c r="AX643" s="2" t="str">
        <f t="shared" si="31"/>
        <v>Q81|NIST CSF 2.0</v>
      </c>
      <c r="AY643" s="13" t="s">
        <v>445</v>
      </c>
      <c r="AZ643" s="13" t="s">
        <v>1064</v>
      </c>
      <c r="BA643" s="2">
        <v>1</v>
      </c>
    </row>
    <row r="644" spans="48:53" x14ac:dyDescent="0.2">
      <c r="AV644" s="2" t="s">
        <v>794</v>
      </c>
      <c r="AW644" s="2" t="s">
        <v>710</v>
      </c>
      <c r="AX644" s="2" t="str">
        <f t="shared" ref="AX644:AX707" si="32">_xlfn.CONCAT(AV644,"|",AW644)</f>
        <v>Q81|NIST PQC</v>
      </c>
      <c r="AY644" s="13" t="s">
        <v>439</v>
      </c>
      <c r="AZ644" s="13" t="s">
        <v>439</v>
      </c>
      <c r="BA644" s="2"/>
    </row>
    <row r="645" spans="48:53" x14ac:dyDescent="0.2">
      <c r="AV645" s="2" t="s">
        <v>794</v>
      </c>
      <c r="AW645" s="2" t="s">
        <v>1042</v>
      </c>
      <c r="AX645" s="2" t="str">
        <f t="shared" si="32"/>
        <v>Q81|CMMC 2.0</v>
      </c>
      <c r="AY645" s="13" t="s">
        <v>641</v>
      </c>
      <c r="AZ645" s="13" t="s">
        <v>1082</v>
      </c>
      <c r="BA645" s="2">
        <v>1</v>
      </c>
    </row>
    <row r="646" spans="48:53" x14ac:dyDescent="0.2">
      <c r="AV646" s="2" t="s">
        <v>794</v>
      </c>
      <c r="AW646" s="2" t="s">
        <v>711</v>
      </c>
      <c r="AX646" s="2" t="str">
        <f t="shared" si="32"/>
        <v>Q81|FISMA</v>
      </c>
      <c r="AY646" s="13" t="s">
        <v>447</v>
      </c>
      <c r="AZ646" s="13" t="s">
        <v>1073</v>
      </c>
      <c r="BA646" s="2">
        <v>1</v>
      </c>
    </row>
    <row r="647" spans="48:53" x14ac:dyDescent="0.2">
      <c r="AV647" s="2" t="s">
        <v>794</v>
      </c>
      <c r="AW647" s="2" t="s">
        <v>712</v>
      </c>
      <c r="AX647" s="2" t="str">
        <f t="shared" si="32"/>
        <v>Q81|FedRAMP</v>
      </c>
      <c r="AY647" s="13" t="s">
        <v>447</v>
      </c>
      <c r="AZ647" s="13" t="s">
        <v>1073</v>
      </c>
      <c r="BA647" s="2">
        <v>1</v>
      </c>
    </row>
    <row r="648" spans="48:53" x14ac:dyDescent="0.2">
      <c r="AV648" s="2" t="s">
        <v>794</v>
      </c>
      <c r="AW648" s="2" t="s">
        <v>1043</v>
      </c>
      <c r="AX648" s="2" t="str">
        <f t="shared" si="32"/>
        <v>Q81|ISO 27001</v>
      </c>
      <c r="AY648" s="13" t="s">
        <v>448</v>
      </c>
      <c r="AZ648" s="13" t="s">
        <v>1140</v>
      </c>
      <c r="BA648" s="2">
        <v>1</v>
      </c>
    </row>
    <row r="649" spans="48:53" x14ac:dyDescent="0.2">
      <c r="AV649" s="2" t="s">
        <v>794</v>
      </c>
      <c r="AW649" s="2" t="s">
        <v>713</v>
      </c>
      <c r="AX649" s="2" t="str">
        <f t="shared" si="32"/>
        <v>Q81|SOC2</v>
      </c>
      <c r="AY649" s="13" t="s">
        <v>449</v>
      </c>
      <c r="AZ649" s="13" t="s">
        <v>1191</v>
      </c>
      <c r="BA649" s="2">
        <v>1</v>
      </c>
    </row>
    <row r="650" spans="48:53" x14ac:dyDescent="0.2">
      <c r="AV650" s="2" t="s">
        <v>794</v>
      </c>
      <c r="AW650" s="2" t="s">
        <v>1044</v>
      </c>
      <c r="AX650" s="2" t="str">
        <f t="shared" si="32"/>
        <v>Q81|CIS v8</v>
      </c>
      <c r="AY650" s="13">
        <v>3.1</v>
      </c>
      <c r="AZ650" s="13" t="s">
        <v>1094</v>
      </c>
      <c r="BA650" s="2">
        <v>1</v>
      </c>
    </row>
    <row r="651" spans="48:53" x14ac:dyDescent="0.2">
      <c r="AV651" s="2" t="s">
        <v>795</v>
      </c>
      <c r="AW651" s="2" t="s">
        <v>1041</v>
      </c>
      <c r="AX651" s="2" t="str">
        <f t="shared" si="32"/>
        <v>Q82|NIST CSF 2.0</v>
      </c>
      <c r="AY651" s="13" t="s">
        <v>445</v>
      </c>
      <c r="AZ651" s="13" t="s">
        <v>1064</v>
      </c>
      <c r="BA651" s="2">
        <v>1</v>
      </c>
    </row>
    <row r="652" spans="48:53" x14ac:dyDescent="0.2">
      <c r="AV652" s="2" t="s">
        <v>795</v>
      </c>
      <c r="AW652" s="2" t="s">
        <v>710</v>
      </c>
      <c r="AX652" s="2" t="str">
        <f t="shared" si="32"/>
        <v>Q82|NIST PQC</v>
      </c>
      <c r="AY652" s="13" t="s">
        <v>439</v>
      </c>
      <c r="AZ652" s="13" t="s">
        <v>439</v>
      </c>
      <c r="BA652" s="2"/>
    </row>
    <row r="653" spans="48:53" x14ac:dyDescent="0.2">
      <c r="AV653" s="2" t="s">
        <v>795</v>
      </c>
      <c r="AW653" s="2" t="s">
        <v>1042</v>
      </c>
      <c r="AX653" s="2" t="str">
        <f t="shared" si="32"/>
        <v>Q82|CMMC 2.0</v>
      </c>
      <c r="AY653" s="13" t="s">
        <v>641</v>
      </c>
      <c r="AZ653" s="13" t="s">
        <v>1082</v>
      </c>
      <c r="BA653" s="2">
        <v>0.8</v>
      </c>
    </row>
    <row r="654" spans="48:53" x14ac:dyDescent="0.2">
      <c r="AV654" s="2" t="s">
        <v>795</v>
      </c>
      <c r="AW654" s="2" t="s">
        <v>711</v>
      </c>
      <c r="AX654" s="2" t="str">
        <f t="shared" si="32"/>
        <v>Q82|FISMA</v>
      </c>
      <c r="AY654" s="13" t="s">
        <v>447</v>
      </c>
      <c r="AZ654" s="13" t="s">
        <v>1073</v>
      </c>
      <c r="BA654" s="2">
        <v>1</v>
      </c>
    </row>
    <row r="655" spans="48:53" x14ac:dyDescent="0.2">
      <c r="AV655" s="2" t="s">
        <v>795</v>
      </c>
      <c r="AW655" s="2" t="s">
        <v>712</v>
      </c>
      <c r="AX655" s="2" t="str">
        <f t="shared" si="32"/>
        <v>Q82|FedRAMP</v>
      </c>
      <c r="AY655" s="13" t="s">
        <v>447</v>
      </c>
      <c r="AZ655" s="13" t="s">
        <v>1073</v>
      </c>
      <c r="BA655" s="2">
        <v>1</v>
      </c>
    </row>
    <row r="656" spans="48:53" x14ac:dyDescent="0.2">
      <c r="AV656" s="2" t="s">
        <v>795</v>
      </c>
      <c r="AW656" s="2" t="s">
        <v>1043</v>
      </c>
      <c r="AX656" s="2" t="str">
        <f t="shared" si="32"/>
        <v>Q82|ISO 27001</v>
      </c>
      <c r="AY656" s="13" t="s">
        <v>448</v>
      </c>
      <c r="AZ656" s="13" t="s">
        <v>1140</v>
      </c>
      <c r="BA656" s="2">
        <v>0.8</v>
      </c>
    </row>
    <row r="657" spans="48:53" x14ac:dyDescent="0.2">
      <c r="AV657" s="2" t="s">
        <v>795</v>
      </c>
      <c r="AW657" s="2" t="s">
        <v>713</v>
      </c>
      <c r="AX657" s="2" t="str">
        <f t="shared" si="32"/>
        <v>Q82|SOC2</v>
      </c>
      <c r="AY657" s="13" t="s">
        <v>449</v>
      </c>
      <c r="AZ657" s="13" t="s">
        <v>1191</v>
      </c>
      <c r="BA657" s="2">
        <v>0.8</v>
      </c>
    </row>
    <row r="658" spans="48:53" x14ac:dyDescent="0.2">
      <c r="AV658" s="2" t="s">
        <v>795</v>
      </c>
      <c r="AW658" s="2" t="s">
        <v>1044</v>
      </c>
      <c r="AX658" s="2" t="str">
        <f t="shared" si="32"/>
        <v>Q82|CIS v8</v>
      </c>
      <c r="AY658" s="13">
        <v>3.1</v>
      </c>
      <c r="AZ658" s="13" t="s">
        <v>1094</v>
      </c>
      <c r="BA658" s="2">
        <v>0.8</v>
      </c>
    </row>
    <row r="659" spans="48:53" x14ac:dyDescent="0.2">
      <c r="AV659" s="2" t="s">
        <v>796</v>
      </c>
      <c r="AW659" s="2" t="s">
        <v>1041</v>
      </c>
      <c r="AX659" s="2" t="str">
        <f t="shared" si="32"/>
        <v>Q83|NIST CSF 2.0</v>
      </c>
      <c r="AY659" s="13" t="s">
        <v>612</v>
      </c>
      <c r="AZ659" s="13" t="s">
        <v>1068</v>
      </c>
      <c r="BA659" s="2">
        <v>1</v>
      </c>
    </row>
    <row r="660" spans="48:53" x14ac:dyDescent="0.2">
      <c r="AV660" s="2" t="s">
        <v>796</v>
      </c>
      <c r="AW660" s="2" t="s">
        <v>710</v>
      </c>
      <c r="AX660" s="2" t="str">
        <f t="shared" si="32"/>
        <v>Q83|NIST PQC</v>
      </c>
      <c r="AY660" s="13" t="s">
        <v>439</v>
      </c>
      <c r="AZ660" s="13" t="s">
        <v>439</v>
      </c>
      <c r="BA660" s="2"/>
    </row>
    <row r="661" spans="48:53" x14ac:dyDescent="0.2">
      <c r="AV661" s="2" t="s">
        <v>796</v>
      </c>
      <c r="AW661" s="2" t="s">
        <v>1042</v>
      </c>
      <c r="AX661" s="2" t="str">
        <f t="shared" si="32"/>
        <v>Q83|CMMC 2.0</v>
      </c>
      <c r="AY661" s="13" t="s">
        <v>642</v>
      </c>
      <c r="AZ661" s="13" t="s">
        <v>1082</v>
      </c>
      <c r="BA661" s="2">
        <v>1</v>
      </c>
    </row>
    <row r="662" spans="48:53" x14ac:dyDescent="0.2">
      <c r="AV662" s="2" t="s">
        <v>796</v>
      </c>
      <c r="AW662" s="2" t="s">
        <v>711</v>
      </c>
      <c r="AX662" s="2" t="str">
        <f t="shared" si="32"/>
        <v>Q83|FISMA</v>
      </c>
      <c r="AY662" s="13" t="s">
        <v>643</v>
      </c>
      <c r="AZ662" s="13" t="s">
        <v>1082</v>
      </c>
      <c r="BA662" s="2">
        <v>1</v>
      </c>
    </row>
    <row r="663" spans="48:53" x14ac:dyDescent="0.2">
      <c r="AV663" s="2" t="s">
        <v>796</v>
      </c>
      <c r="AW663" s="2" t="s">
        <v>712</v>
      </c>
      <c r="AX663" s="2" t="str">
        <f t="shared" si="32"/>
        <v>Q83|FedRAMP</v>
      </c>
      <c r="AY663" s="13" t="s">
        <v>643</v>
      </c>
      <c r="AZ663" s="13" t="s">
        <v>1082</v>
      </c>
      <c r="BA663" s="2">
        <v>1</v>
      </c>
    </row>
    <row r="664" spans="48:53" x14ac:dyDescent="0.2">
      <c r="AV664" s="2" t="s">
        <v>796</v>
      </c>
      <c r="AW664" s="2" t="s">
        <v>1043</v>
      </c>
      <c r="AX664" s="2" t="str">
        <f t="shared" si="32"/>
        <v>Q83|ISO 27001</v>
      </c>
      <c r="AY664" s="13" t="s">
        <v>644</v>
      </c>
      <c r="AZ664" s="13" t="s">
        <v>1140</v>
      </c>
      <c r="BA664" s="2">
        <v>1</v>
      </c>
    </row>
    <row r="665" spans="48:53" x14ac:dyDescent="0.2">
      <c r="AV665" s="2" t="s">
        <v>796</v>
      </c>
      <c r="AW665" s="2" t="s">
        <v>713</v>
      </c>
      <c r="AX665" s="2" t="str">
        <f t="shared" si="32"/>
        <v>Q83|SOC2</v>
      </c>
      <c r="AY665" s="13" t="s">
        <v>449</v>
      </c>
      <c r="AZ665" s="13" t="s">
        <v>1191</v>
      </c>
      <c r="BA665" s="2">
        <v>1</v>
      </c>
    </row>
    <row r="666" spans="48:53" x14ac:dyDescent="0.2">
      <c r="AV666" s="2" t="s">
        <v>796</v>
      </c>
      <c r="AW666" s="2" t="s">
        <v>1044</v>
      </c>
      <c r="AX666" s="2" t="str">
        <f t="shared" si="32"/>
        <v>Q83|CIS v8</v>
      </c>
      <c r="AY666" s="13">
        <v>3.2</v>
      </c>
      <c r="AZ666" s="13" t="s">
        <v>1094</v>
      </c>
      <c r="BA666" s="2">
        <v>0.8</v>
      </c>
    </row>
    <row r="667" spans="48:53" x14ac:dyDescent="0.2">
      <c r="AV667" s="2" t="s">
        <v>797</v>
      </c>
      <c r="AW667" s="2" t="s">
        <v>1041</v>
      </c>
      <c r="AX667" s="2" t="str">
        <f t="shared" si="32"/>
        <v>Q84|NIST CSF 2.0</v>
      </c>
      <c r="AY667" s="13" t="s">
        <v>612</v>
      </c>
      <c r="AZ667" s="13" t="s">
        <v>1068</v>
      </c>
      <c r="BA667" s="2">
        <v>1</v>
      </c>
    </row>
    <row r="668" spans="48:53" x14ac:dyDescent="0.2">
      <c r="AV668" s="2" t="s">
        <v>797</v>
      </c>
      <c r="AW668" s="2" t="s">
        <v>710</v>
      </c>
      <c r="AX668" s="2" t="str">
        <f t="shared" si="32"/>
        <v>Q84|NIST PQC</v>
      </c>
      <c r="AY668" s="13" t="s">
        <v>439</v>
      </c>
      <c r="AZ668" s="13" t="s">
        <v>439</v>
      </c>
      <c r="BA668" s="2"/>
    </row>
    <row r="669" spans="48:53" x14ac:dyDescent="0.2">
      <c r="AV669" s="2" t="s">
        <v>797</v>
      </c>
      <c r="AW669" s="2" t="s">
        <v>1042</v>
      </c>
      <c r="AX669" s="2" t="str">
        <f t="shared" si="32"/>
        <v>Q84|CMMC 2.0</v>
      </c>
      <c r="AY669" s="13" t="s">
        <v>645</v>
      </c>
      <c r="AZ669" s="13" t="s">
        <v>1082</v>
      </c>
      <c r="BA669" s="2">
        <v>1</v>
      </c>
    </row>
    <row r="670" spans="48:53" x14ac:dyDescent="0.2">
      <c r="AV670" s="2" t="s">
        <v>797</v>
      </c>
      <c r="AW670" s="2" t="s">
        <v>711</v>
      </c>
      <c r="AX670" s="2" t="str">
        <f t="shared" si="32"/>
        <v>Q84|FISMA</v>
      </c>
      <c r="AY670" s="13" t="s">
        <v>646</v>
      </c>
      <c r="AZ670" s="13" t="s">
        <v>1082</v>
      </c>
      <c r="BA670" s="2">
        <v>1</v>
      </c>
    </row>
    <row r="671" spans="48:53" x14ac:dyDescent="0.2">
      <c r="AV671" s="2" t="s">
        <v>797</v>
      </c>
      <c r="AW671" s="2" t="s">
        <v>712</v>
      </c>
      <c r="AX671" s="2" t="str">
        <f t="shared" si="32"/>
        <v>Q84|FedRAMP</v>
      </c>
      <c r="AY671" s="13" t="s">
        <v>646</v>
      </c>
      <c r="AZ671" s="13" t="s">
        <v>1082</v>
      </c>
      <c r="BA671" s="2">
        <v>1</v>
      </c>
    </row>
    <row r="672" spans="48:53" x14ac:dyDescent="0.2">
      <c r="AV672" s="2" t="s">
        <v>797</v>
      </c>
      <c r="AW672" s="2" t="s">
        <v>1043</v>
      </c>
      <c r="AX672" s="2" t="str">
        <f t="shared" si="32"/>
        <v>Q84|ISO 27001</v>
      </c>
      <c r="AY672" s="13" t="s">
        <v>603</v>
      </c>
      <c r="AZ672" s="13" t="s">
        <v>1140</v>
      </c>
      <c r="BA672" s="2">
        <v>1</v>
      </c>
    </row>
    <row r="673" spans="48:53" x14ac:dyDescent="0.2">
      <c r="AV673" s="2" t="s">
        <v>797</v>
      </c>
      <c r="AW673" s="2" t="s">
        <v>713</v>
      </c>
      <c r="AX673" s="2" t="str">
        <f t="shared" si="32"/>
        <v>Q84|SOC2</v>
      </c>
      <c r="AY673" s="13" t="s">
        <v>449</v>
      </c>
      <c r="AZ673" s="13" t="s">
        <v>1191</v>
      </c>
      <c r="BA673" s="2">
        <v>1</v>
      </c>
    </row>
    <row r="674" spans="48:53" x14ac:dyDescent="0.2">
      <c r="AV674" s="2" t="s">
        <v>797</v>
      </c>
      <c r="AW674" s="2" t="s">
        <v>1044</v>
      </c>
      <c r="AX674" s="2" t="str">
        <f t="shared" si="32"/>
        <v>Q84|CIS v8</v>
      </c>
      <c r="AY674" s="13">
        <v>3.3</v>
      </c>
      <c r="AZ674" s="13" t="s">
        <v>1094</v>
      </c>
      <c r="BA674" s="2">
        <v>1</v>
      </c>
    </row>
    <row r="675" spans="48:53" x14ac:dyDescent="0.2">
      <c r="AV675" s="2" t="s">
        <v>798</v>
      </c>
      <c r="AW675" s="2" t="s">
        <v>1041</v>
      </c>
      <c r="AX675" s="2" t="str">
        <f t="shared" si="32"/>
        <v>Q85|NIST CSF 2.0</v>
      </c>
      <c r="AY675" s="13" t="s">
        <v>647</v>
      </c>
      <c r="AZ675" s="13" t="s">
        <v>1068</v>
      </c>
      <c r="BA675" s="2">
        <v>1</v>
      </c>
    </row>
    <row r="676" spans="48:53" x14ac:dyDescent="0.2">
      <c r="AV676" s="2" t="s">
        <v>798</v>
      </c>
      <c r="AW676" s="2" t="s">
        <v>710</v>
      </c>
      <c r="AX676" s="2" t="str">
        <f t="shared" si="32"/>
        <v>Q85|NIST PQC</v>
      </c>
      <c r="AY676" s="13" t="s">
        <v>439</v>
      </c>
      <c r="AZ676" s="13" t="s">
        <v>439</v>
      </c>
      <c r="BA676" s="2"/>
    </row>
    <row r="677" spans="48:53" x14ac:dyDescent="0.2">
      <c r="AV677" s="2" t="s">
        <v>798</v>
      </c>
      <c r="AW677" s="2" t="s">
        <v>1042</v>
      </c>
      <c r="AX677" s="2" t="str">
        <f t="shared" si="32"/>
        <v>Q85|CMMC 2.0</v>
      </c>
      <c r="AY677" s="13" t="s">
        <v>641</v>
      </c>
      <c r="AZ677" s="13" t="s">
        <v>1082</v>
      </c>
      <c r="BA677" s="2">
        <v>0.8</v>
      </c>
    </row>
    <row r="678" spans="48:53" x14ac:dyDescent="0.2">
      <c r="AV678" s="2" t="s">
        <v>798</v>
      </c>
      <c r="AW678" s="2" t="s">
        <v>711</v>
      </c>
      <c r="AX678" s="2" t="str">
        <f t="shared" si="32"/>
        <v>Q85|FISMA</v>
      </c>
      <c r="AY678" s="13" t="s">
        <v>648</v>
      </c>
      <c r="AZ678" s="13" t="s">
        <v>1082</v>
      </c>
      <c r="BA678" s="2">
        <v>1</v>
      </c>
    </row>
    <row r="679" spans="48:53" x14ac:dyDescent="0.2">
      <c r="AV679" s="2" t="s">
        <v>798</v>
      </c>
      <c r="AW679" s="2" t="s">
        <v>712</v>
      </c>
      <c r="AX679" s="2" t="str">
        <f t="shared" si="32"/>
        <v>Q85|FedRAMP</v>
      </c>
      <c r="AY679" s="13" t="s">
        <v>648</v>
      </c>
      <c r="AZ679" s="13" t="s">
        <v>1082</v>
      </c>
      <c r="BA679" s="2">
        <v>1</v>
      </c>
    </row>
    <row r="680" spans="48:53" x14ac:dyDescent="0.2">
      <c r="AV680" s="2" t="s">
        <v>798</v>
      </c>
      <c r="AW680" s="2" t="s">
        <v>1043</v>
      </c>
      <c r="AX680" s="2" t="str">
        <f t="shared" si="32"/>
        <v>Q85|ISO 27001</v>
      </c>
      <c r="AY680" s="13" t="s">
        <v>649</v>
      </c>
      <c r="AZ680" s="13" t="s">
        <v>1140</v>
      </c>
      <c r="BA680" s="2">
        <v>1</v>
      </c>
    </row>
    <row r="681" spans="48:53" x14ac:dyDescent="0.2">
      <c r="AV681" s="2" t="s">
        <v>798</v>
      </c>
      <c r="AW681" s="2" t="s">
        <v>713</v>
      </c>
      <c r="AX681" s="2" t="str">
        <f t="shared" si="32"/>
        <v>Q85|SOC2</v>
      </c>
      <c r="AY681" s="13" t="s">
        <v>650</v>
      </c>
      <c r="AZ681" s="13" t="s">
        <v>1191</v>
      </c>
      <c r="BA681" s="2">
        <v>1</v>
      </c>
    </row>
    <row r="682" spans="48:53" x14ac:dyDescent="0.2">
      <c r="AV682" s="2" t="s">
        <v>798</v>
      </c>
      <c r="AW682" s="2" t="s">
        <v>1044</v>
      </c>
      <c r="AX682" s="2" t="str">
        <f t="shared" si="32"/>
        <v>Q85|CIS v8</v>
      </c>
      <c r="AY682" s="13">
        <v>3.4</v>
      </c>
      <c r="AZ682" s="13" t="s">
        <v>1094</v>
      </c>
      <c r="BA682" s="2">
        <v>0.8</v>
      </c>
    </row>
    <row r="683" spans="48:53" x14ac:dyDescent="0.2">
      <c r="AV683" s="2" t="s">
        <v>799</v>
      </c>
      <c r="AW683" s="2" t="s">
        <v>1041</v>
      </c>
      <c r="AX683" s="2" t="str">
        <f t="shared" si="32"/>
        <v>Q86|NIST CSF 2.0</v>
      </c>
      <c r="AY683" s="13" t="s">
        <v>647</v>
      </c>
      <c r="AZ683" s="13" t="s">
        <v>1068</v>
      </c>
      <c r="BA683" s="2">
        <v>1</v>
      </c>
    </row>
    <row r="684" spans="48:53" x14ac:dyDescent="0.2">
      <c r="AV684" s="2" t="s">
        <v>799</v>
      </c>
      <c r="AW684" s="2" t="s">
        <v>710</v>
      </c>
      <c r="AX684" s="2" t="str">
        <f t="shared" si="32"/>
        <v>Q86|NIST PQC</v>
      </c>
      <c r="AY684" s="13" t="s">
        <v>439</v>
      </c>
      <c r="AZ684" s="13" t="s">
        <v>439</v>
      </c>
      <c r="BA684" s="2"/>
    </row>
    <row r="685" spans="48:53" x14ac:dyDescent="0.2">
      <c r="AV685" s="2" t="s">
        <v>799</v>
      </c>
      <c r="AW685" s="2" t="s">
        <v>1042</v>
      </c>
      <c r="AX685" s="2" t="str">
        <f t="shared" si="32"/>
        <v>Q86|CMMC 2.0</v>
      </c>
      <c r="AY685" s="13" t="s">
        <v>645</v>
      </c>
      <c r="AZ685" s="13" t="s">
        <v>1082</v>
      </c>
      <c r="BA685" s="2">
        <v>1</v>
      </c>
    </row>
    <row r="686" spans="48:53" x14ac:dyDescent="0.2">
      <c r="AV686" s="2" t="s">
        <v>799</v>
      </c>
      <c r="AW686" s="2" t="s">
        <v>711</v>
      </c>
      <c r="AX686" s="2" t="str">
        <f t="shared" si="32"/>
        <v>Q86|FISMA</v>
      </c>
      <c r="AY686" s="13" t="s">
        <v>648</v>
      </c>
      <c r="AZ686" s="13" t="s">
        <v>1082</v>
      </c>
      <c r="BA686" s="2">
        <v>1</v>
      </c>
    </row>
    <row r="687" spans="48:53" x14ac:dyDescent="0.2">
      <c r="AV687" s="2" t="s">
        <v>799</v>
      </c>
      <c r="AW687" s="2" t="s">
        <v>712</v>
      </c>
      <c r="AX687" s="2" t="str">
        <f t="shared" si="32"/>
        <v>Q86|FedRAMP</v>
      </c>
      <c r="AY687" s="13" t="s">
        <v>648</v>
      </c>
      <c r="AZ687" s="13" t="s">
        <v>1082</v>
      </c>
      <c r="BA687" s="2">
        <v>1</v>
      </c>
    </row>
    <row r="688" spans="48:53" x14ac:dyDescent="0.2">
      <c r="AV688" s="2" t="s">
        <v>799</v>
      </c>
      <c r="AW688" s="2" t="s">
        <v>1043</v>
      </c>
      <c r="AX688" s="2" t="str">
        <f t="shared" si="32"/>
        <v>Q86|ISO 27001</v>
      </c>
      <c r="AY688" s="13" t="s">
        <v>651</v>
      </c>
      <c r="AZ688" s="13" t="s">
        <v>1140</v>
      </c>
      <c r="BA688" s="2">
        <v>1</v>
      </c>
    </row>
    <row r="689" spans="48:53" x14ac:dyDescent="0.2">
      <c r="AV689" s="2" t="s">
        <v>799</v>
      </c>
      <c r="AW689" s="2" t="s">
        <v>713</v>
      </c>
      <c r="AX689" s="2" t="str">
        <f t="shared" si="32"/>
        <v>Q86|SOC2</v>
      </c>
      <c r="AY689" s="13" t="s">
        <v>650</v>
      </c>
      <c r="AZ689" s="13" t="s">
        <v>1191</v>
      </c>
      <c r="BA689" s="2">
        <v>1</v>
      </c>
    </row>
    <row r="690" spans="48:53" x14ac:dyDescent="0.2">
      <c r="AV690" s="2" t="s">
        <v>799</v>
      </c>
      <c r="AW690" s="2" t="s">
        <v>1044</v>
      </c>
      <c r="AX690" s="2" t="str">
        <f t="shared" si="32"/>
        <v>Q86|CIS v8</v>
      </c>
      <c r="AY690" s="13">
        <v>3.6</v>
      </c>
      <c r="AZ690" s="13" t="s">
        <v>1094</v>
      </c>
      <c r="BA690" s="2">
        <v>1</v>
      </c>
    </row>
    <row r="691" spans="48:53" x14ac:dyDescent="0.2">
      <c r="AV691" s="2" t="s">
        <v>800</v>
      </c>
      <c r="AW691" s="2" t="s">
        <v>1041</v>
      </c>
      <c r="AX691" s="2" t="str">
        <f t="shared" si="32"/>
        <v>Q87|NIST CSF 2.0</v>
      </c>
      <c r="AY691" s="13" t="s">
        <v>652</v>
      </c>
      <c r="AZ691" s="13" t="s">
        <v>1068</v>
      </c>
      <c r="BA691" s="2">
        <v>1</v>
      </c>
    </row>
    <row r="692" spans="48:53" x14ac:dyDescent="0.2">
      <c r="AV692" s="2" t="s">
        <v>800</v>
      </c>
      <c r="AW692" s="2" t="s">
        <v>710</v>
      </c>
      <c r="AX692" s="2" t="str">
        <f t="shared" si="32"/>
        <v>Q87|NIST PQC</v>
      </c>
      <c r="AY692" s="13" t="s">
        <v>439</v>
      </c>
      <c r="AZ692" s="13" t="s">
        <v>439</v>
      </c>
      <c r="BA692" s="2"/>
    </row>
    <row r="693" spans="48:53" x14ac:dyDescent="0.2">
      <c r="AV693" s="2" t="s">
        <v>800</v>
      </c>
      <c r="AW693" s="2" t="s">
        <v>1042</v>
      </c>
      <c r="AX693" s="2" t="str">
        <f t="shared" si="32"/>
        <v>Q87|CMMC 2.0</v>
      </c>
      <c r="AY693" s="13" t="s">
        <v>653</v>
      </c>
      <c r="AZ693" s="13" t="s">
        <v>1082</v>
      </c>
      <c r="BA693" s="2">
        <v>0.8</v>
      </c>
    </row>
    <row r="694" spans="48:53" x14ac:dyDescent="0.2">
      <c r="AV694" s="2" t="s">
        <v>800</v>
      </c>
      <c r="AW694" s="2" t="s">
        <v>711</v>
      </c>
      <c r="AX694" s="2" t="str">
        <f t="shared" si="32"/>
        <v>Q87|FISMA</v>
      </c>
      <c r="AY694" s="13" t="s">
        <v>654</v>
      </c>
      <c r="AZ694" s="13" t="s">
        <v>1082</v>
      </c>
      <c r="BA694" s="2">
        <v>1</v>
      </c>
    </row>
    <row r="695" spans="48:53" x14ac:dyDescent="0.2">
      <c r="AV695" s="2" t="s">
        <v>800</v>
      </c>
      <c r="AW695" s="2" t="s">
        <v>712</v>
      </c>
      <c r="AX695" s="2" t="str">
        <f t="shared" si="32"/>
        <v>Q87|FedRAMP</v>
      </c>
      <c r="AY695" s="13" t="s">
        <v>654</v>
      </c>
      <c r="AZ695" s="13" t="s">
        <v>1082</v>
      </c>
      <c r="BA695" s="2">
        <v>1</v>
      </c>
    </row>
    <row r="696" spans="48:53" x14ac:dyDescent="0.2">
      <c r="AV696" s="2" t="s">
        <v>800</v>
      </c>
      <c r="AW696" s="2" t="s">
        <v>1043</v>
      </c>
      <c r="AX696" s="2" t="str">
        <f t="shared" si="32"/>
        <v>Q87|ISO 27001</v>
      </c>
      <c r="AY696" s="13" t="s">
        <v>603</v>
      </c>
      <c r="AZ696" s="13" t="s">
        <v>1140</v>
      </c>
      <c r="BA696" s="2">
        <v>0.8</v>
      </c>
    </row>
    <row r="697" spans="48:53" x14ac:dyDescent="0.2">
      <c r="AV697" s="2" t="s">
        <v>800</v>
      </c>
      <c r="AW697" s="2" t="s">
        <v>713</v>
      </c>
      <c r="AX697" s="2" t="str">
        <f t="shared" si="32"/>
        <v>Q87|SOC2</v>
      </c>
      <c r="AY697" s="13" t="s">
        <v>655</v>
      </c>
      <c r="AZ697" s="13" t="s">
        <v>1191</v>
      </c>
      <c r="BA697" s="2">
        <v>1</v>
      </c>
    </row>
    <row r="698" spans="48:53" x14ac:dyDescent="0.2">
      <c r="AV698" s="2" t="s">
        <v>800</v>
      </c>
      <c r="AW698" s="2" t="s">
        <v>1044</v>
      </c>
      <c r="AX698" s="2" t="str">
        <f t="shared" si="32"/>
        <v>Q87|CIS v8</v>
      </c>
      <c r="AY698" s="13">
        <v>3.3</v>
      </c>
      <c r="AZ698" s="13" t="s">
        <v>1094</v>
      </c>
      <c r="BA698" s="2">
        <v>0.6</v>
      </c>
    </row>
    <row r="699" spans="48:53" x14ac:dyDescent="0.2">
      <c r="AV699" s="2" t="s">
        <v>801</v>
      </c>
      <c r="AW699" s="2" t="s">
        <v>1041</v>
      </c>
      <c r="AX699" s="2" t="str">
        <f t="shared" si="32"/>
        <v>Q88|NIST CSF 2.0</v>
      </c>
      <c r="AY699" s="13" t="s">
        <v>608</v>
      </c>
      <c r="AZ699" s="13" t="s">
        <v>1068</v>
      </c>
      <c r="BA699" s="2">
        <v>1</v>
      </c>
    </row>
    <row r="700" spans="48:53" x14ac:dyDescent="0.2">
      <c r="AV700" s="2" t="s">
        <v>801</v>
      </c>
      <c r="AW700" s="2" t="s">
        <v>710</v>
      </c>
      <c r="AX700" s="2" t="str">
        <f t="shared" si="32"/>
        <v>Q88|NIST PQC</v>
      </c>
      <c r="AY700" s="13" t="s">
        <v>439</v>
      </c>
      <c r="AZ700" s="13" t="s">
        <v>439</v>
      </c>
      <c r="BA700" s="2"/>
    </row>
    <row r="701" spans="48:53" x14ac:dyDescent="0.2">
      <c r="AV701" s="2" t="s">
        <v>801</v>
      </c>
      <c r="AW701" s="2" t="s">
        <v>1042</v>
      </c>
      <c r="AX701" s="2" t="str">
        <f t="shared" si="32"/>
        <v>Q88|CMMC 2.0</v>
      </c>
      <c r="AY701" s="13" t="s">
        <v>656</v>
      </c>
      <c r="AZ701" s="13" t="s">
        <v>1071</v>
      </c>
      <c r="BA701" s="2">
        <v>1</v>
      </c>
    </row>
    <row r="702" spans="48:53" x14ac:dyDescent="0.2">
      <c r="AV702" s="2" t="s">
        <v>801</v>
      </c>
      <c r="AW702" s="2" t="s">
        <v>711</v>
      </c>
      <c r="AX702" s="2" t="str">
        <f t="shared" si="32"/>
        <v>Q88|FISMA</v>
      </c>
      <c r="AY702" s="13" t="s">
        <v>464</v>
      </c>
      <c r="AZ702" s="13" t="s">
        <v>1071</v>
      </c>
      <c r="BA702" s="2">
        <v>1</v>
      </c>
    </row>
    <row r="703" spans="48:53" x14ac:dyDescent="0.2">
      <c r="AV703" s="2" t="s">
        <v>801</v>
      </c>
      <c r="AW703" s="2" t="s">
        <v>712</v>
      </c>
      <c r="AX703" s="2" t="str">
        <f t="shared" si="32"/>
        <v>Q88|FedRAMP</v>
      </c>
      <c r="AY703" s="13" t="s">
        <v>464</v>
      </c>
      <c r="AZ703" s="13" t="s">
        <v>1071</v>
      </c>
      <c r="BA703" s="2">
        <v>1</v>
      </c>
    </row>
    <row r="704" spans="48:53" x14ac:dyDescent="0.2">
      <c r="AV704" s="2" t="s">
        <v>801</v>
      </c>
      <c r="AW704" s="2" t="s">
        <v>1043</v>
      </c>
      <c r="AX704" s="2" t="str">
        <f t="shared" si="32"/>
        <v>Q88|ISO 27001</v>
      </c>
      <c r="AY704" s="13" t="s">
        <v>649</v>
      </c>
      <c r="AZ704" s="13" t="s">
        <v>1140</v>
      </c>
      <c r="BA704" s="2">
        <v>1</v>
      </c>
    </row>
    <row r="705" spans="48:53" x14ac:dyDescent="0.2">
      <c r="AV705" s="2" t="s">
        <v>801</v>
      </c>
      <c r="AW705" s="2" t="s">
        <v>713</v>
      </c>
      <c r="AX705" s="2" t="str">
        <f t="shared" si="32"/>
        <v>Q88|SOC2</v>
      </c>
      <c r="AY705" s="13" t="s">
        <v>462</v>
      </c>
      <c r="AZ705" s="13" t="s">
        <v>1191</v>
      </c>
      <c r="BA705" s="2">
        <v>1</v>
      </c>
    </row>
    <row r="706" spans="48:53" x14ac:dyDescent="0.2">
      <c r="AV706" s="2" t="s">
        <v>801</v>
      </c>
      <c r="AW706" s="2" t="s">
        <v>1044</v>
      </c>
      <c r="AX706" s="2" t="str">
        <f t="shared" si="32"/>
        <v>Q88|CIS v8</v>
      </c>
      <c r="AY706" s="13">
        <v>3.7</v>
      </c>
      <c r="AZ706" s="13" t="s">
        <v>1094</v>
      </c>
      <c r="BA706" s="2">
        <v>1</v>
      </c>
    </row>
    <row r="707" spans="48:53" x14ac:dyDescent="0.2">
      <c r="AV707" s="2" t="s">
        <v>802</v>
      </c>
      <c r="AW707" s="2" t="s">
        <v>1041</v>
      </c>
      <c r="AX707" s="2" t="str">
        <f t="shared" si="32"/>
        <v>Q89|NIST CSF 2.0</v>
      </c>
      <c r="AY707" s="13" t="s">
        <v>657</v>
      </c>
      <c r="AZ707" s="13" t="s">
        <v>1068</v>
      </c>
      <c r="BA707" s="2">
        <v>1</v>
      </c>
    </row>
    <row r="708" spans="48:53" x14ac:dyDescent="0.2">
      <c r="AV708" s="2" t="s">
        <v>802</v>
      </c>
      <c r="AW708" s="2" t="s">
        <v>710</v>
      </c>
      <c r="AX708" s="2" t="str">
        <f t="shared" ref="AX708:AX771" si="33">_xlfn.CONCAT(AV708,"|",AW708)</f>
        <v>Q89|NIST PQC</v>
      </c>
      <c r="AY708" s="13" t="s">
        <v>439</v>
      </c>
      <c r="AZ708" s="13" t="s">
        <v>439</v>
      </c>
      <c r="BA708" s="2"/>
    </row>
    <row r="709" spans="48:53" x14ac:dyDescent="0.2">
      <c r="AV709" s="2" t="s">
        <v>802</v>
      </c>
      <c r="AW709" s="2" t="s">
        <v>1042</v>
      </c>
      <c r="AX709" s="2" t="str">
        <f t="shared" si="33"/>
        <v>Q89|CMMC 2.0</v>
      </c>
      <c r="AY709" s="13" t="s">
        <v>641</v>
      </c>
      <c r="AZ709" s="13" t="s">
        <v>1082</v>
      </c>
      <c r="BA709" s="2">
        <v>0.8</v>
      </c>
    </row>
    <row r="710" spans="48:53" x14ac:dyDescent="0.2">
      <c r="AV710" s="2" t="s">
        <v>802</v>
      </c>
      <c r="AW710" s="2" t="s">
        <v>711</v>
      </c>
      <c r="AX710" s="2" t="str">
        <f t="shared" si="33"/>
        <v>Q89|FISMA</v>
      </c>
      <c r="AY710" s="13" t="s">
        <v>658</v>
      </c>
      <c r="AZ710" s="13" t="s">
        <v>1070</v>
      </c>
      <c r="BA710" s="2">
        <v>1</v>
      </c>
    </row>
    <row r="711" spans="48:53" x14ac:dyDescent="0.2">
      <c r="AV711" s="2" t="s">
        <v>802</v>
      </c>
      <c r="AW711" s="2" t="s">
        <v>712</v>
      </c>
      <c r="AX711" s="2" t="str">
        <f t="shared" si="33"/>
        <v>Q89|FedRAMP</v>
      </c>
      <c r="AY711" s="13" t="s">
        <v>658</v>
      </c>
      <c r="AZ711" s="13" t="s">
        <v>1070</v>
      </c>
      <c r="BA711" s="2">
        <v>1</v>
      </c>
    </row>
    <row r="712" spans="48:53" x14ac:dyDescent="0.2">
      <c r="AV712" s="2" t="s">
        <v>802</v>
      </c>
      <c r="AW712" s="2" t="s">
        <v>1043</v>
      </c>
      <c r="AX712" s="2" t="str">
        <f t="shared" si="33"/>
        <v>Q89|ISO 27001</v>
      </c>
      <c r="AY712" s="13" t="s">
        <v>595</v>
      </c>
      <c r="AZ712" s="13" t="s">
        <v>1150</v>
      </c>
      <c r="BA712" s="2">
        <v>1</v>
      </c>
    </row>
    <row r="713" spans="48:53" x14ac:dyDescent="0.2">
      <c r="AV713" s="2" t="s">
        <v>802</v>
      </c>
      <c r="AW713" s="2" t="s">
        <v>713</v>
      </c>
      <c r="AX713" s="2" t="str">
        <f t="shared" si="33"/>
        <v>Q89|SOC2</v>
      </c>
      <c r="AY713" s="13" t="s">
        <v>659</v>
      </c>
      <c r="AZ713" s="13" t="s">
        <v>1165</v>
      </c>
      <c r="BA713" s="2">
        <v>1</v>
      </c>
    </row>
    <row r="714" spans="48:53" x14ac:dyDescent="0.2">
      <c r="AV714" s="2" t="s">
        <v>802</v>
      </c>
      <c r="AW714" s="2" t="s">
        <v>1044</v>
      </c>
      <c r="AX714" s="2" t="str">
        <f t="shared" si="33"/>
        <v>Q89|CIS v8</v>
      </c>
      <c r="AY714" s="13">
        <v>3.8</v>
      </c>
      <c r="AZ714" s="13" t="s">
        <v>1094</v>
      </c>
      <c r="BA714" s="2">
        <v>0.8</v>
      </c>
    </row>
    <row r="715" spans="48:53" x14ac:dyDescent="0.2">
      <c r="AV715" s="2" t="s">
        <v>803</v>
      </c>
      <c r="AW715" s="2" t="s">
        <v>1041</v>
      </c>
      <c r="AX715" s="2" t="str">
        <f t="shared" si="33"/>
        <v>Q90|NIST CSF 2.0</v>
      </c>
      <c r="AY715" s="13" t="s">
        <v>652</v>
      </c>
      <c r="AZ715" s="13" t="s">
        <v>1068</v>
      </c>
      <c r="BA715" s="2">
        <v>1</v>
      </c>
    </row>
    <row r="716" spans="48:53" x14ac:dyDescent="0.2">
      <c r="AV716" s="2" t="s">
        <v>803</v>
      </c>
      <c r="AW716" s="2" t="s">
        <v>710</v>
      </c>
      <c r="AX716" s="2" t="str">
        <f t="shared" si="33"/>
        <v>Q90|NIST PQC</v>
      </c>
      <c r="AY716" s="13" t="s">
        <v>439</v>
      </c>
      <c r="AZ716" s="13" t="s">
        <v>439</v>
      </c>
      <c r="BA716" s="2"/>
    </row>
    <row r="717" spans="48:53" x14ac:dyDescent="0.2">
      <c r="AV717" s="2" t="s">
        <v>803</v>
      </c>
      <c r="AW717" s="2" t="s">
        <v>1042</v>
      </c>
      <c r="AX717" s="2" t="str">
        <f t="shared" si="33"/>
        <v>Q90|CMMC 2.0</v>
      </c>
      <c r="AY717" s="13" t="s">
        <v>653</v>
      </c>
      <c r="AZ717" s="13" t="s">
        <v>1082</v>
      </c>
      <c r="BA717" s="2">
        <v>0.8</v>
      </c>
    </row>
    <row r="718" spans="48:53" x14ac:dyDescent="0.2">
      <c r="AV718" s="2" t="s">
        <v>803</v>
      </c>
      <c r="AW718" s="2" t="s">
        <v>711</v>
      </c>
      <c r="AX718" s="2" t="str">
        <f t="shared" si="33"/>
        <v>Q90|FISMA</v>
      </c>
      <c r="AY718" s="13" t="s">
        <v>654</v>
      </c>
      <c r="AZ718" s="13" t="s">
        <v>1082</v>
      </c>
      <c r="BA718" s="2">
        <v>1</v>
      </c>
    </row>
    <row r="719" spans="48:53" x14ac:dyDescent="0.2">
      <c r="AV719" s="2" t="s">
        <v>803</v>
      </c>
      <c r="AW719" s="2" t="s">
        <v>712</v>
      </c>
      <c r="AX719" s="2" t="str">
        <f t="shared" si="33"/>
        <v>Q90|FedRAMP</v>
      </c>
      <c r="AY719" s="13" t="s">
        <v>654</v>
      </c>
      <c r="AZ719" s="13" t="s">
        <v>1082</v>
      </c>
      <c r="BA719" s="2">
        <v>1</v>
      </c>
    </row>
    <row r="720" spans="48:53" x14ac:dyDescent="0.2">
      <c r="AV720" s="2" t="s">
        <v>803</v>
      </c>
      <c r="AW720" s="2" t="s">
        <v>1043</v>
      </c>
      <c r="AX720" s="2" t="str">
        <f t="shared" si="33"/>
        <v>Q90|ISO 27001</v>
      </c>
      <c r="AY720" s="13" t="s">
        <v>595</v>
      </c>
      <c r="AZ720" s="13" t="s">
        <v>1150</v>
      </c>
      <c r="BA720" s="2">
        <v>1</v>
      </c>
    </row>
    <row r="721" spans="48:53" x14ac:dyDescent="0.2">
      <c r="AV721" s="2" t="s">
        <v>803</v>
      </c>
      <c r="AW721" s="2" t="s">
        <v>713</v>
      </c>
      <c r="AX721" s="2" t="str">
        <f t="shared" si="33"/>
        <v>Q90|SOC2</v>
      </c>
      <c r="AY721" s="13" t="s">
        <v>655</v>
      </c>
      <c r="AZ721" s="13" t="s">
        <v>1191</v>
      </c>
      <c r="BA721" s="2">
        <v>1</v>
      </c>
    </row>
    <row r="722" spans="48:53" x14ac:dyDescent="0.2">
      <c r="AV722" s="2" t="s">
        <v>803</v>
      </c>
      <c r="AW722" s="2" t="s">
        <v>1044</v>
      </c>
      <c r="AX722" s="2" t="str">
        <f t="shared" si="33"/>
        <v>Q90|CIS v8</v>
      </c>
      <c r="AY722" s="13">
        <v>3.3</v>
      </c>
      <c r="AZ722" s="13" t="s">
        <v>1094</v>
      </c>
      <c r="BA722" s="2">
        <v>0.6</v>
      </c>
    </row>
    <row r="723" spans="48:53" x14ac:dyDescent="0.2">
      <c r="AV723" s="2" t="s">
        <v>804</v>
      </c>
      <c r="AW723" s="2" t="s">
        <v>1041</v>
      </c>
      <c r="AX723" s="2" t="str">
        <f t="shared" si="33"/>
        <v>Q91|NIST CSF 2.0</v>
      </c>
      <c r="AY723" s="13" t="s">
        <v>660</v>
      </c>
      <c r="AZ723" s="13" t="s">
        <v>1068</v>
      </c>
      <c r="BA723" s="2">
        <v>1</v>
      </c>
    </row>
    <row r="724" spans="48:53" x14ac:dyDescent="0.2">
      <c r="AV724" s="2" t="s">
        <v>804</v>
      </c>
      <c r="AW724" s="2" t="s">
        <v>710</v>
      </c>
      <c r="AX724" s="2" t="str">
        <f t="shared" si="33"/>
        <v>Q91|NIST PQC</v>
      </c>
      <c r="AY724" s="13" t="s">
        <v>439</v>
      </c>
      <c r="AZ724" s="13" t="s">
        <v>439</v>
      </c>
      <c r="BA724" s="2"/>
    </row>
    <row r="725" spans="48:53" x14ac:dyDescent="0.2">
      <c r="AV725" s="2" t="s">
        <v>804</v>
      </c>
      <c r="AW725" s="2" t="s">
        <v>1042</v>
      </c>
      <c r="AX725" s="2" t="str">
        <f t="shared" si="33"/>
        <v>Q91|CMMC 2.0</v>
      </c>
      <c r="AY725" s="13" t="s">
        <v>661</v>
      </c>
      <c r="AZ725" s="13" t="s">
        <v>1071</v>
      </c>
      <c r="BA725" s="2">
        <v>1</v>
      </c>
    </row>
    <row r="726" spans="48:53" x14ac:dyDescent="0.2">
      <c r="AV726" s="2" t="s">
        <v>804</v>
      </c>
      <c r="AW726" s="2" t="s">
        <v>711</v>
      </c>
      <c r="AX726" s="2" t="str">
        <f t="shared" si="33"/>
        <v>Q91|FISMA</v>
      </c>
      <c r="AY726" s="13" t="s">
        <v>464</v>
      </c>
      <c r="AZ726" s="13" t="s">
        <v>1071</v>
      </c>
      <c r="BA726" s="2">
        <v>1</v>
      </c>
    </row>
    <row r="727" spans="48:53" x14ac:dyDescent="0.2">
      <c r="AV727" s="2" t="s">
        <v>804</v>
      </c>
      <c r="AW727" s="2" t="s">
        <v>712</v>
      </c>
      <c r="AX727" s="2" t="str">
        <f t="shared" si="33"/>
        <v>Q91|FedRAMP</v>
      </c>
      <c r="AY727" s="13" t="s">
        <v>464</v>
      </c>
      <c r="AZ727" s="13" t="s">
        <v>1071</v>
      </c>
      <c r="BA727" s="2">
        <v>1</v>
      </c>
    </row>
    <row r="728" spans="48:53" x14ac:dyDescent="0.2">
      <c r="AV728" s="2" t="s">
        <v>804</v>
      </c>
      <c r="AW728" s="2" t="s">
        <v>1043</v>
      </c>
      <c r="AX728" s="2" t="str">
        <f t="shared" si="33"/>
        <v>Q91|ISO 27001</v>
      </c>
      <c r="AY728" s="13" t="s">
        <v>662</v>
      </c>
      <c r="AZ728" s="13" t="s">
        <v>1145</v>
      </c>
      <c r="BA728" s="2">
        <v>1</v>
      </c>
    </row>
    <row r="729" spans="48:53" x14ac:dyDescent="0.2">
      <c r="AV729" s="2" t="s">
        <v>804</v>
      </c>
      <c r="AW729" s="2" t="s">
        <v>713</v>
      </c>
      <c r="AX729" s="2" t="str">
        <f t="shared" si="33"/>
        <v>Q91|SOC2</v>
      </c>
      <c r="AY729" s="13" t="s">
        <v>462</v>
      </c>
      <c r="AZ729" s="13" t="s">
        <v>1191</v>
      </c>
      <c r="BA729" s="2">
        <v>1</v>
      </c>
    </row>
    <row r="730" spans="48:53" x14ac:dyDescent="0.2">
      <c r="AV730" s="2" t="s">
        <v>804</v>
      </c>
      <c r="AW730" s="2" t="s">
        <v>1044</v>
      </c>
      <c r="AX730" s="2" t="str">
        <f t="shared" si="33"/>
        <v>Q91|CIS v8</v>
      </c>
      <c r="AY730" s="13">
        <v>12.2</v>
      </c>
      <c r="AZ730" s="13" t="s">
        <v>1085</v>
      </c>
      <c r="BA730" s="2">
        <v>1</v>
      </c>
    </row>
    <row r="731" spans="48:53" x14ac:dyDescent="0.2">
      <c r="AV731" s="2" t="s">
        <v>805</v>
      </c>
      <c r="AW731" s="2" t="s">
        <v>1041</v>
      </c>
      <c r="AX731" s="2" t="str">
        <f t="shared" si="33"/>
        <v>Q92|NIST CSF 2.0</v>
      </c>
      <c r="AY731" s="13" t="s">
        <v>630</v>
      </c>
      <c r="AZ731" s="13" t="s">
        <v>1068</v>
      </c>
      <c r="BA731" s="2">
        <v>1</v>
      </c>
    </row>
    <row r="732" spans="48:53" x14ac:dyDescent="0.2">
      <c r="AV732" s="2" t="s">
        <v>805</v>
      </c>
      <c r="AW732" s="2" t="s">
        <v>710</v>
      </c>
      <c r="AX732" s="2" t="str">
        <f t="shared" si="33"/>
        <v>Q92|NIST PQC</v>
      </c>
      <c r="AY732" s="13" t="s">
        <v>439</v>
      </c>
      <c r="AZ732" s="13" t="s">
        <v>439</v>
      </c>
      <c r="BA732" s="2"/>
    </row>
    <row r="733" spans="48:53" x14ac:dyDescent="0.2">
      <c r="AV733" s="2" t="s">
        <v>805</v>
      </c>
      <c r="AW733" s="2" t="s">
        <v>1042</v>
      </c>
      <c r="AX733" s="2" t="str">
        <f t="shared" si="33"/>
        <v>Q92|CMMC 2.0</v>
      </c>
      <c r="AY733" s="13" t="s">
        <v>439</v>
      </c>
      <c r="AZ733" s="13" t="s">
        <v>439</v>
      </c>
      <c r="BA733" s="2"/>
    </row>
    <row r="734" spans="48:53" x14ac:dyDescent="0.2">
      <c r="AV734" s="2" t="s">
        <v>805</v>
      </c>
      <c r="AW734" s="2" t="s">
        <v>711</v>
      </c>
      <c r="AX734" s="2" t="str">
        <f t="shared" si="33"/>
        <v>Q92|FISMA</v>
      </c>
      <c r="AY734" s="13" t="s">
        <v>664</v>
      </c>
      <c r="AZ734" s="13" t="s">
        <v>1070</v>
      </c>
      <c r="BA734" s="2">
        <v>1</v>
      </c>
    </row>
    <row r="735" spans="48:53" x14ac:dyDescent="0.2">
      <c r="AV735" s="2" t="s">
        <v>805</v>
      </c>
      <c r="AW735" s="2" t="s">
        <v>712</v>
      </c>
      <c r="AX735" s="2" t="str">
        <f t="shared" si="33"/>
        <v>Q92|FedRAMP</v>
      </c>
      <c r="AY735" s="13" t="s">
        <v>664</v>
      </c>
      <c r="AZ735" s="13" t="s">
        <v>1070</v>
      </c>
      <c r="BA735" s="2">
        <v>1</v>
      </c>
    </row>
    <row r="736" spans="48:53" x14ac:dyDescent="0.2">
      <c r="AV736" s="2" t="s">
        <v>805</v>
      </c>
      <c r="AW736" s="2" t="s">
        <v>1043</v>
      </c>
      <c r="AX736" s="2" t="str">
        <f t="shared" si="33"/>
        <v>Q92|ISO 27001</v>
      </c>
      <c r="AY736" s="13" t="s">
        <v>662</v>
      </c>
      <c r="AZ736" s="13" t="s">
        <v>1145</v>
      </c>
      <c r="BA736" s="2">
        <v>0.8</v>
      </c>
    </row>
    <row r="737" spans="48:53" x14ac:dyDescent="0.2">
      <c r="AV737" s="2" t="s">
        <v>805</v>
      </c>
      <c r="AW737" s="2" t="s">
        <v>713</v>
      </c>
      <c r="AX737" s="2" t="str">
        <f t="shared" si="33"/>
        <v>Q92|SOC2</v>
      </c>
      <c r="AY737" s="13" t="s">
        <v>633</v>
      </c>
      <c r="AZ737" s="13" t="s">
        <v>1191</v>
      </c>
      <c r="BA737" s="2">
        <v>1</v>
      </c>
    </row>
    <row r="738" spans="48:53" x14ac:dyDescent="0.2">
      <c r="AV738" s="2" t="s">
        <v>805</v>
      </c>
      <c r="AW738" s="2" t="s">
        <v>1044</v>
      </c>
      <c r="AX738" s="2" t="str">
        <f t="shared" si="33"/>
        <v>Q92|CIS v8</v>
      </c>
      <c r="AY738" s="13">
        <v>14.1</v>
      </c>
      <c r="AZ738" s="13" t="s">
        <v>1091</v>
      </c>
      <c r="BA738" s="2">
        <v>0.8</v>
      </c>
    </row>
    <row r="739" spans="48:53" x14ac:dyDescent="0.2">
      <c r="AV739" s="2" t="s">
        <v>806</v>
      </c>
      <c r="AW739" s="2" t="s">
        <v>1041</v>
      </c>
      <c r="AX739" s="2" t="str">
        <f t="shared" si="33"/>
        <v>Q93|NIST CSF 2.0</v>
      </c>
      <c r="AY739" s="13" t="s">
        <v>660</v>
      </c>
      <c r="AZ739" s="13" t="s">
        <v>1068</v>
      </c>
      <c r="BA739" s="2">
        <v>1</v>
      </c>
    </row>
    <row r="740" spans="48:53" x14ac:dyDescent="0.2">
      <c r="AV740" s="2" t="s">
        <v>806</v>
      </c>
      <c r="AW740" s="2" t="s">
        <v>710</v>
      </c>
      <c r="AX740" s="2" t="str">
        <f t="shared" si="33"/>
        <v>Q93|NIST PQC</v>
      </c>
      <c r="AY740" s="13" t="s">
        <v>439</v>
      </c>
      <c r="AZ740" s="13" t="s">
        <v>439</v>
      </c>
      <c r="BA740" s="2"/>
    </row>
    <row r="741" spans="48:53" x14ac:dyDescent="0.2">
      <c r="AV741" s="2" t="s">
        <v>806</v>
      </c>
      <c r="AW741" s="2" t="s">
        <v>1042</v>
      </c>
      <c r="AX741" s="2" t="str">
        <f t="shared" si="33"/>
        <v>Q93|CMMC 2.0</v>
      </c>
      <c r="AY741" s="13" t="s">
        <v>439</v>
      </c>
      <c r="AZ741" s="13" t="s">
        <v>439</v>
      </c>
      <c r="BA741" s="2"/>
    </row>
    <row r="742" spans="48:53" x14ac:dyDescent="0.2">
      <c r="AV742" s="2" t="s">
        <v>806</v>
      </c>
      <c r="AW742" s="2" t="s">
        <v>711</v>
      </c>
      <c r="AX742" s="2" t="str">
        <f t="shared" si="33"/>
        <v>Q93|FISMA</v>
      </c>
      <c r="AY742" s="13" t="s">
        <v>464</v>
      </c>
      <c r="AZ742" s="13" t="s">
        <v>1071</v>
      </c>
      <c r="BA742" s="2">
        <v>1</v>
      </c>
    </row>
    <row r="743" spans="48:53" x14ac:dyDescent="0.2">
      <c r="AV743" s="2" t="s">
        <v>806</v>
      </c>
      <c r="AW743" s="2" t="s">
        <v>712</v>
      </c>
      <c r="AX743" s="2" t="str">
        <f t="shared" si="33"/>
        <v>Q93|FedRAMP</v>
      </c>
      <c r="AY743" s="13" t="s">
        <v>464</v>
      </c>
      <c r="AZ743" s="13" t="s">
        <v>1071</v>
      </c>
      <c r="BA743" s="2">
        <v>1</v>
      </c>
    </row>
    <row r="744" spans="48:53" x14ac:dyDescent="0.2">
      <c r="AV744" s="2" t="s">
        <v>806</v>
      </c>
      <c r="AW744" s="2" t="s">
        <v>1043</v>
      </c>
      <c r="AX744" s="2" t="str">
        <f t="shared" si="33"/>
        <v>Q93|ISO 27001</v>
      </c>
      <c r="AY744" s="13" t="s">
        <v>662</v>
      </c>
      <c r="AZ744" s="13" t="s">
        <v>1145</v>
      </c>
      <c r="BA744" s="2">
        <v>1</v>
      </c>
    </row>
    <row r="745" spans="48:53" x14ac:dyDescent="0.2">
      <c r="AV745" s="2" t="s">
        <v>806</v>
      </c>
      <c r="AW745" s="2" t="s">
        <v>713</v>
      </c>
      <c r="AX745" s="2" t="str">
        <f t="shared" si="33"/>
        <v>Q93|SOC2</v>
      </c>
      <c r="AY745" s="13" t="s">
        <v>462</v>
      </c>
      <c r="AZ745" s="13" t="s">
        <v>1191</v>
      </c>
      <c r="BA745" s="2">
        <v>1</v>
      </c>
    </row>
    <row r="746" spans="48:53" x14ac:dyDescent="0.2">
      <c r="AV746" s="2" t="s">
        <v>806</v>
      </c>
      <c r="AW746" s="2" t="s">
        <v>1044</v>
      </c>
      <c r="AX746" s="2" t="str">
        <f t="shared" si="33"/>
        <v>Q93|CIS v8</v>
      </c>
      <c r="AY746" s="13">
        <v>12.2</v>
      </c>
      <c r="AZ746" s="13" t="s">
        <v>1085</v>
      </c>
      <c r="BA746" s="2">
        <v>0.8</v>
      </c>
    </row>
    <row r="747" spans="48:53" x14ac:dyDescent="0.2">
      <c r="AV747" s="2" t="s">
        <v>807</v>
      </c>
      <c r="AW747" s="2" t="s">
        <v>1041</v>
      </c>
      <c r="AX747" s="2" t="str">
        <f t="shared" si="33"/>
        <v>Q94|NIST CSF 2.0</v>
      </c>
      <c r="AY747" s="13" t="s">
        <v>525</v>
      </c>
      <c r="AZ747" s="13" t="s">
        <v>1065</v>
      </c>
      <c r="BA747" s="2">
        <v>1</v>
      </c>
    </row>
    <row r="748" spans="48:53" x14ac:dyDescent="0.2">
      <c r="AV748" s="2" t="s">
        <v>807</v>
      </c>
      <c r="AW748" s="2" t="s">
        <v>710</v>
      </c>
      <c r="AX748" s="2" t="str">
        <f t="shared" si="33"/>
        <v>Q94|NIST PQC</v>
      </c>
      <c r="AY748" s="13" t="s">
        <v>439</v>
      </c>
      <c r="AZ748" s="13" t="s">
        <v>439</v>
      </c>
      <c r="BA748" s="2"/>
    </row>
    <row r="749" spans="48:53" x14ac:dyDescent="0.2">
      <c r="AV749" s="2" t="s">
        <v>807</v>
      </c>
      <c r="AW749" s="2" t="s">
        <v>1042</v>
      </c>
      <c r="AX749" s="2" t="str">
        <f t="shared" si="33"/>
        <v>Q94|CMMC 2.0</v>
      </c>
      <c r="AY749" s="13" t="s">
        <v>635</v>
      </c>
      <c r="AZ749" s="13" t="s">
        <v>1081</v>
      </c>
      <c r="BA749" s="2">
        <v>1</v>
      </c>
    </row>
    <row r="750" spans="48:53" x14ac:dyDescent="0.2">
      <c r="AV750" s="2" t="s">
        <v>807</v>
      </c>
      <c r="AW750" s="2" t="s">
        <v>711</v>
      </c>
      <c r="AX750" s="2" t="str">
        <f t="shared" si="33"/>
        <v>Q94|FISMA</v>
      </c>
      <c r="AY750" s="13" t="s">
        <v>619</v>
      </c>
      <c r="AZ750" s="13" t="s">
        <v>1075</v>
      </c>
      <c r="BA750" s="2">
        <v>1</v>
      </c>
    </row>
    <row r="751" spans="48:53" x14ac:dyDescent="0.2">
      <c r="AV751" s="2" t="s">
        <v>807</v>
      </c>
      <c r="AW751" s="2" t="s">
        <v>712</v>
      </c>
      <c r="AX751" s="2" t="str">
        <f t="shared" si="33"/>
        <v>Q94|FedRAMP</v>
      </c>
      <c r="AY751" s="13" t="s">
        <v>619</v>
      </c>
      <c r="AZ751" s="13" t="s">
        <v>1075</v>
      </c>
      <c r="BA751" s="2">
        <v>1</v>
      </c>
    </row>
    <row r="752" spans="48:53" x14ac:dyDescent="0.2">
      <c r="AV752" s="2" t="s">
        <v>807</v>
      </c>
      <c r="AW752" s="2" t="s">
        <v>1043</v>
      </c>
      <c r="AX752" s="2" t="str">
        <f t="shared" si="33"/>
        <v>Q94|ISO 27001</v>
      </c>
      <c r="AY752" s="13" t="s">
        <v>620</v>
      </c>
      <c r="AZ752" s="13" t="s">
        <v>1144</v>
      </c>
      <c r="BA752" s="2">
        <v>1</v>
      </c>
    </row>
    <row r="753" spans="48:53" x14ac:dyDescent="0.2">
      <c r="AV753" s="2" t="s">
        <v>807</v>
      </c>
      <c r="AW753" s="2" t="s">
        <v>713</v>
      </c>
      <c r="AX753" s="2" t="str">
        <f t="shared" si="33"/>
        <v>Q94|SOC2</v>
      </c>
      <c r="AY753" s="13" t="s">
        <v>484</v>
      </c>
      <c r="AZ753" s="13" t="s">
        <v>1194</v>
      </c>
      <c r="BA753" s="2">
        <v>1</v>
      </c>
    </row>
    <row r="754" spans="48:53" x14ac:dyDescent="0.2">
      <c r="AV754" s="2" t="s">
        <v>807</v>
      </c>
      <c r="AW754" s="2" t="s">
        <v>1044</v>
      </c>
      <c r="AX754" s="2" t="str">
        <f t="shared" si="33"/>
        <v>Q94|CIS v8</v>
      </c>
      <c r="AY754" s="13">
        <v>13.1</v>
      </c>
      <c r="AZ754" s="13" t="s">
        <v>1086</v>
      </c>
      <c r="BA754" s="2">
        <v>1</v>
      </c>
    </row>
    <row r="755" spans="48:53" x14ac:dyDescent="0.2">
      <c r="AV755" s="2" t="s">
        <v>808</v>
      </c>
      <c r="AW755" s="2" t="s">
        <v>1041</v>
      </c>
      <c r="AX755" s="2" t="str">
        <f t="shared" si="33"/>
        <v>Q95|NIST CSF 2.0</v>
      </c>
      <c r="AY755" s="13" t="s">
        <v>660</v>
      </c>
      <c r="AZ755" s="13" t="s">
        <v>1068</v>
      </c>
      <c r="BA755" s="2">
        <v>1</v>
      </c>
    </row>
    <row r="756" spans="48:53" x14ac:dyDescent="0.2">
      <c r="AV756" s="2" t="s">
        <v>808</v>
      </c>
      <c r="AW756" s="2" t="s">
        <v>710</v>
      </c>
      <c r="AX756" s="2" t="str">
        <f t="shared" si="33"/>
        <v>Q95|NIST PQC</v>
      </c>
      <c r="AY756" s="13" t="s">
        <v>439</v>
      </c>
      <c r="AZ756" s="13" t="s">
        <v>439</v>
      </c>
      <c r="BA756" s="2"/>
    </row>
    <row r="757" spans="48:53" x14ac:dyDescent="0.2">
      <c r="AV757" s="2" t="s">
        <v>808</v>
      </c>
      <c r="AW757" s="2" t="s">
        <v>1042</v>
      </c>
      <c r="AX757" s="2" t="str">
        <f t="shared" si="33"/>
        <v>Q95|CMMC 2.0</v>
      </c>
      <c r="AY757" s="13" t="s">
        <v>1827</v>
      </c>
      <c r="AZ757" s="13" t="s">
        <v>1071</v>
      </c>
      <c r="BA757" s="2">
        <v>1</v>
      </c>
    </row>
    <row r="758" spans="48:53" x14ac:dyDescent="0.2">
      <c r="AV758" s="2" t="s">
        <v>808</v>
      </c>
      <c r="AW758" s="2" t="s">
        <v>711</v>
      </c>
      <c r="AX758" s="2" t="str">
        <f t="shared" si="33"/>
        <v>Q95|FISMA</v>
      </c>
      <c r="AY758" s="13" t="s">
        <v>464</v>
      </c>
      <c r="AZ758" s="13" t="s">
        <v>1071</v>
      </c>
      <c r="BA758" s="2">
        <v>1</v>
      </c>
    </row>
    <row r="759" spans="48:53" x14ac:dyDescent="0.2">
      <c r="AV759" s="2" t="s">
        <v>808</v>
      </c>
      <c r="AW759" s="2" t="s">
        <v>712</v>
      </c>
      <c r="AX759" s="2" t="str">
        <f t="shared" si="33"/>
        <v>Q95|FedRAMP</v>
      </c>
      <c r="AY759" s="13" t="s">
        <v>464</v>
      </c>
      <c r="AZ759" s="13" t="s">
        <v>1071</v>
      </c>
      <c r="BA759" s="2">
        <v>1</v>
      </c>
    </row>
    <row r="760" spans="48:53" x14ac:dyDescent="0.2">
      <c r="AV760" s="2" t="s">
        <v>808</v>
      </c>
      <c r="AW760" s="2" t="s">
        <v>1043</v>
      </c>
      <c r="AX760" s="2" t="str">
        <f t="shared" si="33"/>
        <v>Q95|ISO 27001</v>
      </c>
      <c r="AY760" s="13" t="s">
        <v>461</v>
      </c>
      <c r="AZ760" s="13" t="s">
        <v>1145</v>
      </c>
      <c r="BA760" s="2">
        <v>1</v>
      </c>
    </row>
    <row r="761" spans="48:53" x14ac:dyDescent="0.2">
      <c r="AV761" s="2" t="s">
        <v>808</v>
      </c>
      <c r="AW761" s="2" t="s">
        <v>713</v>
      </c>
      <c r="AX761" s="2" t="str">
        <f t="shared" si="33"/>
        <v>Q95|SOC2</v>
      </c>
      <c r="AY761" s="13" t="s">
        <v>462</v>
      </c>
      <c r="AZ761" s="13" t="s">
        <v>1191</v>
      </c>
      <c r="BA761" s="2">
        <v>1</v>
      </c>
    </row>
    <row r="762" spans="48:53" x14ac:dyDescent="0.2">
      <c r="AV762" s="2" t="s">
        <v>808</v>
      </c>
      <c r="AW762" s="2" t="s">
        <v>1044</v>
      </c>
      <c r="AX762" s="2" t="str">
        <f t="shared" si="33"/>
        <v>Q95|CIS v8</v>
      </c>
      <c r="AY762" s="13">
        <v>12.1</v>
      </c>
      <c r="AZ762" s="13" t="s">
        <v>1085</v>
      </c>
      <c r="BA762" s="2">
        <v>1</v>
      </c>
    </row>
    <row r="763" spans="48:53" x14ac:dyDescent="0.2">
      <c r="AV763" s="2" t="s">
        <v>809</v>
      </c>
      <c r="AW763" s="2" t="s">
        <v>1041</v>
      </c>
      <c r="AX763" s="2" t="str">
        <f t="shared" si="33"/>
        <v>Q96|NIST CSF 2.0</v>
      </c>
      <c r="AY763" s="13" t="s">
        <v>525</v>
      </c>
      <c r="AZ763" s="13" t="s">
        <v>1065</v>
      </c>
      <c r="BA763" s="2">
        <v>1</v>
      </c>
    </row>
    <row r="764" spans="48:53" x14ac:dyDescent="0.2">
      <c r="AV764" s="2" t="s">
        <v>809</v>
      </c>
      <c r="AW764" s="2" t="s">
        <v>710</v>
      </c>
      <c r="AX764" s="2" t="str">
        <f t="shared" si="33"/>
        <v>Q96|NIST PQC</v>
      </c>
      <c r="AY764" s="13" t="s">
        <v>439</v>
      </c>
      <c r="AZ764" s="13" t="s">
        <v>439</v>
      </c>
      <c r="BA764" s="2"/>
    </row>
    <row r="765" spans="48:53" x14ac:dyDescent="0.2">
      <c r="AV765" s="2" t="s">
        <v>809</v>
      </c>
      <c r="AW765" s="2" t="s">
        <v>1042</v>
      </c>
      <c r="AX765" s="2" t="str">
        <f t="shared" si="33"/>
        <v>Q96|CMMC 2.0</v>
      </c>
      <c r="AY765" s="13" t="s">
        <v>667</v>
      </c>
      <c r="AZ765" s="13" t="s">
        <v>1075</v>
      </c>
      <c r="BA765" s="2">
        <v>1</v>
      </c>
    </row>
    <row r="766" spans="48:53" x14ac:dyDescent="0.2">
      <c r="AV766" s="2" t="s">
        <v>809</v>
      </c>
      <c r="AW766" s="2" t="s">
        <v>711</v>
      </c>
      <c r="AX766" s="2" t="str">
        <f t="shared" si="33"/>
        <v>Q96|FISMA</v>
      </c>
      <c r="AY766" s="13" t="s">
        <v>619</v>
      </c>
      <c r="AZ766" s="13" t="s">
        <v>1075</v>
      </c>
      <c r="BA766" s="2">
        <v>1</v>
      </c>
    </row>
    <row r="767" spans="48:53" x14ac:dyDescent="0.2">
      <c r="AV767" s="2" t="s">
        <v>809</v>
      </c>
      <c r="AW767" s="2" t="s">
        <v>712</v>
      </c>
      <c r="AX767" s="2" t="str">
        <f t="shared" si="33"/>
        <v>Q96|FedRAMP</v>
      </c>
      <c r="AY767" s="13" t="s">
        <v>619</v>
      </c>
      <c r="AZ767" s="13" t="s">
        <v>1075</v>
      </c>
      <c r="BA767" s="2">
        <v>1</v>
      </c>
    </row>
    <row r="768" spans="48:53" x14ac:dyDescent="0.2">
      <c r="AV768" s="2" t="s">
        <v>809</v>
      </c>
      <c r="AW768" s="2" t="s">
        <v>1043</v>
      </c>
      <c r="AX768" s="2" t="str">
        <f t="shared" si="33"/>
        <v>Q96|ISO 27001</v>
      </c>
      <c r="AY768" s="13" t="s">
        <v>620</v>
      </c>
      <c r="AZ768" s="13" t="s">
        <v>1144</v>
      </c>
      <c r="BA768" s="2">
        <v>1</v>
      </c>
    </row>
    <row r="769" spans="48:53" x14ac:dyDescent="0.2">
      <c r="AV769" s="2" t="s">
        <v>809</v>
      </c>
      <c r="AW769" s="2" t="s">
        <v>713</v>
      </c>
      <c r="AX769" s="2" t="str">
        <f t="shared" si="33"/>
        <v>Q96|SOC2</v>
      </c>
      <c r="AY769" s="13" t="s">
        <v>484</v>
      </c>
      <c r="AZ769" s="13" t="s">
        <v>1194</v>
      </c>
      <c r="BA769" s="2">
        <v>1</v>
      </c>
    </row>
    <row r="770" spans="48:53" x14ac:dyDescent="0.2">
      <c r="AV770" s="2" t="s">
        <v>809</v>
      </c>
      <c r="AW770" s="2" t="s">
        <v>1044</v>
      </c>
      <c r="AX770" s="2" t="str">
        <f t="shared" si="33"/>
        <v>Q96|CIS v8</v>
      </c>
      <c r="AY770" s="13">
        <v>13.2</v>
      </c>
      <c r="AZ770" s="13" t="s">
        <v>1086</v>
      </c>
      <c r="BA770" s="2">
        <v>1</v>
      </c>
    </row>
    <row r="771" spans="48:53" x14ac:dyDescent="0.2">
      <c r="AV771" s="2" t="s">
        <v>810</v>
      </c>
      <c r="AW771" s="2" t="s">
        <v>1041</v>
      </c>
      <c r="AX771" s="2" t="str">
        <f t="shared" si="33"/>
        <v>Q97|NIST CSF 2.0</v>
      </c>
      <c r="AY771" s="13" t="s">
        <v>668</v>
      </c>
      <c r="AZ771" s="13" t="s">
        <v>1068</v>
      </c>
      <c r="BA771" s="2">
        <v>1</v>
      </c>
    </row>
    <row r="772" spans="48:53" x14ac:dyDescent="0.2">
      <c r="AV772" s="2" t="s">
        <v>810</v>
      </c>
      <c r="AW772" s="2" t="s">
        <v>710</v>
      </c>
      <c r="AX772" s="2" t="str">
        <f t="shared" ref="AX772:AX835" si="34">_xlfn.CONCAT(AV772,"|",AW772)</f>
        <v>Q97|NIST PQC</v>
      </c>
      <c r="AY772" s="13" t="s">
        <v>669</v>
      </c>
      <c r="AZ772" s="13" t="s">
        <v>1097</v>
      </c>
      <c r="BA772" s="2">
        <v>0.8</v>
      </c>
    </row>
    <row r="773" spans="48:53" x14ac:dyDescent="0.2">
      <c r="AV773" s="2" t="s">
        <v>810</v>
      </c>
      <c r="AW773" s="2" t="s">
        <v>1042</v>
      </c>
      <c r="AX773" s="2" t="str">
        <f t="shared" si="34"/>
        <v>Q97|CMMC 2.0</v>
      </c>
      <c r="AY773" s="13" t="s">
        <v>670</v>
      </c>
      <c r="AZ773" s="13" t="s">
        <v>1070</v>
      </c>
      <c r="BA773" s="2">
        <v>1</v>
      </c>
    </row>
    <row r="774" spans="48:53" x14ac:dyDescent="0.2">
      <c r="AV774" s="2" t="s">
        <v>810</v>
      </c>
      <c r="AW774" s="2" t="s">
        <v>711</v>
      </c>
      <c r="AX774" s="2" t="str">
        <f t="shared" si="34"/>
        <v>Q97|FISMA</v>
      </c>
      <c r="AY774" s="13" t="s">
        <v>671</v>
      </c>
      <c r="AZ774" s="13" t="s">
        <v>1070</v>
      </c>
      <c r="BA774" s="2">
        <v>1</v>
      </c>
    </row>
    <row r="775" spans="48:53" x14ac:dyDescent="0.2">
      <c r="AV775" s="2" t="s">
        <v>810</v>
      </c>
      <c r="AW775" s="2" t="s">
        <v>712</v>
      </c>
      <c r="AX775" s="2" t="str">
        <f t="shared" si="34"/>
        <v>Q97|FedRAMP</v>
      </c>
      <c r="AY775" s="13" t="s">
        <v>671</v>
      </c>
      <c r="AZ775" s="13" t="s">
        <v>1070</v>
      </c>
      <c r="BA775" s="2">
        <v>1</v>
      </c>
    </row>
    <row r="776" spans="48:53" x14ac:dyDescent="0.2">
      <c r="AV776" s="2" t="s">
        <v>810</v>
      </c>
      <c r="AW776" s="2" t="s">
        <v>1043</v>
      </c>
      <c r="AX776" s="2" t="str">
        <f t="shared" si="34"/>
        <v>Q97|ISO 27001</v>
      </c>
      <c r="AY776" s="13" t="s">
        <v>461</v>
      </c>
      <c r="AZ776" s="13" t="s">
        <v>1145</v>
      </c>
      <c r="BA776" s="2">
        <v>1</v>
      </c>
    </row>
    <row r="777" spans="48:53" x14ac:dyDescent="0.2">
      <c r="AV777" s="2" t="s">
        <v>810</v>
      </c>
      <c r="AW777" s="2" t="s">
        <v>713</v>
      </c>
      <c r="AX777" s="2" t="str">
        <f t="shared" si="34"/>
        <v>Q97|SOC2</v>
      </c>
      <c r="AY777" s="13" t="s">
        <v>462</v>
      </c>
      <c r="AZ777" s="13" t="s">
        <v>1191</v>
      </c>
      <c r="BA777" s="2">
        <v>1</v>
      </c>
    </row>
    <row r="778" spans="48:53" x14ac:dyDescent="0.2">
      <c r="AV778" s="2" t="s">
        <v>810</v>
      </c>
      <c r="AW778" s="2" t="s">
        <v>1044</v>
      </c>
      <c r="AX778" s="2" t="str">
        <f t="shared" si="34"/>
        <v>Q97|CIS v8</v>
      </c>
      <c r="AY778" s="13">
        <v>12.5</v>
      </c>
      <c r="AZ778" s="13" t="s">
        <v>1085</v>
      </c>
      <c r="BA778" s="2">
        <v>1</v>
      </c>
    </row>
    <row r="779" spans="48:53" x14ac:dyDescent="0.2">
      <c r="AV779" s="2" t="s">
        <v>811</v>
      </c>
      <c r="AW779" s="2" t="s">
        <v>1041</v>
      </c>
      <c r="AX779" s="2" t="str">
        <f t="shared" si="34"/>
        <v>Q98|NIST CSF 2.0</v>
      </c>
      <c r="AY779" s="13" t="s">
        <v>660</v>
      </c>
      <c r="AZ779" s="13" t="s">
        <v>1068</v>
      </c>
      <c r="BA779" s="2">
        <v>1</v>
      </c>
    </row>
    <row r="780" spans="48:53" x14ac:dyDescent="0.2">
      <c r="AV780" s="2" t="s">
        <v>811</v>
      </c>
      <c r="AW780" s="2" t="s">
        <v>710</v>
      </c>
      <c r="AX780" s="2" t="str">
        <f t="shared" si="34"/>
        <v>Q98|NIST PQC</v>
      </c>
      <c r="AY780" s="13" t="s">
        <v>439</v>
      </c>
      <c r="AZ780" s="13" t="s">
        <v>439</v>
      </c>
      <c r="BA780" s="2"/>
    </row>
    <row r="781" spans="48:53" x14ac:dyDescent="0.2">
      <c r="AV781" s="2" t="s">
        <v>811</v>
      </c>
      <c r="AW781" s="2" t="s">
        <v>1042</v>
      </c>
      <c r="AX781" s="2" t="str">
        <f t="shared" si="34"/>
        <v>Q98|CMMC 2.0</v>
      </c>
      <c r="AY781" s="13" t="s">
        <v>661</v>
      </c>
      <c r="AZ781" s="13" t="s">
        <v>1071</v>
      </c>
      <c r="BA781" s="2">
        <v>0.8</v>
      </c>
    </row>
    <row r="782" spans="48:53" x14ac:dyDescent="0.2">
      <c r="AV782" s="2" t="s">
        <v>811</v>
      </c>
      <c r="AW782" s="2" t="s">
        <v>711</v>
      </c>
      <c r="AX782" s="2" t="str">
        <f t="shared" si="34"/>
        <v>Q98|FISMA</v>
      </c>
      <c r="AY782" s="13" t="s">
        <v>464</v>
      </c>
      <c r="AZ782" s="13" t="s">
        <v>1071</v>
      </c>
      <c r="BA782" s="2">
        <v>1</v>
      </c>
    </row>
    <row r="783" spans="48:53" x14ac:dyDescent="0.2">
      <c r="AV783" s="2" t="s">
        <v>811</v>
      </c>
      <c r="AW783" s="2" t="s">
        <v>712</v>
      </c>
      <c r="AX783" s="2" t="str">
        <f t="shared" si="34"/>
        <v>Q98|FedRAMP</v>
      </c>
      <c r="AY783" s="13" t="s">
        <v>464</v>
      </c>
      <c r="AZ783" s="13" t="s">
        <v>1071</v>
      </c>
      <c r="BA783" s="2">
        <v>1</v>
      </c>
    </row>
    <row r="784" spans="48:53" x14ac:dyDescent="0.2">
      <c r="AV784" s="2" t="s">
        <v>811</v>
      </c>
      <c r="AW784" s="2" t="s">
        <v>1043</v>
      </c>
      <c r="AX784" s="2" t="str">
        <f t="shared" si="34"/>
        <v>Q98|ISO 27001</v>
      </c>
      <c r="AY784" s="13" t="s">
        <v>662</v>
      </c>
      <c r="AZ784" s="13" t="s">
        <v>1145</v>
      </c>
      <c r="BA784" s="2">
        <v>0.8</v>
      </c>
    </row>
    <row r="785" spans="48:53" x14ac:dyDescent="0.2">
      <c r="AV785" s="2" t="s">
        <v>811</v>
      </c>
      <c r="AW785" s="2" t="s">
        <v>713</v>
      </c>
      <c r="AX785" s="2" t="str">
        <f t="shared" si="34"/>
        <v>Q98|SOC2</v>
      </c>
      <c r="AY785" s="13" t="s">
        <v>462</v>
      </c>
      <c r="AZ785" s="13" t="s">
        <v>1191</v>
      </c>
      <c r="BA785" s="2">
        <v>0.8</v>
      </c>
    </row>
    <row r="786" spans="48:53" x14ac:dyDescent="0.2">
      <c r="AV786" s="2" t="s">
        <v>811</v>
      </c>
      <c r="AW786" s="2" t="s">
        <v>1044</v>
      </c>
      <c r="AX786" s="2" t="str">
        <f t="shared" si="34"/>
        <v>Q98|CIS v8</v>
      </c>
      <c r="AY786" s="13">
        <v>12.6</v>
      </c>
      <c r="AZ786" s="13" t="s">
        <v>1085</v>
      </c>
      <c r="BA786" s="2">
        <v>0.8</v>
      </c>
    </row>
    <row r="787" spans="48:53" x14ac:dyDescent="0.2">
      <c r="AV787" s="2" t="s">
        <v>812</v>
      </c>
      <c r="AW787" s="2" t="s">
        <v>1041</v>
      </c>
      <c r="AX787" s="2" t="str">
        <f t="shared" si="34"/>
        <v>Q99|NIST CSF 2.0</v>
      </c>
      <c r="AY787" s="13" t="s">
        <v>660</v>
      </c>
      <c r="AZ787" s="13" t="s">
        <v>1068</v>
      </c>
      <c r="BA787" s="2">
        <v>0.8</v>
      </c>
    </row>
    <row r="788" spans="48:53" x14ac:dyDescent="0.2">
      <c r="AV788" s="2" t="s">
        <v>812</v>
      </c>
      <c r="AW788" s="2" t="s">
        <v>710</v>
      </c>
      <c r="AX788" s="2" t="str">
        <f t="shared" si="34"/>
        <v>Q99|NIST PQC</v>
      </c>
      <c r="AY788" s="13" t="s">
        <v>439</v>
      </c>
      <c r="AZ788" s="13" t="s">
        <v>439</v>
      </c>
      <c r="BA788" s="2"/>
    </row>
    <row r="789" spans="48:53" x14ac:dyDescent="0.2">
      <c r="AV789" s="2" t="s">
        <v>812</v>
      </c>
      <c r="AW789" s="2" t="s">
        <v>1042</v>
      </c>
      <c r="AX789" s="2" t="str">
        <f t="shared" si="34"/>
        <v>Q99|CMMC 2.0</v>
      </c>
      <c r="AY789" s="13" t="s">
        <v>439</v>
      </c>
      <c r="AZ789" s="13" t="s">
        <v>439</v>
      </c>
      <c r="BA789" s="2"/>
    </row>
    <row r="790" spans="48:53" x14ac:dyDescent="0.2">
      <c r="AV790" s="2" t="s">
        <v>812</v>
      </c>
      <c r="AW790" s="2" t="s">
        <v>711</v>
      </c>
      <c r="AX790" s="2" t="str">
        <f t="shared" si="34"/>
        <v>Q99|FISMA</v>
      </c>
      <c r="AY790" s="13" t="s">
        <v>464</v>
      </c>
      <c r="AZ790" s="13" t="s">
        <v>1071</v>
      </c>
      <c r="BA790" s="2">
        <v>0.8</v>
      </c>
    </row>
    <row r="791" spans="48:53" x14ac:dyDescent="0.2">
      <c r="AV791" s="2" t="s">
        <v>812</v>
      </c>
      <c r="AW791" s="2" t="s">
        <v>712</v>
      </c>
      <c r="AX791" s="2" t="str">
        <f t="shared" si="34"/>
        <v>Q99|FedRAMP</v>
      </c>
      <c r="AY791" s="13" t="s">
        <v>464</v>
      </c>
      <c r="AZ791" s="13" t="s">
        <v>1071</v>
      </c>
      <c r="BA791" s="2">
        <v>0.8</v>
      </c>
    </row>
    <row r="792" spans="48:53" x14ac:dyDescent="0.2">
      <c r="AV792" s="2" t="s">
        <v>812</v>
      </c>
      <c r="AW792" s="2" t="s">
        <v>1043</v>
      </c>
      <c r="AX792" s="2" t="str">
        <f t="shared" si="34"/>
        <v>Q99|ISO 27001</v>
      </c>
      <c r="AY792" s="13" t="s">
        <v>662</v>
      </c>
      <c r="AZ792" s="13" t="s">
        <v>1145</v>
      </c>
      <c r="BA792" s="2">
        <v>0.8</v>
      </c>
    </row>
    <row r="793" spans="48:53" x14ac:dyDescent="0.2">
      <c r="AV793" s="2" t="s">
        <v>812</v>
      </c>
      <c r="AW793" s="2" t="s">
        <v>713</v>
      </c>
      <c r="AX793" s="2" t="str">
        <f t="shared" si="34"/>
        <v>Q99|SOC2</v>
      </c>
      <c r="AY793" s="13" t="s">
        <v>462</v>
      </c>
      <c r="AZ793" s="13" t="s">
        <v>1191</v>
      </c>
      <c r="BA793" s="2">
        <v>0.8</v>
      </c>
    </row>
    <row r="794" spans="48:53" x14ac:dyDescent="0.2">
      <c r="AV794" s="2" t="s">
        <v>812</v>
      </c>
      <c r="AW794" s="2" t="s">
        <v>1044</v>
      </c>
      <c r="AX794" s="2" t="str">
        <f t="shared" si="34"/>
        <v>Q99|CIS v8</v>
      </c>
      <c r="AY794" s="13">
        <v>12.2</v>
      </c>
      <c r="AZ794" s="13" t="s">
        <v>1085</v>
      </c>
      <c r="BA794" s="2">
        <v>0.6</v>
      </c>
    </row>
    <row r="795" spans="48:53" x14ac:dyDescent="0.2">
      <c r="AV795" s="2" t="s">
        <v>813</v>
      </c>
      <c r="AW795" s="2" t="s">
        <v>1041</v>
      </c>
      <c r="AX795" s="2" t="str">
        <f t="shared" si="34"/>
        <v>Q100|NIST CSF 2.0</v>
      </c>
      <c r="AY795" s="13" t="s">
        <v>668</v>
      </c>
      <c r="AZ795" s="13" t="s">
        <v>1068</v>
      </c>
      <c r="BA795" s="2">
        <v>1</v>
      </c>
    </row>
    <row r="796" spans="48:53" x14ac:dyDescent="0.2">
      <c r="AV796" s="2" t="s">
        <v>813</v>
      </c>
      <c r="AW796" s="2" t="s">
        <v>710</v>
      </c>
      <c r="AX796" s="2" t="str">
        <f t="shared" si="34"/>
        <v>Q100|NIST PQC</v>
      </c>
      <c r="AY796" s="13" t="s">
        <v>439</v>
      </c>
      <c r="AZ796" s="13" t="s">
        <v>439</v>
      </c>
      <c r="BA796" s="2"/>
    </row>
    <row r="797" spans="48:53" x14ac:dyDescent="0.2">
      <c r="AV797" s="2" t="s">
        <v>813</v>
      </c>
      <c r="AW797" s="2" t="s">
        <v>1042</v>
      </c>
      <c r="AX797" s="2" t="str">
        <f t="shared" si="34"/>
        <v>Q100|CMMC 2.0</v>
      </c>
      <c r="AY797" s="13" t="s">
        <v>1824</v>
      </c>
      <c r="AZ797" s="13" t="s">
        <v>1070</v>
      </c>
      <c r="BA797" s="2">
        <v>1</v>
      </c>
    </row>
    <row r="798" spans="48:53" x14ac:dyDescent="0.2">
      <c r="AV798" s="2" t="s">
        <v>813</v>
      </c>
      <c r="AW798" s="2" t="s">
        <v>711</v>
      </c>
      <c r="AX798" s="2" t="str">
        <f t="shared" si="34"/>
        <v>Q100|FISMA</v>
      </c>
      <c r="AY798" s="13" t="s">
        <v>672</v>
      </c>
      <c r="AZ798" s="13" t="s">
        <v>1070</v>
      </c>
      <c r="BA798" s="2">
        <v>1</v>
      </c>
    </row>
    <row r="799" spans="48:53" x14ac:dyDescent="0.2">
      <c r="AV799" s="2" t="s">
        <v>813</v>
      </c>
      <c r="AW799" s="2" t="s">
        <v>712</v>
      </c>
      <c r="AX799" s="2" t="str">
        <f t="shared" si="34"/>
        <v>Q100|FedRAMP</v>
      </c>
      <c r="AY799" s="13" t="s">
        <v>672</v>
      </c>
      <c r="AZ799" s="13" t="s">
        <v>1070</v>
      </c>
      <c r="BA799" s="2">
        <v>1</v>
      </c>
    </row>
    <row r="800" spans="48:53" x14ac:dyDescent="0.2">
      <c r="AV800" s="2" t="s">
        <v>813</v>
      </c>
      <c r="AW800" s="2" t="s">
        <v>1043</v>
      </c>
      <c r="AX800" s="2" t="str">
        <f t="shared" si="34"/>
        <v>Q100|ISO 27001</v>
      </c>
      <c r="AY800" s="13" t="s">
        <v>615</v>
      </c>
      <c r="AZ800" s="13" t="s">
        <v>1141</v>
      </c>
      <c r="BA800" s="2">
        <v>1</v>
      </c>
    </row>
    <row r="801" spans="48:53" x14ac:dyDescent="0.2">
      <c r="AV801" s="2" t="s">
        <v>813</v>
      </c>
      <c r="AW801" s="2" t="s">
        <v>713</v>
      </c>
      <c r="AX801" s="2" t="str">
        <f t="shared" si="34"/>
        <v>Q100|SOC2</v>
      </c>
      <c r="AY801" s="13" t="s">
        <v>633</v>
      </c>
      <c r="AZ801" s="13" t="s">
        <v>1191</v>
      </c>
      <c r="BA801" s="2">
        <v>1</v>
      </c>
    </row>
    <row r="802" spans="48:53" x14ac:dyDescent="0.2">
      <c r="AV802" s="2" t="s">
        <v>813</v>
      </c>
      <c r="AW802" s="2" t="s">
        <v>1044</v>
      </c>
      <c r="AX802" s="2" t="str">
        <f t="shared" si="34"/>
        <v>Q100|CIS v8</v>
      </c>
      <c r="AY802" s="13">
        <v>14.6</v>
      </c>
      <c r="AZ802" s="13" t="s">
        <v>1091</v>
      </c>
      <c r="BA802" s="2">
        <v>1</v>
      </c>
    </row>
    <row r="803" spans="48:53" x14ac:dyDescent="0.2">
      <c r="AV803" s="2" t="s">
        <v>814</v>
      </c>
      <c r="AW803" s="2" t="s">
        <v>1041</v>
      </c>
      <c r="AX803" s="2" t="str">
        <f t="shared" si="34"/>
        <v>Q101|NIST CSF 2.0</v>
      </c>
      <c r="AY803" s="13" t="s">
        <v>585</v>
      </c>
      <c r="AZ803" s="13" t="s">
        <v>1068</v>
      </c>
      <c r="BA803" s="2">
        <v>1</v>
      </c>
    </row>
    <row r="804" spans="48:53" x14ac:dyDescent="0.2">
      <c r="AV804" s="2" t="s">
        <v>814</v>
      </c>
      <c r="AW804" s="2" t="s">
        <v>710</v>
      </c>
      <c r="AX804" s="2" t="str">
        <f t="shared" si="34"/>
        <v>Q101|NIST PQC</v>
      </c>
      <c r="AY804" s="13" t="s">
        <v>439</v>
      </c>
      <c r="AZ804" s="13" t="s">
        <v>439</v>
      </c>
      <c r="BA804" s="2"/>
    </row>
    <row r="805" spans="48:53" x14ac:dyDescent="0.2">
      <c r="AV805" s="2" t="s">
        <v>814</v>
      </c>
      <c r="AW805" s="2" t="s">
        <v>1042</v>
      </c>
      <c r="AX805" s="2" t="str">
        <f t="shared" si="34"/>
        <v>Q101|CMMC 2.0</v>
      </c>
      <c r="AY805" s="13" t="s">
        <v>455</v>
      </c>
      <c r="AZ805" s="13" t="s">
        <v>1072</v>
      </c>
      <c r="BA805" s="2">
        <v>1</v>
      </c>
    </row>
    <row r="806" spans="48:53" x14ac:dyDescent="0.2">
      <c r="AV806" s="2" t="s">
        <v>814</v>
      </c>
      <c r="AW806" s="2" t="s">
        <v>711</v>
      </c>
      <c r="AX806" s="2" t="str">
        <f t="shared" si="34"/>
        <v>Q101|FISMA</v>
      </c>
      <c r="AY806" s="13" t="s">
        <v>673</v>
      </c>
      <c r="AZ806" s="13" t="s">
        <v>1072</v>
      </c>
      <c r="BA806" s="2">
        <v>1</v>
      </c>
    </row>
    <row r="807" spans="48:53" x14ac:dyDescent="0.2">
      <c r="AV807" s="2" t="s">
        <v>814</v>
      </c>
      <c r="AW807" s="2" t="s">
        <v>712</v>
      </c>
      <c r="AX807" s="2" t="str">
        <f t="shared" si="34"/>
        <v>Q101|FedRAMP</v>
      </c>
      <c r="AY807" s="13" t="s">
        <v>673</v>
      </c>
      <c r="AZ807" s="13" t="s">
        <v>1072</v>
      </c>
      <c r="BA807" s="2">
        <v>1</v>
      </c>
    </row>
    <row r="808" spans="48:53" x14ac:dyDescent="0.2">
      <c r="AV808" s="2" t="s">
        <v>814</v>
      </c>
      <c r="AW808" s="2" t="s">
        <v>1043</v>
      </c>
      <c r="AX808" s="2" t="str">
        <f t="shared" si="34"/>
        <v>Q101|ISO 27001</v>
      </c>
      <c r="AY808" s="13" t="s">
        <v>674</v>
      </c>
      <c r="AZ808" s="13" t="s">
        <v>1144</v>
      </c>
      <c r="BA808" s="2">
        <v>1</v>
      </c>
    </row>
    <row r="809" spans="48:53" x14ac:dyDescent="0.2">
      <c r="AV809" s="2" t="s">
        <v>814</v>
      </c>
      <c r="AW809" s="2" t="s">
        <v>713</v>
      </c>
      <c r="AX809" s="2" t="str">
        <f t="shared" si="34"/>
        <v>Q101|SOC2</v>
      </c>
      <c r="AY809" s="13" t="s">
        <v>484</v>
      </c>
      <c r="AZ809" s="13" t="s">
        <v>1194</v>
      </c>
      <c r="BA809" s="2">
        <v>1</v>
      </c>
    </row>
    <row r="810" spans="48:53" x14ac:dyDescent="0.2">
      <c r="AV810" s="2" t="s">
        <v>814</v>
      </c>
      <c r="AW810" s="2" t="s">
        <v>1044</v>
      </c>
      <c r="AX810" s="2" t="str">
        <f t="shared" si="34"/>
        <v>Q101|CIS v8</v>
      </c>
      <c r="AY810" s="13">
        <v>4.0999999999999996</v>
      </c>
      <c r="AZ810" s="13" t="s">
        <v>1095</v>
      </c>
      <c r="BA810" s="2">
        <v>1</v>
      </c>
    </row>
    <row r="811" spans="48:53" x14ac:dyDescent="0.2">
      <c r="AV811" s="2" t="s">
        <v>815</v>
      </c>
      <c r="AW811" s="2" t="s">
        <v>1041</v>
      </c>
      <c r="AX811" s="2" t="str">
        <f t="shared" si="34"/>
        <v>Q102|NIST CSF 2.0</v>
      </c>
      <c r="AY811" s="13" t="s">
        <v>585</v>
      </c>
      <c r="AZ811" s="13" t="s">
        <v>1068</v>
      </c>
      <c r="BA811" s="2">
        <v>1</v>
      </c>
    </row>
    <row r="812" spans="48:53" x14ac:dyDescent="0.2">
      <c r="AV812" s="2" t="s">
        <v>815</v>
      </c>
      <c r="AW812" s="2" t="s">
        <v>710</v>
      </c>
      <c r="AX812" s="2" t="str">
        <f t="shared" si="34"/>
        <v>Q102|NIST PQC</v>
      </c>
      <c r="AY812" s="13" t="s">
        <v>439</v>
      </c>
      <c r="AZ812" s="13" t="s">
        <v>439</v>
      </c>
      <c r="BA812" s="2"/>
    </row>
    <row r="813" spans="48:53" x14ac:dyDescent="0.2">
      <c r="AV813" s="2" t="s">
        <v>815</v>
      </c>
      <c r="AW813" s="2" t="s">
        <v>1042</v>
      </c>
      <c r="AX813" s="2" t="str">
        <f t="shared" si="34"/>
        <v>Q102|CMMC 2.0</v>
      </c>
      <c r="AY813" s="13" t="s">
        <v>455</v>
      </c>
      <c r="AZ813" s="13" t="s">
        <v>1072</v>
      </c>
      <c r="BA813" s="2">
        <v>1</v>
      </c>
    </row>
    <row r="814" spans="48:53" x14ac:dyDescent="0.2">
      <c r="AV814" s="2" t="s">
        <v>815</v>
      </c>
      <c r="AW814" s="2" t="s">
        <v>711</v>
      </c>
      <c r="AX814" s="2" t="str">
        <f t="shared" si="34"/>
        <v>Q102|FISMA</v>
      </c>
      <c r="AY814" s="13" t="s">
        <v>478</v>
      </c>
      <c r="AZ814" s="13" t="s">
        <v>1072</v>
      </c>
      <c r="BA814" s="2">
        <v>1</v>
      </c>
    </row>
    <row r="815" spans="48:53" x14ac:dyDescent="0.2">
      <c r="AV815" s="2" t="s">
        <v>815</v>
      </c>
      <c r="AW815" s="2" t="s">
        <v>712</v>
      </c>
      <c r="AX815" s="2" t="str">
        <f t="shared" si="34"/>
        <v>Q102|FedRAMP</v>
      </c>
      <c r="AY815" s="13" t="s">
        <v>478</v>
      </c>
      <c r="AZ815" s="13" t="s">
        <v>1072</v>
      </c>
      <c r="BA815" s="2">
        <v>1</v>
      </c>
    </row>
    <row r="816" spans="48:53" x14ac:dyDescent="0.2">
      <c r="AV816" s="2" t="s">
        <v>815</v>
      </c>
      <c r="AW816" s="2" t="s">
        <v>1043</v>
      </c>
      <c r="AX816" s="2" t="str">
        <f t="shared" si="34"/>
        <v>Q102|ISO 27001</v>
      </c>
      <c r="AY816" s="13" t="s">
        <v>675</v>
      </c>
      <c r="AZ816" s="13" t="s">
        <v>1144</v>
      </c>
      <c r="BA816" s="2">
        <v>1</v>
      </c>
    </row>
    <row r="817" spans="48:53" x14ac:dyDescent="0.2">
      <c r="AV817" s="2" t="s">
        <v>815</v>
      </c>
      <c r="AW817" s="2" t="s">
        <v>713</v>
      </c>
      <c r="AX817" s="2" t="str">
        <f t="shared" si="34"/>
        <v>Q102|SOC2</v>
      </c>
      <c r="AY817" s="13" t="s">
        <v>484</v>
      </c>
      <c r="AZ817" s="13" t="s">
        <v>1194</v>
      </c>
      <c r="BA817" s="2">
        <v>1</v>
      </c>
    </row>
    <row r="818" spans="48:53" x14ac:dyDescent="0.2">
      <c r="AV818" s="2" t="s">
        <v>815</v>
      </c>
      <c r="AW818" s="2" t="s">
        <v>1044</v>
      </c>
      <c r="AX818" s="2" t="str">
        <f t="shared" si="34"/>
        <v>Q102|CIS v8</v>
      </c>
      <c r="AY818" s="13">
        <v>4.0999999999999996</v>
      </c>
      <c r="AZ818" s="13" t="s">
        <v>1095</v>
      </c>
      <c r="BA818" s="2">
        <v>1</v>
      </c>
    </row>
    <row r="819" spans="48:53" x14ac:dyDescent="0.2">
      <c r="AV819" s="2" t="s">
        <v>816</v>
      </c>
      <c r="AW819" s="2" t="s">
        <v>1041</v>
      </c>
      <c r="AX819" s="2" t="str">
        <f t="shared" si="34"/>
        <v>Q103|NIST CSF 2.0</v>
      </c>
      <c r="AY819" s="13" t="s">
        <v>676</v>
      </c>
      <c r="AZ819" s="13" t="s">
        <v>1068</v>
      </c>
      <c r="BA819" s="2">
        <v>1</v>
      </c>
    </row>
    <row r="820" spans="48:53" x14ac:dyDescent="0.2">
      <c r="AV820" s="2" t="s">
        <v>816</v>
      </c>
      <c r="AW820" s="2" t="s">
        <v>710</v>
      </c>
      <c r="AX820" s="2" t="str">
        <f t="shared" si="34"/>
        <v>Q103|NIST PQC</v>
      </c>
      <c r="AY820" s="13" t="s">
        <v>439</v>
      </c>
      <c r="AZ820" s="13" t="s">
        <v>439</v>
      </c>
      <c r="BA820" s="2"/>
    </row>
    <row r="821" spans="48:53" x14ac:dyDescent="0.2">
      <c r="AV821" s="2" t="s">
        <v>816</v>
      </c>
      <c r="AW821" s="2" t="s">
        <v>1042</v>
      </c>
      <c r="AX821" s="2" t="str">
        <f t="shared" si="34"/>
        <v>Q103|CMMC 2.0</v>
      </c>
      <c r="AY821" s="13" t="s">
        <v>1828</v>
      </c>
      <c r="AZ821" s="13" t="s">
        <v>1075</v>
      </c>
      <c r="BA821" s="2">
        <v>1</v>
      </c>
    </row>
    <row r="822" spans="48:53" x14ac:dyDescent="0.2">
      <c r="AV822" s="2" t="s">
        <v>816</v>
      </c>
      <c r="AW822" s="2" t="s">
        <v>711</v>
      </c>
      <c r="AX822" s="2" t="str">
        <f t="shared" si="34"/>
        <v>Q103|FISMA</v>
      </c>
      <c r="AY822" s="13" t="s">
        <v>678</v>
      </c>
      <c r="AZ822" s="13" t="s">
        <v>1075</v>
      </c>
      <c r="BA822" s="2">
        <v>1</v>
      </c>
    </row>
    <row r="823" spans="48:53" x14ac:dyDescent="0.2">
      <c r="AV823" s="2" t="s">
        <v>816</v>
      </c>
      <c r="AW823" s="2" t="s">
        <v>712</v>
      </c>
      <c r="AX823" s="2" t="str">
        <f t="shared" si="34"/>
        <v>Q103|FedRAMP</v>
      </c>
      <c r="AY823" s="13" t="s">
        <v>678</v>
      </c>
      <c r="AZ823" s="13" t="s">
        <v>1075</v>
      </c>
      <c r="BA823" s="2">
        <v>1</v>
      </c>
    </row>
    <row r="824" spans="48:53" x14ac:dyDescent="0.2">
      <c r="AV824" s="2" t="s">
        <v>816</v>
      </c>
      <c r="AW824" s="2" t="s">
        <v>1043</v>
      </c>
      <c r="AX824" s="2" t="str">
        <f t="shared" si="34"/>
        <v>Q103|ISO 27001</v>
      </c>
      <c r="AY824" s="13" t="s">
        <v>483</v>
      </c>
      <c r="AZ824" s="13" t="s">
        <v>1144</v>
      </c>
      <c r="BA824" s="2">
        <v>1</v>
      </c>
    </row>
    <row r="825" spans="48:53" x14ac:dyDescent="0.2">
      <c r="AV825" s="2" t="s">
        <v>816</v>
      </c>
      <c r="AW825" s="2" t="s">
        <v>713</v>
      </c>
      <c r="AX825" s="2" t="str">
        <f t="shared" si="34"/>
        <v>Q103|SOC2</v>
      </c>
      <c r="AY825" s="13" t="s">
        <v>484</v>
      </c>
      <c r="AZ825" s="13" t="s">
        <v>1194</v>
      </c>
      <c r="BA825" s="2">
        <v>1</v>
      </c>
    </row>
    <row r="826" spans="48:53" x14ac:dyDescent="0.2">
      <c r="AV826" s="2" t="s">
        <v>816</v>
      </c>
      <c r="AW826" s="2" t="s">
        <v>1044</v>
      </c>
      <c r="AX826" s="2" t="str">
        <f t="shared" si="34"/>
        <v>Q103|CIS v8</v>
      </c>
      <c r="AY826" s="13">
        <v>7.3</v>
      </c>
      <c r="AZ826" s="13" t="s">
        <v>1099</v>
      </c>
      <c r="BA826" s="2">
        <v>1</v>
      </c>
    </row>
    <row r="827" spans="48:53" x14ac:dyDescent="0.2">
      <c r="AV827" s="2" t="s">
        <v>817</v>
      </c>
      <c r="AW827" s="2" t="s">
        <v>1041</v>
      </c>
      <c r="AX827" s="2" t="str">
        <f t="shared" si="34"/>
        <v>Q104|NIST CSF 2.0</v>
      </c>
      <c r="AY827" s="13" t="s">
        <v>676</v>
      </c>
      <c r="AZ827" s="13" t="s">
        <v>1068</v>
      </c>
      <c r="BA827" s="2">
        <v>1</v>
      </c>
    </row>
    <row r="828" spans="48:53" x14ac:dyDescent="0.2">
      <c r="AV828" s="2" t="s">
        <v>817</v>
      </c>
      <c r="AW828" s="2" t="s">
        <v>710</v>
      </c>
      <c r="AX828" s="2" t="str">
        <f t="shared" si="34"/>
        <v>Q104|NIST PQC</v>
      </c>
      <c r="AY828" s="13" t="s">
        <v>439</v>
      </c>
      <c r="AZ828" s="13" t="s">
        <v>439</v>
      </c>
      <c r="BA828" s="2"/>
    </row>
    <row r="829" spans="48:53" x14ac:dyDescent="0.2">
      <c r="AV829" s="2" t="s">
        <v>817</v>
      </c>
      <c r="AW829" s="2" t="s">
        <v>1042</v>
      </c>
      <c r="AX829" s="2" t="str">
        <f t="shared" si="34"/>
        <v>Q104|CMMC 2.0</v>
      </c>
      <c r="AY829" s="13" t="s">
        <v>679</v>
      </c>
      <c r="AZ829" s="13" t="s">
        <v>1075</v>
      </c>
      <c r="BA829" s="2">
        <v>1</v>
      </c>
    </row>
    <row r="830" spans="48:53" x14ac:dyDescent="0.2">
      <c r="AV830" s="2" t="s">
        <v>817</v>
      </c>
      <c r="AW830" s="2" t="s">
        <v>711</v>
      </c>
      <c r="AX830" s="2" t="str">
        <f t="shared" si="34"/>
        <v>Q104|FISMA</v>
      </c>
      <c r="AY830" s="13" t="s">
        <v>678</v>
      </c>
      <c r="AZ830" s="13" t="s">
        <v>1075</v>
      </c>
      <c r="BA830" s="2">
        <v>1</v>
      </c>
    </row>
    <row r="831" spans="48:53" x14ac:dyDescent="0.2">
      <c r="AV831" s="2" t="s">
        <v>817</v>
      </c>
      <c r="AW831" s="2" t="s">
        <v>712</v>
      </c>
      <c r="AX831" s="2" t="str">
        <f t="shared" si="34"/>
        <v>Q104|FedRAMP</v>
      </c>
      <c r="AY831" s="13" t="s">
        <v>678</v>
      </c>
      <c r="AZ831" s="13" t="s">
        <v>1075</v>
      </c>
      <c r="BA831" s="2">
        <v>1</v>
      </c>
    </row>
    <row r="832" spans="48:53" x14ac:dyDescent="0.2">
      <c r="AV832" s="2" t="s">
        <v>817</v>
      </c>
      <c r="AW832" s="2" t="s">
        <v>1043</v>
      </c>
      <c r="AX832" s="2" t="str">
        <f t="shared" si="34"/>
        <v>Q104|ISO 27001</v>
      </c>
      <c r="AY832" s="13" t="s">
        <v>483</v>
      </c>
      <c r="AZ832" s="13" t="s">
        <v>1144</v>
      </c>
      <c r="BA832" s="2">
        <v>0.8</v>
      </c>
    </row>
    <row r="833" spans="48:53" x14ac:dyDescent="0.2">
      <c r="AV833" s="2" t="s">
        <v>817</v>
      </c>
      <c r="AW833" s="2" t="s">
        <v>713</v>
      </c>
      <c r="AX833" s="2" t="str">
        <f t="shared" si="34"/>
        <v>Q104|SOC2</v>
      </c>
      <c r="AY833" s="13" t="s">
        <v>484</v>
      </c>
      <c r="AZ833" s="13" t="s">
        <v>1194</v>
      </c>
      <c r="BA833" s="2">
        <v>0.8</v>
      </c>
    </row>
    <row r="834" spans="48:53" x14ac:dyDescent="0.2">
      <c r="AV834" s="2" t="s">
        <v>817</v>
      </c>
      <c r="AW834" s="2" t="s">
        <v>1044</v>
      </c>
      <c r="AX834" s="2" t="str">
        <f t="shared" si="34"/>
        <v>Q104|CIS v8</v>
      </c>
      <c r="AY834" s="13">
        <v>7.3</v>
      </c>
      <c r="AZ834" s="13" t="s">
        <v>1099</v>
      </c>
      <c r="BA834" s="2">
        <v>0.8</v>
      </c>
    </row>
    <row r="835" spans="48:53" x14ac:dyDescent="0.2">
      <c r="AV835" s="2" t="s">
        <v>818</v>
      </c>
      <c r="AW835" s="2" t="s">
        <v>1041</v>
      </c>
      <c r="AX835" s="2" t="str">
        <f t="shared" si="34"/>
        <v>Q105|NIST CSF 2.0</v>
      </c>
      <c r="AY835" s="13" t="s">
        <v>585</v>
      </c>
      <c r="AZ835" s="13" t="s">
        <v>1068</v>
      </c>
      <c r="BA835" s="2">
        <v>1</v>
      </c>
    </row>
    <row r="836" spans="48:53" x14ac:dyDescent="0.2">
      <c r="AV836" s="2" t="s">
        <v>818</v>
      </c>
      <c r="AW836" s="2" t="s">
        <v>710</v>
      </c>
      <c r="AX836" s="2" t="str">
        <f t="shared" ref="AX836:AX899" si="35">_xlfn.CONCAT(AV836,"|",AW836)</f>
        <v>Q105|NIST PQC</v>
      </c>
      <c r="AY836" s="13" t="s">
        <v>439</v>
      </c>
      <c r="AZ836" s="13" t="s">
        <v>439</v>
      </c>
      <c r="BA836" s="2"/>
    </row>
    <row r="837" spans="48:53" x14ac:dyDescent="0.2">
      <c r="AV837" s="2" t="s">
        <v>818</v>
      </c>
      <c r="AW837" s="2" t="s">
        <v>1042</v>
      </c>
      <c r="AX837" s="2" t="str">
        <f t="shared" si="35"/>
        <v>Q105|CMMC 2.0</v>
      </c>
      <c r="AY837" s="13" t="s">
        <v>457</v>
      </c>
      <c r="AZ837" s="13" t="s">
        <v>1072</v>
      </c>
      <c r="BA837" s="2">
        <v>1</v>
      </c>
    </row>
    <row r="838" spans="48:53" x14ac:dyDescent="0.2">
      <c r="AV838" s="2" t="s">
        <v>818</v>
      </c>
      <c r="AW838" s="2" t="s">
        <v>711</v>
      </c>
      <c r="AX838" s="2" t="str">
        <f t="shared" si="35"/>
        <v>Q105|FISMA</v>
      </c>
      <c r="AY838" s="13" t="s">
        <v>680</v>
      </c>
      <c r="AZ838" s="13" t="s">
        <v>1072</v>
      </c>
      <c r="BA838" s="2">
        <v>1</v>
      </c>
    </row>
    <row r="839" spans="48:53" x14ac:dyDescent="0.2">
      <c r="AV839" s="2" t="s">
        <v>818</v>
      </c>
      <c r="AW839" s="2" t="s">
        <v>712</v>
      </c>
      <c r="AX839" s="2" t="str">
        <f t="shared" si="35"/>
        <v>Q105|FedRAMP</v>
      </c>
      <c r="AY839" s="13" t="s">
        <v>680</v>
      </c>
      <c r="AZ839" s="13" t="s">
        <v>1072</v>
      </c>
      <c r="BA839" s="2">
        <v>1</v>
      </c>
    </row>
    <row r="840" spans="48:53" x14ac:dyDescent="0.2">
      <c r="AV840" s="2" t="s">
        <v>818</v>
      </c>
      <c r="AW840" s="2" t="s">
        <v>1043</v>
      </c>
      <c r="AX840" s="2" t="str">
        <f t="shared" si="35"/>
        <v>Q105|ISO 27001</v>
      </c>
      <c r="AY840" s="13" t="s">
        <v>674</v>
      </c>
      <c r="AZ840" s="13" t="s">
        <v>1144</v>
      </c>
      <c r="BA840" s="2">
        <v>1</v>
      </c>
    </row>
    <row r="841" spans="48:53" x14ac:dyDescent="0.2">
      <c r="AV841" s="2" t="s">
        <v>818</v>
      </c>
      <c r="AW841" s="2" t="s">
        <v>713</v>
      </c>
      <c r="AX841" s="2" t="str">
        <f t="shared" si="35"/>
        <v>Q105|SOC2</v>
      </c>
      <c r="AY841" s="13" t="s">
        <v>484</v>
      </c>
      <c r="AZ841" s="13" t="s">
        <v>1194</v>
      </c>
      <c r="BA841" s="2">
        <v>1</v>
      </c>
    </row>
    <row r="842" spans="48:53" x14ac:dyDescent="0.2">
      <c r="AV842" s="2" t="s">
        <v>818</v>
      </c>
      <c r="AW842" s="2" t="s">
        <v>1044</v>
      </c>
      <c r="AX842" s="2" t="str">
        <f t="shared" si="35"/>
        <v>Q105|CIS v8</v>
      </c>
      <c r="AY842" s="13">
        <v>5.0999999999999996</v>
      </c>
      <c r="AZ842" s="13" t="s">
        <v>1096</v>
      </c>
      <c r="BA842" s="2">
        <v>1</v>
      </c>
    </row>
    <row r="843" spans="48:53" x14ac:dyDescent="0.2">
      <c r="AV843" s="2" t="s">
        <v>819</v>
      </c>
      <c r="AW843" s="2" t="s">
        <v>1041</v>
      </c>
      <c r="AX843" s="2" t="str">
        <f t="shared" si="35"/>
        <v>Q106|NIST CSF 2.0</v>
      </c>
      <c r="AY843" s="13" t="s">
        <v>585</v>
      </c>
      <c r="AZ843" s="13" t="s">
        <v>1068</v>
      </c>
      <c r="BA843" s="2">
        <v>1</v>
      </c>
    </row>
    <row r="844" spans="48:53" x14ac:dyDescent="0.2">
      <c r="AV844" s="2" t="s">
        <v>819</v>
      </c>
      <c r="AW844" s="2" t="s">
        <v>710</v>
      </c>
      <c r="AX844" s="2" t="str">
        <f t="shared" si="35"/>
        <v>Q106|NIST PQC</v>
      </c>
      <c r="AY844" s="13" t="s">
        <v>439</v>
      </c>
      <c r="AZ844" s="13" t="s">
        <v>439</v>
      </c>
      <c r="BA844" s="2"/>
    </row>
    <row r="845" spans="48:53" x14ac:dyDescent="0.2">
      <c r="AV845" s="2" t="s">
        <v>819</v>
      </c>
      <c r="AW845" s="2" t="s">
        <v>1042</v>
      </c>
      <c r="AX845" s="2" t="str">
        <f t="shared" si="35"/>
        <v>Q106|CMMC 2.0</v>
      </c>
      <c r="AY845" s="13" t="s">
        <v>681</v>
      </c>
      <c r="AZ845" s="13" t="s">
        <v>1072</v>
      </c>
      <c r="BA845" s="2">
        <v>1</v>
      </c>
    </row>
    <row r="846" spans="48:53" x14ac:dyDescent="0.2">
      <c r="AV846" s="2" t="s">
        <v>819</v>
      </c>
      <c r="AW846" s="2" t="s">
        <v>711</v>
      </c>
      <c r="AX846" s="2" t="str">
        <f t="shared" si="35"/>
        <v>Q106|FISMA</v>
      </c>
      <c r="AY846" s="13" t="s">
        <v>682</v>
      </c>
      <c r="AZ846" s="13" t="s">
        <v>1072</v>
      </c>
      <c r="BA846" s="2">
        <v>1</v>
      </c>
    </row>
    <row r="847" spans="48:53" x14ac:dyDescent="0.2">
      <c r="AV847" s="2" t="s">
        <v>819</v>
      </c>
      <c r="AW847" s="2" t="s">
        <v>712</v>
      </c>
      <c r="AX847" s="2" t="str">
        <f t="shared" si="35"/>
        <v>Q106|FedRAMP</v>
      </c>
      <c r="AY847" s="13" t="s">
        <v>682</v>
      </c>
      <c r="AZ847" s="13" t="s">
        <v>1072</v>
      </c>
      <c r="BA847" s="2">
        <v>1</v>
      </c>
    </row>
    <row r="848" spans="48:53" x14ac:dyDescent="0.2">
      <c r="AV848" s="2" t="s">
        <v>819</v>
      </c>
      <c r="AW848" s="2" t="s">
        <v>1043</v>
      </c>
      <c r="AX848" s="2" t="str">
        <f t="shared" si="35"/>
        <v>Q106|ISO 27001</v>
      </c>
      <c r="AY848" s="13" t="s">
        <v>683</v>
      </c>
      <c r="AZ848" s="13" t="s">
        <v>1144</v>
      </c>
      <c r="BA848" s="2">
        <v>1</v>
      </c>
    </row>
    <row r="849" spans="48:53" x14ac:dyDescent="0.2">
      <c r="AV849" s="2" t="s">
        <v>819</v>
      </c>
      <c r="AW849" s="2" t="s">
        <v>713</v>
      </c>
      <c r="AX849" s="2" t="str">
        <f t="shared" si="35"/>
        <v>Q106|SOC2</v>
      </c>
      <c r="AY849" s="13" t="s">
        <v>484</v>
      </c>
      <c r="AZ849" s="13" t="s">
        <v>1194</v>
      </c>
      <c r="BA849" s="2">
        <v>1</v>
      </c>
    </row>
    <row r="850" spans="48:53" x14ac:dyDescent="0.2">
      <c r="AV850" s="2" t="s">
        <v>819</v>
      </c>
      <c r="AW850" s="2" t="s">
        <v>1044</v>
      </c>
      <c r="AX850" s="2" t="str">
        <f t="shared" si="35"/>
        <v>Q106|CIS v8</v>
      </c>
      <c r="AY850" s="13">
        <v>4.8</v>
      </c>
      <c r="AZ850" s="13" t="s">
        <v>1095</v>
      </c>
      <c r="BA850" s="2">
        <v>1</v>
      </c>
    </row>
    <row r="851" spans="48:53" x14ac:dyDescent="0.2">
      <c r="AV851" s="2" t="s">
        <v>820</v>
      </c>
      <c r="AW851" s="2" t="s">
        <v>1041</v>
      </c>
      <c r="AX851" s="2" t="str">
        <f t="shared" si="35"/>
        <v>Q107|NIST CSF 2.0</v>
      </c>
      <c r="AY851" s="13" t="s">
        <v>621</v>
      </c>
      <c r="AZ851" s="13" t="s">
        <v>1068</v>
      </c>
      <c r="BA851" s="2">
        <v>1</v>
      </c>
    </row>
    <row r="852" spans="48:53" x14ac:dyDescent="0.2">
      <c r="AV852" s="2" t="s">
        <v>820</v>
      </c>
      <c r="AW852" s="2" t="s">
        <v>710</v>
      </c>
      <c r="AX852" s="2" t="str">
        <f t="shared" si="35"/>
        <v>Q107|NIST PQC</v>
      </c>
      <c r="AY852" s="13" t="s">
        <v>439</v>
      </c>
      <c r="AZ852" s="13" t="s">
        <v>439</v>
      </c>
      <c r="BA852" s="2"/>
    </row>
    <row r="853" spans="48:53" x14ac:dyDescent="0.2">
      <c r="AV853" s="2" t="s">
        <v>820</v>
      </c>
      <c r="AW853" s="2" t="s">
        <v>1042</v>
      </c>
      <c r="AX853" s="2" t="str">
        <f t="shared" si="35"/>
        <v>Q107|CMMC 2.0</v>
      </c>
      <c r="AY853" s="13" t="s">
        <v>1829</v>
      </c>
      <c r="AZ853" s="13" t="s">
        <v>1080</v>
      </c>
      <c r="BA853" s="2">
        <v>1</v>
      </c>
    </row>
    <row r="854" spans="48:53" x14ac:dyDescent="0.2">
      <c r="AV854" s="2" t="s">
        <v>820</v>
      </c>
      <c r="AW854" s="2" t="s">
        <v>711</v>
      </c>
      <c r="AX854" s="2" t="str">
        <f t="shared" si="35"/>
        <v>Q107|FISMA</v>
      </c>
      <c r="AY854" s="13" t="s">
        <v>614</v>
      </c>
      <c r="AZ854" s="13" t="s">
        <v>1080</v>
      </c>
      <c r="BA854" s="2">
        <v>1</v>
      </c>
    </row>
    <row r="855" spans="48:53" x14ac:dyDescent="0.2">
      <c r="AV855" s="2" t="s">
        <v>820</v>
      </c>
      <c r="AW855" s="2" t="s">
        <v>712</v>
      </c>
      <c r="AX855" s="2" t="str">
        <f t="shared" si="35"/>
        <v>Q107|FedRAMP</v>
      </c>
      <c r="AY855" s="13" t="s">
        <v>614</v>
      </c>
      <c r="AZ855" s="13" t="s">
        <v>1080</v>
      </c>
      <c r="BA855" s="2">
        <v>1</v>
      </c>
    </row>
    <row r="856" spans="48:53" x14ac:dyDescent="0.2">
      <c r="AV856" s="2" t="s">
        <v>820</v>
      </c>
      <c r="AW856" s="2" t="s">
        <v>1043</v>
      </c>
      <c r="AX856" s="2" t="str">
        <f t="shared" si="35"/>
        <v>Q107|ISO 27001</v>
      </c>
      <c r="AY856" s="13" t="s">
        <v>685</v>
      </c>
      <c r="AZ856" s="13" t="s">
        <v>1141</v>
      </c>
      <c r="BA856" s="2">
        <v>1</v>
      </c>
    </row>
    <row r="857" spans="48:53" x14ac:dyDescent="0.2">
      <c r="AV857" s="2" t="s">
        <v>820</v>
      </c>
      <c r="AW857" s="2" t="s">
        <v>713</v>
      </c>
      <c r="AX857" s="2" t="str">
        <f t="shared" si="35"/>
        <v>Q107|SOC2</v>
      </c>
      <c r="AY857" s="13" t="s">
        <v>444</v>
      </c>
      <c r="AZ857" s="13" t="s">
        <v>1191</v>
      </c>
      <c r="BA857" s="2">
        <v>1</v>
      </c>
    </row>
    <row r="858" spans="48:53" x14ac:dyDescent="0.2">
      <c r="AV858" s="2" t="s">
        <v>820</v>
      </c>
      <c r="AW858" s="2" t="s">
        <v>1044</v>
      </c>
      <c r="AX858" s="2" t="str">
        <f t="shared" si="35"/>
        <v>Q107|CIS v8</v>
      </c>
      <c r="AY858" s="13">
        <v>5.3</v>
      </c>
      <c r="AZ858" s="13" t="s">
        <v>1096</v>
      </c>
      <c r="BA858" s="2">
        <v>1</v>
      </c>
    </row>
    <row r="859" spans="48:53" x14ac:dyDescent="0.2">
      <c r="AV859" s="2" t="s">
        <v>821</v>
      </c>
      <c r="AW859" s="2" t="s">
        <v>1041</v>
      </c>
      <c r="AX859" s="2" t="str">
        <f t="shared" si="35"/>
        <v>Q108|NIST CSF 2.0</v>
      </c>
      <c r="AY859" s="13" t="s">
        <v>497</v>
      </c>
      <c r="AZ859" s="13" t="s">
        <v>1065</v>
      </c>
      <c r="BA859" s="2">
        <v>1</v>
      </c>
    </row>
    <row r="860" spans="48:53" x14ac:dyDescent="0.2">
      <c r="AV860" s="2" t="s">
        <v>821</v>
      </c>
      <c r="AW860" s="2" t="s">
        <v>710</v>
      </c>
      <c r="AX860" s="2" t="str">
        <f t="shared" si="35"/>
        <v>Q108|NIST PQC</v>
      </c>
      <c r="AY860" s="13" t="s">
        <v>439</v>
      </c>
      <c r="AZ860" s="13" t="s">
        <v>439</v>
      </c>
      <c r="BA860" s="2"/>
    </row>
    <row r="861" spans="48:53" x14ac:dyDescent="0.2">
      <c r="AV861" s="2" t="s">
        <v>821</v>
      </c>
      <c r="AW861" s="2" t="s">
        <v>1042</v>
      </c>
      <c r="AX861" s="2" t="str">
        <f t="shared" si="35"/>
        <v>Q108|CMMC 2.0</v>
      </c>
      <c r="AY861" s="13" t="s">
        <v>635</v>
      </c>
      <c r="AZ861" s="13" t="s">
        <v>1081</v>
      </c>
      <c r="BA861" s="2">
        <v>1</v>
      </c>
    </row>
    <row r="862" spans="48:53" x14ac:dyDescent="0.2">
      <c r="AV862" s="2" t="s">
        <v>821</v>
      </c>
      <c r="AW862" s="2" t="s">
        <v>711</v>
      </c>
      <c r="AX862" s="2" t="str">
        <f t="shared" si="35"/>
        <v>Q108|FISMA</v>
      </c>
      <c r="AY862" s="13" t="s">
        <v>619</v>
      </c>
      <c r="AZ862" s="13" t="s">
        <v>1075</v>
      </c>
      <c r="BA862" s="2">
        <v>1</v>
      </c>
    </row>
    <row r="863" spans="48:53" x14ac:dyDescent="0.2">
      <c r="AV863" s="2" t="s">
        <v>821</v>
      </c>
      <c r="AW863" s="2" t="s">
        <v>712</v>
      </c>
      <c r="AX863" s="2" t="str">
        <f t="shared" si="35"/>
        <v>Q108|FedRAMP</v>
      </c>
      <c r="AY863" s="13" t="s">
        <v>619</v>
      </c>
      <c r="AZ863" s="13" t="s">
        <v>1075</v>
      </c>
      <c r="BA863" s="2">
        <v>1</v>
      </c>
    </row>
    <row r="864" spans="48:53" x14ac:dyDescent="0.2">
      <c r="AV864" s="2" t="s">
        <v>821</v>
      </c>
      <c r="AW864" s="2" t="s">
        <v>1043</v>
      </c>
      <c r="AX864" s="2" t="str">
        <f t="shared" si="35"/>
        <v>Q108|ISO 27001</v>
      </c>
      <c r="AY864" s="13" t="s">
        <v>620</v>
      </c>
      <c r="AZ864" s="13" t="s">
        <v>1144</v>
      </c>
      <c r="BA864" s="2">
        <v>1</v>
      </c>
    </row>
    <row r="865" spans="48:53" x14ac:dyDescent="0.2">
      <c r="AV865" s="2" t="s">
        <v>821</v>
      </c>
      <c r="AW865" s="2" t="s">
        <v>713</v>
      </c>
      <c r="AX865" s="2" t="str">
        <f t="shared" si="35"/>
        <v>Q108|SOC2</v>
      </c>
      <c r="AY865" s="13" t="s">
        <v>484</v>
      </c>
      <c r="AZ865" s="13" t="s">
        <v>1194</v>
      </c>
      <c r="BA865" s="2">
        <v>1</v>
      </c>
    </row>
    <row r="866" spans="48:53" x14ac:dyDescent="0.2">
      <c r="AV866" s="2" t="s">
        <v>821</v>
      </c>
      <c r="AW866" s="2" t="s">
        <v>1044</v>
      </c>
      <c r="AX866" s="2" t="str">
        <f t="shared" si="35"/>
        <v>Q108|CIS v8</v>
      </c>
      <c r="AY866" s="13">
        <v>8.1</v>
      </c>
      <c r="AZ866" s="13" t="s">
        <v>1100</v>
      </c>
      <c r="BA866" s="2">
        <v>1</v>
      </c>
    </row>
    <row r="867" spans="48:53" x14ac:dyDescent="0.2">
      <c r="AV867" s="2" t="s">
        <v>822</v>
      </c>
      <c r="AW867" s="2" t="s">
        <v>1041</v>
      </c>
      <c r="AX867" s="2" t="str">
        <f t="shared" si="35"/>
        <v>Q109|NIST CSF 2.0</v>
      </c>
      <c r="AY867" s="13" t="s">
        <v>686</v>
      </c>
      <c r="AZ867" s="13" t="s">
        <v>1068</v>
      </c>
      <c r="BA867" s="2">
        <v>1</v>
      </c>
    </row>
    <row r="868" spans="48:53" x14ac:dyDescent="0.2">
      <c r="AV868" s="2" t="s">
        <v>822</v>
      </c>
      <c r="AW868" s="2" t="s">
        <v>710</v>
      </c>
      <c r="AX868" s="2" t="str">
        <f t="shared" si="35"/>
        <v>Q109|NIST PQC</v>
      </c>
      <c r="AY868" s="13" t="s">
        <v>439</v>
      </c>
      <c r="AZ868" s="13" t="s">
        <v>439</v>
      </c>
      <c r="BA868" s="2"/>
    </row>
    <row r="869" spans="48:53" x14ac:dyDescent="0.2">
      <c r="AV869" s="2" t="s">
        <v>822</v>
      </c>
      <c r="AW869" s="2" t="s">
        <v>1042</v>
      </c>
      <c r="AX869" s="2" t="str">
        <f t="shared" si="35"/>
        <v>Q109|CMMC 2.0</v>
      </c>
      <c r="AY869" s="13" t="s">
        <v>472</v>
      </c>
      <c r="AZ869" s="13" t="s">
        <v>1072</v>
      </c>
      <c r="BA869" s="2">
        <v>1</v>
      </c>
    </row>
    <row r="870" spans="48:53" x14ac:dyDescent="0.2">
      <c r="AV870" s="2" t="s">
        <v>822</v>
      </c>
      <c r="AW870" s="2" t="s">
        <v>711</v>
      </c>
      <c r="AX870" s="2" t="str">
        <f t="shared" si="35"/>
        <v>Q109|FISMA</v>
      </c>
      <c r="AY870" s="13" t="s">
        <v>478</v>
      </c>
      <c r="AZ870" s="13" t="s">
        <v>1072</v>
      </c>
      <c r="BA870" s="2">
        <v>1</v>
      </c>
    </row>
    <row r="871" spans="48:53" x14ac:dyDescent="0.2">
      <c r="AV871" s="2" t="s">
        <v>822</v>
      </c>
      <c r="AW871" s="2" t="s">
        <v>712</v>
      </c>
      <c r="AX871" s="2" t="str">
        <f t="shared" si="35"/>
        <v>Q109|FedRAMP</v>
      </c>
      <c r="AY871" s="13" t="s">
        <v>478</v>
      </c>
      <c r="AZ871" s="13" t="s">
        <v>1072</v>
      </c>
      <c r="BA871" s="2">
        <v>1</v>
      </c>
    </row>
    <row r="872" spans="48:53" x14ac:dyDescent="0.2">
      <c r="AV872" s="2" t="s">
        <v>822</v>
      </c>
      <c r="AW872" s="2" t="s">
        <v>1043</v>
      </c>
      <c r="AX872" s="2" t="str">
        <f t="shared" si="35"/>
        <v>Q109|ISO 27001</v>
      </c>
      <c r="AY872" s="13" t="s">
        <v>675</v>
      </c>
      <c r="AZ872" s="13" t="s">
        <v>1144</v>
      </c>
      <c r="BA872" s="2">
        <v>1</v>
      </c>
    </row>
    <row r="873" spans="48:53" x14ac:dyDescent="0.2">
      <c r="AV873" s="2" t="s">
        <v>822</v>
      </c>
      <c r="AW873" s="2" t="s">
        <v>713</v>
      </c>
      <c r="AX873" s="2" t="str">
        <f t="shared" si="35"/>
        <v>Q109|SOC2</v>
      </c>
      <c r="AY873" s="13" t="s">
        <v>484</v>
      </c>
      <c r="AZ873" s="13" t="s">
        <v>1194</v>
      </c>
      <c r="BA873" s="2">
        <v>1</v>
      </c>
    </row>
    <row r="874" spans="48:53" x14ac:dyDescent="0.2">
      <c r="AV874" s="2" t="s">
        <v>822</v>
      </c>
      <c r="AW874" s="2" t="s">
        <v>1044</v>
      </c>
      <c r="AX874" s="2" t="str">
        <f t="shared" si="35"/>
        <v>Q109|CIS v8</v>
      </c>
      <c r="AY874" s="13">
        <v>11.1</v>
      </c>
      <c r="AZ874" s="13" t="s">
        <v>1090</v>
      </c>
      <c r="BA874" s="2">
        <v>1</v>
      </c>
    </row>
    <row r="875" spans="48:53" x14ac:dyDescent="0.2">
      <c r="AV875" s="2" t="s">
        <v>823</v>
      </c>
      <c r="AW875" s="2" t="s">
        <v>1041</v>
      </c>
      <c r="AX875" s="2" t="str">
        <f t="shared" si="35"/>
        <v>Q110|NIST CSF 2.0</v>
      </c>
      <c r="AY875" s="13" t="s">
        <v>567</v>
      </c>
      <c r="AZ875" s="13" t="s">
        <v>1068</v>
      </c>
      <c r="BA875" s="2">
        <v>1</v>
      </c>
    </row>
    <row r="876" spans="48:53" x14ac:dyDescent="0.2">
      <c r="AV876" s="2" t="s">
        <v>823</v>
      </c>
      <c r="AW876" s="2" t="s">
        <v>710</v>
      </c>
      <c r="AX876" s="2" t="str">
        <f t="shared" si="35"/>
        <v>Q110|NIST PQC</v>
      </c>
      <c r="AY876" s="13" t="s">
        <v>439</v>
      </c>
      <c r="AZ876" s="13" t="s">
        <v>439</v>
      </c>
      <c r="BA876" s="2"/>
    </row>
    <row r="877" spans="48:53" x14ac:dyDescent="0.2">
      <c r="AV877" s="2" t="s">
        <v>823</v>
      </c>
      <c r="AW877" s="2" t="s">
        <v>1042</v>
      </c>
      <c r="AX877" s="2" t="str">
        <f t="shared" si="35"/>
        <v>Q110|CMMC 2.0</v>
      </c>
      <c r="AY877" s="13" t="s">
        <v>568</v>
      </c>
      <c r="AZ877" s="13" t="s">
        <v>1076</v>
      </c>
      <c r="BA877" s="2">
        <v>1</v>
      </c>
    </row>
    <row r="878" spans="48:53" x14ac:dyDescent="0.2">
      <c r="AV878" s="2" t="s">
        <v>823</v>
      </c>
      <c r="AW878" s="2" t="s">
        <v>711</v>
      </c>
      <c r="AX878" s="2" t="str">
        <f t="shared" si="35"/>
        <v>Q110|FISMA</v>
      </c>
      <c r="AY878" s="13" t="s">
        <v>505</v>
      </c>
      <c r="AZ878" s="13" t="s">
        <v>1076</v>
      </c>
      <c r="BA878" s="2">
        <v>1</v>
      </c>
    </row>
    <row r="879" spans="48:53" x14ac:dyDescent="0.2">
      <c r="AV879" s="2" t="s">
        <v>823</v>
      </c>
      <c r="AW879" s="2" t="s">
        <v>712</v>
      </c>
      <c r="AX879" s="2" t="str">
        <f t="shared" si="35"/>
        <v>Q110|FedRAMP</v>
      </c>
      <c r="AY879" s="13" t="s">
        <v>505</v>
      </c>
      <c r="AZ879" s="13" t="s">
        <v>1076</v>
      </c>
      <c r="BA879" s="2">
        <v>1</v>
      </c>
    </row>
    <row r="880" spans="48:53" x14ac:dyDescent="0.2">
      <c r="AV880" s="2" t="s">
        <v>823</v>
      </c>
      <c r="AW880" s="2" t="s">
        <v>1043</v>
      </c>
      <c r="AX880" s="2" t="str">
        <f t="shared" si="35"/>
        <v>Q110|ISO 27001</v>
      </c>
      <c r="AY880" s="13" t="s">
        <v>506</v>
      </c>
      <c r="AZ880" s="13" t="s">
        <v>1150</v>
      </c>
      <c r="BA880" s="2">
        <v>1</v>
      </c>
    </row>
    <row r="881" spans="48:53" x14ac:dyDescent="0.2">
      <c r="AV881" s="2" t="s">
        <v>823</v>
      </c>
      <c r="AW881" s="2" t="s">
        <v>713</v>
      </c>
      <c r="AX881" s="2" t="str">
        <f t="shared" si="35"/>
        <v>Q110|SOC2</v>
      </c>
      <c r="AY881" s="13" t="s">
        <v>484</v>
      </c>
      <c r="AZ881" s="13" t="s">
        <v>1194</v>
      </c>
      <c r="BA881" s="2">
        <v>1</v>
      </c>
    </row>
    <row r="882" spans="48:53" x14ac:dyDescent="0.2">
      <c r="AV882" s="2" t="s">
        <v>823</v>
      </c>
      <c r="AW882" s="2" t="s">
        <v>1044</v>
      </c>
      <c r="AX882" s="2" t="str">
        <f t="shared" si="35"/>
        <v>Q110|CIS v8</v>
      </c>
      <c r="AY882" s="13">
        <v>18.100000000000001</v>
      </c>
      <c r="AZ882" s="13" t="s">
        <v>1088</v>
      </c>
      <c r="BA882" s="2">
        <v>1</v>
      </c>
    </row>
    <row r="883" spans="48:53" x14ac:dyDescent="0.2">
      <c r="AV883" s="2" t="s">
        <v>824</v>
      </c>
      <c r="AW883" s="2" t="s">
        <v>1041</v>
      </c>
      <c r="AX883" s="2" t="str">
        <f t="shared" si="35"/>
        <v>Q111|NIST CSF 2.0</v>
      </c>
      <c r="AY883" s="13" t="s">
        <v>687</v>
      </c>
      <c r="AZ883" s="13" t="s">
        <v>1066</v>
      </c>
      <c r="BA883" s="2">
        <v>1</v>
      </c>
    </row>
    <row r="884" spans="48:53" x14ac:dyDescent="0.2">
      <c r="AV884" s="2" t="s">
        <v>824</v>
      </c>
      <c r="AW884" s="2" t="s">
        <v>710</v>
      </c>
      <c r="AX884" s="2" t="str">
        <f t="shared" si="35"/>
        <v>Q111|NIST PQC</v>
      </c>
      <c r="AY884" s="13" t="s">
        <v>439</v>
      </c>
      <c r="AZ884" s="13" t="s">
        <v>439</v>
      </c>
      <c r="BA884" s="2"/>
    </row>
    <row r="885" spans="48:53" x14ac:dyDescent="0.2">
      <c r="AV885" s="2" t="s">
        <v>824</v>
      </c>
      <c r="AW885" s="2" t="s">
        <v>1042</v>
      </c>
      <c r="AX885" s="2" t="str">
        <f t="shared" si="35"/>
        <v>Q111|CMMC 2.0</v>
      </c>
      <c r="AY885" s="13" t="s">
        <v>638</v>
      </c>
      <c r="AZ885" s="13" t="s">
        <v>1078</v>
      </c>
      <c r="BA885" s="2">
        <v>1</v>
      </c>
    </row>
    <row r="886" spans="48:53" x14ac:dyDescent="0.2">
      <c r="AV886" s="2" t="s">
        <v>824</v>
      </c>
      <c r="AW886" s="2" t="s">
        <v>711</v>
      </c>
      <c r="AX886" s="2" t="str">
        <f t="shared" si="35"/>
        <v>Q111|FISMA</v>
      </c>
      <c r="AY886" s="13" t="s">
        <v>688</v>
      </c>
      <c r="AZ886" s="13" t="s">
        <v>1078</v>
      </c>
      <c r="BA886" s="2">
        <v>1</v>
      </c>
    </row>
    <row r="887" spans="48:53" x14ac:dyDescent="0.2">
      <c r="AV887" s="2" t="s">
        <v>824</v>
      </c>
      <c r="AW887" s="2" t="s">
        <v>712</v>
      </c>
      <c r="AX887" s="2" t="str">
        <f t="shared" si="35"/>
        <v>Q111|FedRAMP</v>
      </c>
      <c r="AY887" s="13" t="s">
        <v>688</v>
      </c>
      <c r="AZ887" s="13" t="s">
        <v>1078</v>
      </c>
      <c r="BA887" s="2">
        <v>1</v>
      </c>
    </row>
    <row r="888" spans="48:53" x14ac:dyDescent="0.2">
      <c r="AV888" s="2" t="s">
        <v>824</v>
      </c>
      <c r="AW888" s="2" t="s">
        <v>1043</v>
      </c>
      <c r="AX888" s="2" t="str">
        <f t="shared" si="35"/>
        <v>Q111|ISO 27001</v>
      </c>
      <c r="AY888" s="13" t="s">
        <v>689</v>
      </c>
      <c r="AZ888" s="13" t="s">
        <v>1148</v>
      </c>
      <c r="BA888" s="2">
        <v>1</v>
      </c>
    </row>
    <row r="889" spans="48:53" x14ac:dyDescent="0.2">
      <c r="AV889" s="2" t="s">
        <v>824</v>
      </c>
      <c r="AW889" s="2" t="s">
        <v>713</v>
      </c>
      <c r="AX889" s="2" t="str">
        <f t="shared" si="35"/>
        <v>Q111|SOC2</v>
      </c>
      <c r="AY889" s="13" t="s">
        <v>522</v>
      </c>
      <c r="AZ889" s="13" t="s">
        <v>1194</v>
      </c>
      <c r="BA889" s="2">
        <v>1</v>
      </c>
    </row>
    <row r="890" spans="48:53" x14ac:dyDescent="0.2">
      <c r="AV890" s="2" t="s">
        <v>824</v>
      </c>
      <c r="AW890" s="2" t="s">
        <v>1044</v>
      </c>
      <c r="AX890" s="2" t="str">
        <f t="shared" si="35"/>
        <v>Q111|CIS v8</v>
      </c>
      <c r="AY890" s="13">
        <v>16.100000000000001</v>
      </c>
      <c r="AZ890" s="13" t="s">
        <v>1089</v>
      </c>
      <c r="BA890" s="2">
        <v>1</v>
      </c>
    </row>
    <row r="891" spans="48:53" x14ac:dyDescent="0.2">
      <c r="AV891" s="2" t="s">
        <v>825</v>
      </c>
      <c r="AW891" s="2" t="s">
        <v>1041</v>
      </c>
      <c r="AX891" s="2" t="str">
        <f t="shared" si="35"/>
        <v>Q112|NIST CSF 2.0</v>
      </c>
      <c r="AY891" s="13" t="s">
        <v>690</v>
      </c>
      <c r="AZ891" s="13" t="s">
        <v>1066</v>
      </c>
      <c r="BA891" s="2">
        <v>1</v>
      </c>
    </row>
    <row r="892" spans="48:53" x14ac:dyDescent="0.2">
      <c r="AV892" s="2" t="s">
        <v>825</v>
      </c>
      <c r="AW892" s="2" t="s">
        <v>710</v>
      </c>
      <c r="AX892" s="2" t="str">
        <f t="shared" si="35"/>
        <v>Q112|NIST PQC</v>
      </c>
      <c r="AY892" s="13" t="s">
        <v>439</v>
      </c>
      <c r="AZ892" s="13" t="s">
        <v>439</v>
      </c>
      <c r="BA892" s="2"/>
    </row>
    <row r="893" spans="48:53" x14ac:dyDescent="0.2">
      <c r="AV893" s="2" t="s">
        <v>825</v>
      </c>
      <c r="AW893" s="2" t="s">
        <v>1042</v>
      </c>
      <c r="AX893" s="2" t="str">
        <f t="shared" si="35"/>
        <v>Q112|CMMC 2.0</v>
      </c>
      <c r="AY893" s="13" t="s">
        <v>638</v>
      </c>
      <c r="AZ893" s="13" t="s">
        <v>1078</v>
      </c>
      <c r="BA893" s="2">
        <v>1</v>
      </c>
    </row>
    <row r="894" spans="48:53" x14ac:dyDescent="0.2">
      <c r="AV894" s="2" t="s">
        <v>825</v>
      </c>
      <c r="AW894" s="2" t="s">
        <v>711</v>
      </c>
      <c r="AX894" s="2" t="str">
        <f t="shared" si="35"/>
        <v>Q112|FISMA</v>
      </c>
      <c r="AY894" s="13" t="s">
        <v>691</v>
      </c>
      <c r="AZ894" s="13" t="s">
        <v>1078</v>
      </c>
      <c r="BA894" s="2">
        <v>1</v>
      </c>
    </row>
    <row r="895" spans="48:53" x14ac:dyDescent="0.2">
      <c r="AV895" s="2" t="s">
        <v>825</v>
      </c>
      <c r="AW895" s="2" t="s">
        <v>712</v>
      </c>
      <c r="AX895" s="2" t="str">
        <f t="shared" si="35"/>
        <v>Q112|FedRAMP</v>
      </c>
      <c r="AY895" s="13" t="s">
        <v>691</v>
      </c>
      <c r="AZ895" s="13" t="s">
        <v>1078</v>
      </c>
      <c r="BA895" s="2">
        <v>1</v>
      </c>
    </row>
    <row r="896" spans="48:53" x14ac:dyDescent="0.2">
      <c r="AV896" s="2" t="s">
        <v>825</v>
      </c>
      <c r="AW896" s="2" t="s">
        <v>1043</v>
      </c>
      <c r="AX896" s="2" t="str">
        <f t="shared" si="35"/>
        <v>Q112|ISO 27001</v>
      </c>
      <c r="AY896" s="13" t="s">
        <v>692</v>
      </c>
      <c r="AZ896" s="13" t="s">
        <v>1148</v>
      </c>
      <c r="BA896" s="2">
        <v>1</v>
      </c>
    </row>
    <row r="897" spans="48:53" x14ac:dyDescent="0.2">
      <c r="AV897" s="2" t="s">
        <v>825</v>
      </c>
      <c r="AW897" s="2" t="s">
        <v>713</v>
      </c>
      <c r="AX897" s="2" t="str">
        <f t="shared" si="35"/>
        <v>Q112|SOC2</v>
      </c>
      <c r="AY897" s="13" t="s">
        <v>522</v>
      </c>
      <c r="AZ897" s="13" t="s">
        <v>1194</v>
      </c>
      <c r="BA897" s="2">
        <v>1</v>
      </c>
    </row>
    <row r="898" spans="48:53" x14ac:dyDescent="0.2">
      <c r="AV898" s="2" t="s">
        <v>825</v>
      </c>
      <c r="AW898" s="2" t="s">
        <v>1044</v>
      </c>
      <c r="AX898" s="2" t="str">
        <f t="shared" si="35"/>
        <v>Q112|CIS v8</v>
      </c>
      <c r="AY898" s="13">
        <v>16.2</v>
      </c>
      <c r="AZ898" s="13" t="s">
        <v>1089</v>
      </c>
      <c r="BA898" s="2">
        <v>1</v>
      </c>
    </row>
    <row r="899" spans="48:53" x14ac:dyDescent="0.2">
      <c r="AV899" s="2" t="s">
        <v>826</v>
      </c>
      <c r="AW899" s="2" t="s">
        <v>1041</v>
      </c>
      <c r="AX899" s="2" t="str">
        <f t="shared" si="35"/>
        <v>Q113|NIST CSF 2.0</v>
      </c>
      <c r="AY899" s="13" t="s">
        <v>693</v>
      </c>
      <c r="AZ899" s="13" t="s">
        <v>1065</v>
      </c>
      <c r="BA899" s="2">
        <v>1</v>
      </c>
    </row>
    <row r="900" spans="48:53" x14ac:dyDescent="0.2">
      <c r="AV900" s="2" t="s">
        <v>826</v>
      </c>
      <c r="AW900" s="2" t="s">
        <v>710</v>
      </c>
      <c r="AX900" s="2" t="str">
        <f t="shared" ref="AX900:AX962" si="36">_xlfn.CONCAT(AV900,"|",AW900)</f>
        <v>Q113|NIST PQC</v>
      </c>
      <c r="AY900" s="13" t="s">
        <v>439</v>
      </c>
      <c r="AZ900" s="13" t="s">
        <v>439</v>
      </c>
      <c r="BA900" s="2"/>
    </row>
    <row r="901" spans="48:53" x14ac:dyDescent="0.2">
      <c r="AV901" s="2" t="s">
        <v>826</v>
      </c>
      <c r="AW901" s="2" t="s">
        <v>1042</v>
      </c>
      <c r="AX901" s="2" t="str">
        <f t="shared" si="36"/>
        <v>Q113|CMMC 2.0</v>
      </c>
      <c r="AY901" s="13" t="s">
        <v>638</v>
      </c>
      <c r="AZ901" s="13" t="s">
        <v>1078</v>
      </c>
      <c r="BA901" s="2">
        <v>1</v>
      </c>
    </row>
    <row r="902" spans="48:53" x14ac:dyDescent="0.2">
      <c r="AV902" s="2" t="s">
        <v>826</v>
      </c>
      <c r="AW902" s="2" t="s">
        <v>711</v>
      </c>
      <c r="AX902" s="2" t="str">
        <f t="shared" si="36"/>
        <v>Q113|FISMA</v>
      </c>
      <c r="AY902" s="13" t="s">
        <v>573</v>
      </c>
      <c r="AZ902" s="13" t="s">
        <v>1078</v>
      </c>
      <c r="BA902" s="2">
        <v>1</v>
      </c>
    </row>
    <row r="903" spans="48:53" x14ac:dyDescent="0.2">
      <c r="AV903" s="2" t="s">
        <v>826</v>
      </c>
      <c r="AW903" s="2" t="s">
        <v>712</v>
      </c>
      <c r="AX903" s="2" t="str">
        <f t="shared" si="36"/>
        <v>Q113|FedRAMP</v>
      </c>
      <c r="AY903" s="13" t="s">
        <v>573</v>
      </c>
      <c r="AZ903" s="13" t="s">
        <v>1078</v>
      </c>
      <c r="BA903" s="2">
        <v>1</v>
      </c>
    </row>
    <row r="904" spans="48:53" x14ac:dyDescent="0.2">
      <c r="AV904" s="2" t="s">
        <v>826</v>
      </c>
      <c r="AW904" s="2" t="s">
        <v>1043</v>
      </c>
      <c r="AX904" s="2" t="str">
        <f t="shared" si="36"/>
        <v>Q113|ISO 27001</v>
      </c>
      <c r="AY904" s="13" t="s">
        <v>574</v>
      </c>
      <c r="AZ904" s="13" t="s">
        <v>1148</v>
      </c>
      <c r="BA904" s="2">
        <v>1</v>
      </c>
    </row>
    <row r="905" spans="48:53" x14ac:dyDescent="0.2">
      <c r="AV905" s="2" t="s">
        <v>826</v>
      </c>
      <c r="AW905" s="2" t="s">
        <v>713</v>
      </c>
      <c r="AX905" s="2" t="str">
        <f t="shared" si="36"/>
        <v>Q113|SOC2</v>
      </c>
      <c r="AY905" s="13" t="s">
        <v>491</v>
      </c>
      <c r="AZ905" s="13" t="s">
        <v>1194</v>
      </c>
      <c r="BA905" s="2">
        <v>1</v>
      </c>
    </row>
    <row r="906" spans="48:53" x14ac:dyDescent="0.2">
      <c r="AV906" s="2" t="s">
        <v>826</v>
      </c>
      <c r="AW906" s="2" t="s">
        <v>1044</v>
      </c>
      <c r="AX906" s="2" t="str">
        <f t="shared" si="36"/>
        <v>Q113|CIS v8</v>
      </c>
      <c r="AY906" s="13">
        <v>16.3</v>
      </c>
      <c r="AZ906" s="13" t="s">
        <v>1089</v>
      </c>
      <c r="BA906" s="2">
        <v>1</v>
      </c>
    </row>
    <row r="907" spans="48:53" x14ac:dyDescent="0.2">
      <c r="AV907" s="2" t="s">
        <v>827</v>
      </c>
      <c r="AW907" s="2" t="s">
        <v>1041</v>
      </c>
      <c r="AX907" s="2" t="str">
        <f t="shared" si="36"/>
        <v>Q114|NIST CSF 2.0</v>
      </c>
      <c r="AY907" s="13" t="s">
        <v>694</v>
      </c>
      <c r="AZ907" s="13" t="s">
        <v>1066</v>
      </c>
      <c r="BA907" s="2">
        <v>1</v>
      </c>
    </row>
    <row r="908" spans="48:53" x14ac:dyDescent="0.2">
      <c r="AV908" s="2" t="s">
        <v>827</v>
      </c>
      <c r="AW908" s="2" t="s">
        <v>710</v>
      </c>
      <c r="AX908" s="2" t="str">
        <f t="shared" si="36"/>
        <v>Q114|NIST PQC</v>
      </c>
      <c r="AY908" s="13" t="s">
        <v>439</v>
      </c>
      <c r="AZ908" s="13" t="s">
        <v>439</v>
      </c>
      <c r="BA908" s="2"/>
    </row>
    <row r="909" spans="48:53" x14ac:dyDescent="0.2">
      <c r="AV909" s="2" t="s">
        <v>827</v>
      </c>
      <c r="AW909" s="2" t="s">
        <v>1042</v>
      </c>
      <c r="AX909" s="2" t="str">
        <f t="shared" si="36"/>
        <v>Q114|CMMC 2.0</v>
      </c>
      <c r="AY909" s="13" t="s">
        <v>572</v>
      </c>
      <c r="AZ909" s="13" t="s">
        <v>1078</v>
      </c>
      <c r="BA909" s="2">
        <v>1</v>
      </c>
    </row>
    <row r="910" spans="48:53" x14ac:dyDescent="0.2">
      <c r="AV910" s="2" t="s">
        <v>827</v>
      </c>
      <c r="AW910" s="2" t="s">
        <v>711</v>
      </c>
      <c r="AX910" s="2" t="str">
        <f t="shared" si="36"/>
        <v>Q114|FISMA</v>
      </c>
      <c r="AY910" s="13" t="s">
        <v>573</v>
      </c>
      <c r="AZ910" s="13" t="s">
        <v>1078</v>
      </c>
      <c r="BA910" s="2">
        <v>1</v>
      </c>
    </row>
    <row r="911" spans="48:53" x14ac:dyDescent="0.2">
      <c r="AV911" s="2" t="s">
        <v>827</v>
      </c>
      <c r="AW911" s="2" t="s">
        <v>712</v>
      </c>
      <c r="AX911" s="2" t="str">
        <f t="shared" si="36"/>
        <v>Q114|FedRAMP</v>
      </c>
      <c r="AY911" s="13" t="s">
        <v>573</v>
      </c>
      <c r="AZ911" s="13" t="s">
        <v>1078</v>
      </c>
      <c r="BA911" s="2">
        <v>1</v>
      </c>
    </row>
    <row r="912" spans="48:53" x14ac:dyDescent="0.2">
      <c r="AV912" s="2" t="s">
        <v>827</v>
      </c>
      <c r="AW912" s="2" t="s">
        <v>1043</v>
      </c>
      <c r="AX912" s="2" t="str">
        <f t="shared" si="36"/>
        <v>Q114|ISO 27001</v>
      </c>
      <c r="AY912" s="13" t="s">
        <v>695</v>
      </c>
      <c r="AZ912" s="13" t="s">
        <v>1148</v>
      </c>
      <c r="BA912" s="2">
        <v>1</v>
      </c>
    </row>
    <row r="913" spans="48:53" x14ac:dyDescent="0.2">
      <c r="AV913" s="2" t="s">
        <v>827</v>
      </c>
      <c r="AW913" s="2" t="s">
        <v>713</v>
      </c>
      <c r="AX913" s="2" t="str">
        <f t="shared" si="36"/>
        <v>Q114|SOC2</v>
      </c>
      <c r="AY913" s="13" t="s">
        <v>696</v>
      </c>
      <c r="AZ913" s="13" t="s">
        <v>1194</v>
      </c>
      <c r="BA913" s="2">
        <v>1</v>
      </c>
    </row>
    <row r="914" spans="48:53" x14ac:dyDescent="0.2">
      <c r="AV914" s="2" t="s">
        <v>827</v>
      </c>
      <c r="AW914" s="2" t="s">
        <v>1044</v>
      </c>
      <c r="AX914" s="2" t="str">
        <f t="shared" si="36"/>
        <v>Q114|CIS v8</v>
      </c>
      <c r="AY914" s="13">
        <v>16.5</v>
      </c>
      <c r="AZ914" s="13" t="s">
        <v>1089</v>
      </c>
      <c r="BA914" s="2">
        <v>0.8</v>
      </c>
    </row>
    <row r="915" spans="48:53" x14ac:dyDescent="0.2">
      <c r="AV915" s="2" t="s">
        <v>828</v>
      </c>
      <c r="AW915" s="2" t="s">
        <v>1041</v>
      </c>
      <c r="AX915" s="2" t="str">
        <f t="shared" si="36"/>
        <v>Q115|NIST CSF 2.0</v>
      </c>
      <c r="AY915" s="13" t="s">
        <v>697</v>
      </c>
      <c r="AZ915" s="13" t="s">
        <v>1066</v>
      </c>
      <c r="BA915" s="2">
        <v>1</v>
      </c>
    </row>
    <row r="916" spans="48:53" x14ac:dyDescent="0.2">
      <c r="AV916" s="2" t="s">
        <v>828</v>
      </c>
      <c r="AW916" s="2" t="s">
        <v>710</v>
      </c>
      <c r="AX916" s="2" t="str">
        <f t="shared" si="36"/>
        <v>Q115|NIST PQC</v>
      </c>
      <c r="AY916" s="13" t="s">
        <v>439</v>
      </c>
      <c r="AZ916" s="13" t="s">
        <v>439</v>
      </c>
      <c r="BA916" s="2"/>
    </row>
    <row r="917" spans="48:53" x14ac:dyDescent="0.2">
      <c r="AV917" s="2" t="s">
        <v>828</v>
      </c>
      <c r="AW917" s="2" t="s">
        <v>1042</v>
      </c>
      <c r="AX917" s="2" t="str">
        <f t="shared" si="36"/>
        <v>Q115|CMMC 2.0</v>
      </c>
      <c r="AY917" s="13" t="s">
        <v>638</v>
      </c>
      <c r="AZ917" s="13" t="s">
        <v>1078</v>
      </c>
      <c r="BA917" s="2">
        <v>1</v>
      </c>
    </row>
    <row r="918" spans="48:53" x14ac:dyDescent="0.2">
      <c r="AV918" s="2" t="s">
        <v>828</v>
      </c>
      <c r="AW918" s="2" t="s">
        <v>711</v>
      </c>
      <c r="AX918" s="2" t="str">
        <f t="shared" si="36"/>
        <v>Q115|FISMA</v>
      </c>
      <c r="AY918" s="13" t="s">
        <v>573</v>
      </c>
      <c r="AZ918" s="13" t="s">
        <v>1078</v>
      </c>
      <c r="BA918" s="2">
        <v>1</v>
      </c>
    </row>
    <row r="919" spans="48:53" x14ac:dyDescent="0.2">
      <c r="AV919" s="2" t="s">
        <v>828</v>
      </c>
      <c r="AW919" s="2" t="s">
        <v>712</v>
      </c>
      <c r="AX919" s="2" t="str">
        <f t="shared" si="36"/>
        <v>Q115|FedRAMP</v>
      </c>
      <c r="AY919" s="13" t="s">
        <v>573</v>
      </c>
      <c r="AZ919" s="13" t="s">
        <v>1078</v>
      </c>
      <c r="BA919" s="2">
        <v>1</v>
      </c>
    </row>
    <row r="920" spans="48:53" x14ac:dyDescent="0.2">
      <c r="AV920" s="2" t="s">
        <v>828</v>
      </c>
      <c r="AW920" s="2" t="s">
        <v>1043</v>
      </c>
      <c r="AX920" s="2" t="str">
        <f t="shared" si="36"/>
        <v>Q115|ISO 27001</v>
      </c>
      <c r="AY920" s="13" t="s">
        <v>639</v>
      </c>
      <c r="AZ920" s="13" t="s">
        <v>1148</v>
      </c>
      <c r="BA920" s="2">
        <v>1</v>
      </c>
    </row>
    <row r="921" spans="48:53" x14ac:dyDescent="0.2">
      <c r="AV921" s="2" t="s">
        <v>828</v>
      </c>
      <c r="AW921" s="2" t="s">
        <v>713</v>
      </c>
      <c r="AX921" s="2" t="str">
        <f t="shared" si="36"/>
        <v>Q115|SOC2</v>
      </c>
      <c r="AY921" s="13" t="s">
        <v>522</v>
      </c>
      <c r="AZ921" s="13" t="s">
        <v>1194</v>
      </c>
      <c r="BA921" s="2">
        <v>1</v>
      </c>
    </row>
    <row r="922" spans="48:53" x14ac:dyDescent="0.2">
      <c r="AV922" s="2" t="s">
        <v>828</v>
      </c>
      <c r="AW922" s="2" t="s">
        <v>1044</v>
      </c>
      <c r="AX922" s="2" t="str">
        <f t="shared" si="36"/>
        <v>Q115|CIS v8</v>
      </c>
      <c r="AY922" s="13">
        <v>16.399999999999999</v>
      </c>
      <c r="AZ922" s="13" t="s">
        <v>1089</v>
      </c>
      <c r="BA922" s="2">
        <v>1</v>
      </c>
    </row>
    <row r="923" spans="48:53" x14ac:dyDescent="0.2">
      <c r="AV923" s="2" t="s">
        <v>829</v>
      </c>
      <c r="AW923" s="2" t="s">
        <v>1041</v>
      </c>
      <c r="AX923" s="2" t="str">
        <f t="shared" si="36"/>
        <v>Q116|NIST CSF 2.0</v>
      </c>
      <c r="AY923" s="13" t="s">
        <v>698</v>
      </c>
      <c r="AZ923" s="13" t="s">
        <v>1069</v>
      </c>
      <c r="BA923" s="2">
        <v>1</v>
      </c>
    </row>
    <row r="924" spans="48:53" x14ac:dyDescent="0.2">
      <c r="AV924" s="2" t="s">
        <v>829</v>
      </c>
      <c r="AW924" s="2" t="s">
        <v>710</v>
      </c>
      <c r="AX924" s="2" t="str">
        <f t="shared" si="36"/>
        <v>Q116|NIST PQC</v>
      </c>
      <c r="AY924" s="13" t="s">
        <v>439</v>
      </c>
      <c r="AZ924" s="13" t="s">
        <v>439</v>
      </c>
      <c r="BA924" s="2"/>
    </row>
    <row r="925" spans="48:53" x14ac:dyDescent="0.2">
      <c r="AV925" s="2" t="s">
        <v>829</v>
      </c>
      <c r="AW925" s="2" t="s">
        <v>1042</v>
      </c>
      <c r="AX925" s="2" t="str">
        <f t="shared" si="36"/>
        <v>Q116|CMMC 2.0</v>
      </c>
      <c r="AY925" s="13" t="s">
        <v>439</v>
      </c>
      <c r="AZ925" s="13" t="s">
        <v>439</v>
      </c>
      <c r="BA925" s="2"/>
    </row>
    <row r="926" spans="48:53" x14ac:dyDescent="0.2">
      <c r="AV926" s="2" t="s">
        <v>829</v>
      </c>
      <c r="AW926" s="2" t="s">
        <v>711</v>
      </c>
      <c r="AX926" s="2" t="str">
        <f t="shared" si="36"/>
        <v>Q116|FISMA</v>
      </c>
      <c r="AY926" s="13" t="s">
        <v>577</v>
      </c>
      <c r="AZ926" s="13" t="s">
        <v>1079</v>
      </c>
      <c r="BA926" s="2">
        <v>1</v>
      </c>
    </row>
    <row r="927" spans="48:53" x14ac:dyDescent="0.2">
      <c r="AV927" s="2" t="s">
        <v>829</v>
      </c>
      <c r="AW927" s="2" t="s">
        <v>712</v>
      </c>
      <c r="AX927" s="2" t="str">
        <f t="shared" si="36"/>
        <v>Q116|FedRAMP</v>
      </c>
      <c r="AY927" s="13" t="s">
        <v>577</v>
      </c>
      <c r="AZ927" s="13" t="s">
        <v>1079</v>
      </c>
      <c r="BA927" s="2">
        <v>1</v>
      </c>
    </row>
    <row r="928" spans="48:53" x14ac:dyDescent="0.2">
      <c r="AV928" s="2" t="s">
        <v>829</v>
      </c>
      <c r="AW928" s="2" t="s">
        <v>1043</v>
      </c>
      <c r="AX928" s="2" t="str">
        <f t="shared" si="36"/>
        <v>Q116|ISO 27001</v>
      </c>
      <c r="AY928" s="13" t="s">
        <v>578</v>
      </c>
      <c r="AZ928" s="13" t="s">
        <v>1149</v>
      </c>
      <c r="BA928" s="2">
        <v>1</v>
      </c>
    </row>
    <row r="929" spans="48:53" x14ac:dyDescent="0.2">
      <c r="AV929" s="2" t="s">
        <v>829</v>
      </c>
      <c r="AW929" s="2" t="s">
        <v>713</v>
      </c>
      <c r="AX929" s="2" t="str">
        <f t="shared" si="36"/>
        <v>Q116|SOC2</v>
      </c>
      <c r="AY929" s="13" t="s">
        <v>700</v>
      </c>
      <c r="AZ929" s="13" t="s">
        <v>1098</v>
      </c>
      <c r="BA929" s="2">
        <v>1</v>
      </c>
    </row>
    <row r="930" spans="48:53" x14ac:dyDescent="0.2">
      <c r="AV930" s="2" t="s">
        <v>829</v>
      </c>
      <c r="AW930" s="2" t="s">
        <v>1044</v>
      </c>
      <c r="AX930" s="2" t="str">
        <f t="shared" si="36"/>
        <v>Q116|CIS v8</v>
      </c>
      <c r="AY930" s="13">
        <v>11.1</v>
      </c>
      <c r="AZ930" s="13" t="s">
        <v>1090</v>
      </c>
      <c r="BA930" s="2">
        <v>1</v>
      </c>
    </row>
    <row r="931" spans="48:53" x14ac:dyDescent="0.2">
      <c r="AV931" s="2" t="s">
        <v>830</v>
      </c>
      <c r="AW931" s="2" t="s">
        <v>1041</v>
      </c>
      <c r="AX931" s="2" t="str">
        <f t="shared" si="36"/>
        <v>Q117|NIST CSF 2.0</v>
      </c>
      <c r="AY931" s="13" t="s">
        <v>701</v>
      </c>
      <c r="AZ931" s="13" t="s">
        <v>1068</v>
      </c>
      <c r="BA931" s="2">
        <v>1</v>
      </c>
    </row>
    <row r="932" spans="48:53" x14ac:dyDescent="0.2">
      <c r="AV932" s="2" t="s">
        <v>830</v>
      </c>
      <c r="AW932" s="2" t="s">
        <v>710</v>
      </c>
      <c r="AX932" s="2" t="str">
        <f t="shared" si="36"/>
        <v>Q117|NIST PQC</v>
      </c>
      <c r="AY932" s="13" t="s">
        <v>439</v>
      </c>
      <c r="AZ932" s="13" t="s">
        <v>439</v>
      </c>
      <c r="BA932" s="2"/>
    </row>
    <row r="933" spans="48:53" x14ac:dyDescent="0.2">
      <c r="AV933" s="2" t="s">
        <v>830</v>
      </c>
      <c r="AW933" s="2" t="s">
        <v>1042</v>
      </c>
      <c r="AX933" s="2" t="str">
        <f t="shared" si="36"/>
        <v>Q117|CMMC 2.0</v>
      </c>
      <c r="AY933" s="13" t="s">
        <v>439</v>
      </c>
      <c r="AZ933" s="13" t="s">
        <v>439</v>
      </c>
      <c r="BA933" s="2"/>
    </row>
    <row r="934" spans="48:53" x14ac:dyDescent="0.2">
      <c r="AV934" s="2" t="s">
        <v>830</v>
      </c>
      <c r="AW934" s="2" t="s">
        <v>711</v>
      </c>
      <c r="AX934" s="2" t="str">
        <f t="shared" si="36"/>
        <v>Q117|FISMA</v>
      </c>
      <c r="AY934" s="13" t="s">
        <v>702</v>
      </c>
      <c r="AZ934" s="13" t="s">
        <v>1079</v>
      </c>
      <c r="BA934" s="2">
        <v>1</v>
      </c>
    </row>
    <row r="935" spans="48:53" x14ac:dyDescent="0.2">
      <c r="AV935" s="2" t="s">
        <v>830</v>
      </c>
      <c r="AW935" s="2" t="s">
        <v>712</v>
      </c>
      <c r="AX935" s="2" t="str">
        <f t="shared" si="36"/>
        <v>Q117|FedRAMP</v>
      </c>
      <c r="AY935" s="13" t="s">
        <v>702</v>
      </c>
      <c r="AZ935" s="13" t="s">
        <v>1079</v>
      </c>
      <c r="BA935" s="2">
        <v>1</v>
      </c>
    </row>
    <row r="936" spans="48:53" x14ac:dyDescent="0.2">
      <c r="AV936" s="2" t="s">
        <v>830</v>
      </c>
      <c r="AW936" s="2" t="s">
        <v>1043</v>
      </c>
      <c r="AX936" s="2" t="str">
        <f t="shared" si="36"/>
        <v>Q117|ISO 27001</v>
      </c>
      <c r="AY936" s="13" t="s">
        <v>703</v>
      </c>
      <c r="AZ936" s="13" t="s">
        <v>1144</v>
      </c>
      <c r="BA936" s="2">
        <v>1</v>
      </c>
    </row>
    <row r="937" spans="48:53" x14ac:dyDescent="0.2">
      <c r="AV937" s="2" t="s">
        <v>830</v>
      </c>
      <c r="AW937" s="2" t="s">
        <v>713</v>
      </c>
      <c r="AX937" s="2" t="str">
        <f t="shared" si="36"/>
        <v>Q117|SOC2</v>
      </c>
      <c r="AY937" s="13" t="s">
        <v>700</v>
      </c>
      <c r="AZ937" s="13" t="s">
        <v>1098</v>
      </c>
      <c r="BA937" s="2">
        <v>1</v>
      </c>
    </row>
    <row r="938" spans="48:53" x14ac:dyDescent="0.2">
      <c r="AV938" s="2" t="s">
        <v>830</v>
      </c>
      <c r="AW938" s="2" t="s">
        <v>1044</v>
      </c>
      <c r="AX938" s="2" t="str">
        <f t="shared" si="36"/>
        <v>Q117|CIS v8</v>
      </c>
      <c r="AY938" s="13">
        <v>11.2</v>
      </c>
      <c r="AZ938" s="13" t="s">
        <v>1090</v>
      </c>
      <c r="BA938" s="2">
        <v>1</v>
      </c>
    </row>
    <row r="939" spans="48:53" x14ac:dyDescent="0.2">
      <c r="AV939" s="2" t="s">
        <v>831</v>
      </c>
      <c r="AW939" s="2" t="s">
        <v>1041</v>
      </c>
      <c r="AX939" s="2" t="str">
        <f t="shared" si="36"/>
        <v>Q118|NIST CSF 2.0</v>
      </c>
      <c r="AY939" s="13" t="s">
        <v>698</v>
      </c>
      <c r="AZ939" s="13" t="s">
        <v>1069</v>
      </c>
      <c r="BA939" s="2">
        <v>1</v>
      </c>
    </row>
    <row r="940" spans="48:53" x14ac:dyDescent="0.2">
      <c r="AV940" s="2" t="s">
        <v>831</v>
      </c>
      <c r="AW940" s="2" t="s">
        <v>710</v>
      </c>
      <c r="AX940" s="2" t="str">
        <f t="shared" si="36"/>
        <v>Q118|NIST PQC</v>
      </c>
      <c r="AY940" s="13" t="s">
        <v>439</v>
      </c>
      <c r="AZ940" s="13" t="s">
        <v>439</v>
      </c>
      <c r="BA940" s="2"/>
    </row>
    <row r="941" spans="48:53" x14ac:dyDescent="0.2">
      <c r="AV941" s="2" t="s">
        <v>831</v>
      </c>
      <c r="AW941" s="2" t="s">
        <v>1042</v>
      </c>
      <c r="AX941" s="2" t="str">
        <f t="shared" si="36"/>
        <v>Q118|CMMC 2.0</v>
      </c>
      <c r="AY941" s="13" t="s">
        <v>439</v>
      </c>
      <c r="AZ941" s="13" t="s">
        <v>439</v>
      </c>
      <c r="BA941" s="2"/>
    </row>
    <row r="942" spans="48:53" x14ac:dyDescent="0.2">
      <c r="AV942" s="2" t="s">
        <v>831</v>
      </c>
      <c r="AW942" s="2" t="s">
        <v>711</v>
      </c>
      <c r="AX942" s="2" t="str">
        <f t="shared" si="36"/>
        <v>Q118|FISMA</v>
      </c>
      <c r="AY942" s="13" t="s">
        <v>577</v>
      </c>
      <c r="AZ942" s="13" t="s">
        <v>1079</v>
      </c>
      <c r="BA942" s="2">
        <v>1</v>
      </c>
    </row>
    <row r="943" spans="48:53" x14ac:dyDescent="0.2">
      <c r="AV943" s="2" t="s">
        <v>831</v>
      </c>
      <c r="AW943" s="2" t="s">
        <v>712</v>
      </c>
      <c r="AX943" s="2" t="str">
        <f t="shared" si="36"/>
        <v>Q118|FedRAMP</v>
      </c>
      <c r="AY943" s="13" t="s">
        <v>577</v>
      </c>
      <c r="AZ943" s="13" t="s">
        <v>1079</v>
      </c>
      <c r="BA943" s="2">
        <v>1</v>
      </c>
    </row>
    <row r="944" spans="48:53" x14ac:dyDescent="0.2">
      <c r="AV944" s="2" t="s">
        <v>831</v>
      </c>
      <c r="AW944" s="2" t="s">
        <v>1043</v>
      </c>
      <c r="AX944" s="2" t="str">
        <f t="shared" si="36"/>
        <v>Q118|ISO 27001</v>
      </c>
      <c r="AY944" s="13" t="s">
        <v>704</v>
      </c>
      <c r="AZ944" s="13" t="s">
        <v>1149</v>
      </c>
      <c r="BA944" s="2">
        <v>1</v>
      </c>
    </row>
    <row r="945" spans="48:53" x14ac:dyDescent="0.2">
      <c r="AV945" s="2" t="s">
        <v>831</v>
      </c>
      <c r="AW945" s="2" t="s">
        <v>713</v>
      </c>
      <c r="AX945" s="2" t="str">
        <f t="shared" si="36"/>
        <v>Q118|SOC2</v>
      </c>
      <c r="AY945" s="13" t="s">
        <v>700</v>
      </c>
      <c r="AZ945" s="13" t="s">
        <v>1098</v>
      </c>
      <c r="BA945" s="2">
        <v>1</v>
      </c>
    </row>
    <row r="946" spans="48:53" x14ac:dyDescent="0.2">
      <c r="AV946" s="2" t="s">
        <v>831</v>
      </c>
      <c r="AW946" s="2" t="s">
        <v>1044</v>
      </c>
      <c r="AX946" s="2" t="str">
        <f t="shared" si="36"/>
        <v>Q118|CIS v8</v>
      </c>
      <c r="AY946" s="13">
        <v>11.1</v>
      </c>
      <c r="AZ946" s="13" t="s">
        <v>1090</v>
      </c>
      <c r="BA946" s="2">
        <v>1</v>
      </c>
    </row>
    <row r="947" spans="48:53" x14ac:dyDescent="0.2">
      <c r="AV947" s="2" t="s">
        <v>832</v>
      </c>
      <c r="AW947" s="2" t="s">
        <v>1041</v>
      </c>
      <c r="AX947" s="2" t="str">
        <f t="shared" si="36"/>
        <v>Q119|NIST CSF 2.0</v>
      </c>
      <c r="AY947" s="13" t="s">
        <v>705</v>
      </c>
      <c r="AZ947" s="13" t="s">
        <v>1066</v>
      </c>
      <c r="BA947" s="2">
        <v>1</v>
      </c>
    </row>
    <row r="948" spans="48:53" x14ac:dyDescent="0.2">
      <c r="AV948" s="2" t="s">
        <v>832</v>
      </c>
      <c r="AW948" s="2" t="s">
        <v>710</v>
      </c>
      <c r="AX948" s="2" t="str">
        <f t="shared" si="36"/>
        <v>Q119|NIST PQC</v>
      </c>
      <c r="AY948" s="13" t="s">
        <v>439</v>
      </c>
      <c r="AZ948" s="13" t="s">
        <v>439</v>
      </c>
      <c r="BA948" s="2"/>
    </row>
    <row r="949" spans="48:53" x14ac:dyDescent="0.2">
      <c r="AV949" s="2" t="s">
        <v>832</v>
      </c>
      <c r="AW949" s="2" t="s">
        <v>1042</v>
      </c>
      <c r="AX949" s="2" t="str">
        <f t="shared" si="36"/>
        <v>Q119|CMMC 2.0</v>
      </c>
      <c r="AY949" s="13" t="s">
        <v>706</v>
      </c>
      <c r="AZ949" s="13" t="s">
        <v>1078</v>
      </c>
      <c r="BA949" s="2">
        <v>1</v>
      </c>
    </row>
    <row r="950" spans="48:53" x14ac:dyDescent="0.2">
      <c r="AV950" s="2" t="s">
        <v>832</v>
      </c>
      <c r="AW950" s="2" t="s">
        <v>711</v>
      </c>
      <c r="AX950" s="2" t="str">
        <f t="shared" si="36"/>
        <v>Q119|FISMA</v>
      </c>
      <c r="AY950" s="13" t="s">
        <v>573</v>
      </c>
      <c r="AZ950" s="13" t="s">
        <v>1078</v>
      </c>
      <c r="BA950" s="2">
        <v>1</v>
      </c>
    </row>
    <row r="951" spans="48:53" x14ac:dyDescent="0.2">
      <c r="AV951" s="2" t="s">
        <v>832</v>
      </c>
      <c r="AW951" s="2" t="s">
        <v>712</v>
      </c>
      <c r="AX951" s="2" t="str">
        <f t="shared" si="36"/>
        <v>Q119|FedRAMP</v>
      </c>
      <c r="AY951" s="13" t="s">
        <v>573</v>
      </c>
      <c r="AZ951" s="13" t="s">
        <v>1078</v>
      </c>
      <c r="BA951" s="2">
        <v>1</v>
      </c>
    </row>
    <row r="952" spans="48:53" x14ac:dyDescent="0.2">
      <c r="AV952" s="2" t="s">
        <v>832</v>
      </c>
      <c r="AW952" s="2" t="s">
        <v>1043</v>
      </c>
      <c r="AX952" s="2" t="str">
        <f t="shared" si="36"/>
        <v>Q119|ISO 27001</v>
      </c>
      <c r="AY952" s="13" t="s">
        <v>521</v>
      </c>
      <c r="AZ952" s="13" t="s">
        <v>1148</v>
      </c>
      <c r="BA952" s="2">
        <v>1</v>
      </c>
    </row>
    <row r="953" spans="48:53" x14ac:dyDescent="0.2">
      <c r="AV953" s="2" t="s">
        <v>832</v>
      </c>
      <c r="AW953" s="2" t="s">
        <v>713</v>
      </c>
      <c r="AX953" s="2" t="str">
        <f t="shared" si="36"/>
        <v>Q119|SOC2</v>
      </c>
      <c r="AY953" s="13" t="s">
        <v>707</v>
      </c>
      <c r="AZ953" s="13" t="s">
        <v>1194</v>
      </c>
      <c r="BA953" s="2">
        <v>1</v>
      </c>
    </row>
    <row r="954" spans="48:53" x14ac:dyDescent="0.2">
      <c r="AV954" s="2" t="s">
        <v>832</v>
      </c>
      <c r="AW954" s="2" t="s">
        <v>1044</v>
      </c>
      <c r="AX954" s="2" t="str">
        <f t="shared" si="36"/>
        <v>Q119|CIS v8</v>
      </c>
      <c r="AY954" s="13">
        <v>16.600000000000001</v>
      </c>
      <c r="AZ954" s="13" t="s">
        <v>1089</v>
      </c>
      <c r="BA954" s="2">
        <v>1</v>
      </c>
    </row>
    <row r="955" spans="48:53" x14ac:dyDescent="0.2">
      <c r="AV955" s="2" t="s">
        <v>833</v>
      </c>
      <c r="AW955" s="2" t="s">
        <v>1041</v>
      </c>
      <c r="AX955" s="2" t="str">
        <f t="shared" si="36"/>
        <v>Q120|NIST CSF 2.0</v>
      </c>
      <c r="AY955" s="13" t="s">
        <v>687</v>
      </c>
      <c r="AZ955" s="13" t="s">
        <v>1066</v>
      </c>
      <c r="BA955" s="2">
        <v>0.8</v>
      </c>
    </row>
    <row r="956" spans="48:53" x14ac:dyDescent="0.2">
      <c r="AV956" s="2" t="s">
        <v>833</v>
      </c>
      <c r="AW956" s="2" t="s">
        <v>710</v>
      </c>
      <c r="AX956" s="2" t="str">
        <f t="shared" si="36"/>
        <v>Q120|NIST PQC</v>
      </c>
      <c r="AY956" s="13" t="s">
        <v>439</v>
      </c>
      <c r="AZ956" s="13" t="s">
        <v>439</v>
      </c>
      <c r="BA956" s="2"/>
    </row>
    <row r="957" spans="48:53" x14ac:dyDescent="0.2">
      <c r="AV957" s="2" t="s">
        <v>833</v>
      </c>
      <c r="AW957" s="2" t="s">
        <v>1042</v>
      </c>
      <c r="AX957" s="2" t="str">
        <f t="shared" si="36"/>
        <v>Q120|CMMC 2.0</v>
      </c>
      <c r="AY957" s="13" t="s">
        <v>638</v>
      </c>
      <c r="AZ957" s="13" t="s">
        <v>1078</v>
      </c>
      <c r="BA957" s="2">
        <v>0.8</v>
      </c>
    </row>
    <row r="958" spans="48:53" x14ac:dyDescent="0.2">
      <c r="AV958" s="2" t="s">
        <v>833</v>
      </c>
      <c r="AW958" s="2" t="s">
        <v>711</v>
      </c>
      <c r="AX958" s="2" t="str">
        <f t="shared" si="36"/>
        <v>Q120|FISMA</v>
      </c>
      <c r="AY958" s="13" t="s">
        <v>708</v>
      </c>
      <c r="AZ958" s="13" t="s">
        <v>1078</v>
      </c>
      <c r="BA958" s="2">
        <v>1</v>
      </c>
    </row>
    <row r="959" spans="48:53" x14ac:dyDescent="0.2">
      <c r="AV959" s="2" t="s">
        <v>833</v>
      </c>
      <c r="AW959" s="2" t="s">
        <v>712</v>
      </c>
      <c r="AX959" s="2" t="str">
        <f t="shared" si="36"/>
        <v>Q120|FedRAMP</v>
      </c>
      <c r="AY959" s="13" t="s">
        <v>708</v>
      </c>
      <c r="AZ959" s="13" t="s">
        <v>1078</v>
      </c>
      <c r="BA959" s="2">
        <v>1</v>
      </c>
    </row>
    <row r="960" spans="48:53" x14ac:dyDescent="0.2">
      <c r="AV960" s="2" t="s">
        <v>833</v>
      </c>
      <c r="AW960" s="2" t="s">
        <v>1043</v>
      </c>
      <c r="AX960" s="2" t="str">
        <f t="shared" si="36"/>
        <v>Q120|ISO 27001</v>
      </c>
      <c r="AY960" s="13" t="s">
        <v>709</v>
      </c>
      <c r="AZ960" s="13" t="s">
        <v>1149</v>
      </c>
      <c r="BA960" s="2">
        <v>1</v>
      </c>
    </row>
    <row r="961" spans="48:53" x14ac:dyDescent="0.2">
      <c r="AV961" s="2" t="s">
        <v>833</v>
      </c>
      <c r="AW961" s="2" t="s">
        <v>713</v>
      </c>
      <c r="AX961" s="2" t="str">
        <f t="shared" si="36"/>
        <v>Q120|SOC2</v>
      </c>
      <c r="AY961" s="13" t="s">
        <v>522</v>
      </c>
      <c r="AZ961" s="13" t="s">
        <v>1194</v>
      </c>
      <c r="BA961" s="2">
        <v>0.8</v>
      </c>
    </row>
    <row r="962" spans="48:53" x14ac:dyDescent="0.2">
      <c r="AV962" s="2" t="s">
        <v>833</v>
      </c>
      <c r="AW962" s="2" t="s">
        <v>1044</v>
      </c>
      <c r="AX962" s="2" t="str">
        <f t="shared" si="36"/>
        <v>Q120|CIS v8</v>
      </c>
      <c r="AY962" s="13">
        <v>16.8</v>
      </c>
      <c r="AZ962" s="13" t="s">
        <v>1089</v>
      </c>
      <c r="BA962" s="2">
        <v>1</v>
      </c>
    </row>
  </sheetData>
  <autoFilter ref="AV1:BH962" xr:uid="{BC913BB3-7DE3-4F13-BFDD-B7F2F9A02693}"/>
  <phoneticPr fontId="5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286</vt:i4>
      </vt:variant>
    </vt:vector>
  </HeadingPairs>
  <TitlesOfParts>
    <vt:vector size="296" baseType="lpstr">
      <vt:lpstr>Welcome</vt:lpstr>
      <vt:lpstr>Profile</vt:lpstr>
      <vt:lpstr>Dimension 1 - CVI</vt:lpstr>
      <vt:lpstr>Dimension 2 - SGRM</vt:lpstr>
      <vt:lpstr>Dimension 3 - DPE</vt:lpstr>
      <vt:lpstr>Dimension 4 - ITR</vt:lpstr>
      <vt:lpstr>Scorecard</vt:lpstr>
      <vt:lpstr>Compliance</vt:lpstr>
      <vt:lpstr>QuestionList</vt:lpstr>
      <vt:lpstr>Data</vt:lpstr>
      <vt:lpstr>AnswerOptions</vt:lpstr>
      <vt:lpstr>Benchmarks</vt:lpstr>
      <vt:lpstr>ComplianceFrameworks</vt:lpstr>
      <vt:lpstr>ComplianceMap</vt:lpstr>
      <vt:lpstr>CVI_1_Score</vt:lpstr>
      <vt:lpstr>CVI_2_Score</vt:lpstr>
      <vt:lpstr>CVI_3_Score</vt:lpstr>
      <vt:lpstr>CVI_Score</vt:lpstr>
      <vt:lpstr>CVI_Score_Adj</vt:lpstr>
      <vt:lpstr>DimensionData</vt:lpstr>
      <vt:lpstr>DPE_1_Score</vt:lpstr>
      <vt:lpstr>DPE_2_Score</vt:lpstr>
      <vt:lpstr>DPE_3_Score</vt:lpstr>
      <vt:lpstr>DPE_Score</vt:lpstr>
      <vt:lpstr>DPE_Score_Adj</vt:lpstr>
      <vt:lpstr>GeoScope</vt:lpstr>
      <vt:lpstr>Industries</vt:lpstr>
      <vt:lpstr>ITR_1_Score</vt:lpstr>
      <vt:lpstr>ITR_2_Score</vt:lpstr>
      <vt:lpstr>ITR_3_Score</vt:lpstr>
      <vt:lpstr>ITR_Score</vt:lpstr>
      <vt:lpstr>ITR_Score_Adj</vt:lpstr>
      <vt:lpstr>MaturityLevels</vt:lpstr>
      <vt:lpstr>OrgSizes</vt:lpstr>
      <vt:lpstr>PctComplete</vt:lpstr>
      <vt:lpstr>PracticeData</vt:lpstr>
      <vt:lpstr>PracticeOutcomesDeDupRank</vt:lpstr>
      <vt:lpstr>PracticeOutcomesRank</vt:lpstr>
      <vt:lpstr>PracticeScoreOutcomes</vt:lpstr>
      <vt:lpstr>PracticeScores</vt:lpstr>
      <vt:lpstr>'Dimension 1 - CVI'!Print_Area</vt:lpstr>
      <vt:lpstr>'Dimension 2 - SGRM'!Print_Area</vt:lpstr>
      <vt:lpstr>'Dimension 3 - DPE'!Print_Area</vt:lpstr>
      <vt:lpstr>'Dimension 4 - ITR'!Print_Area</vt:lpstr>
      <vt:lpstr>ProfileMultiplier</vt:lpstr>
      <vt:lpstr>ProfileOrgIndustry</vt:lpstr>
      <vt:lpstr>ProfileOrgSize</vt:lpstr>
      <vt:lpstr>Q1_answers</vt:lpstr>
      <vt:lpstr>Q1_Score</vt:lpstr>
      <vt:lpstr>Q10_answers</vt:lpstr>
      <vt:lpstr>Q10_Score</vt:lpstr>
      <vt:lpstr>Q100_answers</vt:lpstr>
      <vt:lpstr>Q100_Score</vt:lpstr>
      <vt:lpstr>Q101_answers</vt:lpstr>
      <vt:lpstr>Q101_Score</vt:lpstr>
      <vt:lpstr>Q102_answers</vt:lpstr>
      <vt:lpstr>Q102_Score</vt:lpstr>
      <vt:lpstr>Q103_answers</vt:lpstr>
      <vt:lpstr>Q103_Score</vt:lpstr>
      <vt:lpstr>Q104_answers</vt:lpstr>
      <vt:lpstr>Q104_Score</vt:lpstr>
      <vt:lpstr>Q105_answers</vt:lpstr>
      <vt:lpstr>Q105_Score</vt:lpstr>
      <vt:lpstr>Q106_answers</vt:lpstr>
      <vt:lpstr>Q106_Score</vt:lpstr>
      <vt:lpstr>Q107_answers</vt:lpstr>
      <vt:lpstr>Q107_Score</vt:lpstr>
      <vt:lpstr>Q108_answers</vt:lpstr>
      <vt:lpstr>Q108_Score</vt:lpstr>
      <vt:lpstr>Q109_answers</vt:lpstr>
      <vt:lpstr>Q109_Score</vt:lpstr>
      <vt:lpstr>Q11_answers</vt:lpstr>
      <vt:lpstr>Q11_Score</vt:lpstr>
      <vt:lpstr>Q110_answers</vt:lpstr>
      <vt:lpstr>Q110_Score</vt:lpstr>
      <vt:lpstr>Q111_answers</vt:lpstr>
      <vt:lpstr>Q111_Score</vt:lpstr>
      <vt:lpstr>Q112_answers</vt:lpstr>
      <vt:lpstr>Q112_Score</vt:lpstr>
      <vt:lpstr>Q113_answers</vt:lpstr>
      <vt:lpstr>Q113_Score</vt:lpstr>
      <vt:lpstr>Q114_answers</vt:lpstr>
      <vt:lpstr>Q114_Score</vt:lpstr>
      <vt:lpstr>Q115_answers</vt:lpstr>
      <vt:lpstr>Q115_Score</vt:lpstr>
      <vt:lpstr>Q116_answers</vt:lpstr>
      <vt:lpstr>Q116_Score</vt:lpstr>
      <vt:lpstr>Q117_answers</vt:lpstr>
      <vt:lpstr>Q117_Score</vt:lpstr>
      <vt:lpstr>Q118_answers</vt:lpstr>
      <vt:lpstr>Q118_Score</vt:lpstr>
      <vt:lpstr>Q119_answers</vt:lpstr>
      <vt:lpstr>Q119_Score</vt:lpstr>
      <vt:lpstr>Q12_answers</vt:lpstr>
      <vt:lpstr>Q12_Score</vt:lpstr>
      <vt:lpstr>Q120_answers</vt:lpstr>
      <vt:lpstr>Q120_Score</vt:lpstr>
      <vt:lpstr>Q13_answers</vt:lpstr>
      <vt:lpstr>Q13_Score</vt:lpstr>
      <vt:lpstr>Q14_answers</vt:lpstr>
      <vt:lpstr>Q14_Score</vt:lpstr>
      <vt:lpstr>Q15_answers</vt:lpstr>
      <vt:lpstr>Q15_Score</vt:lpstr>
      <vt:lpstr>Q16_answers</vt:lpstr>
      <vt:lpstr>Q16_Score</vt:lpstr>
      <vt:lpstr>Q17_answers</vt:lpstr>
      <vt:lpstr>Q17_Score</vt:lpstr>
      <vt:lpstr>Q18_answers</vt:lpstr>
      <vt:lpstr>Q18_Score</vt:lpstr>
      <vt:lpstr>Q19_answers</vt:lpstr>
      <vt:lpstr>Q19_Score</vt:lpstr>
      <vt:lpstr>Q2_answers</vt:lpstr>
      <vt:lpstr>Q2_Score</vt:lpstr>
      <vt:lpstr>Q20_answers</vt:lpstr>
      <vt:lpstr>Q20_Score</vt:lpstr>
      <vt:lpstr>Q21_answers</vt:lpstr>
      <vt:lpstr>Q21_Score</vt:lpstr>
      <vt:lpstr>Q22_answers</vt:lpstr>
      <vt:lpstr>Q22_Score</vt:lpstr>
      <vt:lpstr>Q23_answers</vt:lpstr>
      <vt:lpstr>Q23_Score</vt:lpstr>
      <vt:lpstr>Q24_answers</vt:lpstr>
      <vt:lpstr>Q24_Score</vt:lpstr>
      <vt:lpstr>Q25_answers</vt:lpstr>
      <vt:lpstr>Q25_Score</vt:lpstr>
      <vt:lpstr>Q26_answers</vt:lpstr>
      <vt:lpstr>Q26_Score</vt:lpstr>
      <vt:lpstr>Q27_answers</vt:lpstr>
      <vt:lpstr>Q27_Score</vt:lpstr>
      <vt:lpstr>Q28_answers</vt:lpstr>
      <vt:lpstr>Q28_Score</vt:lpstr>
      <vt:lpstr>Q29_answers</vt:lpstr>
      <vt:lpstr>Q29_Score</vt:lpstr>
      <vt:lpstr>Q3_answers</vt:lpstr>
      <vt:lpstr>Q3_Score</vt:lpstr>
      <vt:lpstr>Q30_answers</vt:lpstr>
      <vt:lpstr>Q30_Score</vt:lpstr>
      <vt:lpstr>Q31_answers</vt:lpstr>
      <vt:lpstr>Q31_Score</vt:lpstr>
      <vt:lpstr>Q32_answers</vt:lpstr>
      <vt:lpstr>Q32_Score</vt:lpstr>
      <vt:lpstr>Q33_answers</vt:lpstr>
      <vt:lpstr>Q33_Score</vt:lpstr>
      <vt:lpstr>Q34_answers</vt:lpstr>
      <vt:lpstr>Q34_Score</vt:lpstr>
      <vt:lpstr>Q35_answers</vt:lpstr>
      <vt:lpstr>Q35_Score</vt:lpstr>
      <vt:lpstr>Q36_answers</vt:lpstr>
      <vt:lpstr>Q36_Score</vt:lpstr>
      <vt:lpstr>Q37_answers</vt:lpstr>
      <vt:lpstr>Q37_Score</vt:lpstr>
      <vt:lpstr>Q38_answers</vt:lpstr>
      <vt:lpstr>Q38_Score</vt:lpstr>
      <vt:lpstr>Q39_answers</vt:lpstr>
      <vt:lpstr>Q39_Score</vt:lpstr>
      <vt:lpstr>Q4_answers</vt:lpstr>
      <vt:lpstr>Q4_Score</vt:lpstr>
      <vt:lpstr>Q40_answers</vt:lpstr>
      <vt:lpstr>Q40_Score</vt:lpstr>
      <vt:lpstr>Q41_answers</vt:lpstr>
      <vt:lpstr>Q41_Score</vt:lpstr>
      <vt:lpstr>Q42_answers</vt:lpstr>
      <vt:lpstr>Q42_Score</vt:lpstr>
      <vt:lpstr>Q43_answers</vt:lpstr>
      <vt:lpstr>Q43_Score</vt:lpstr>
      <vt:lpstr>Q44_answers</vt:lpstr>
      <vt:lpstr>Q44_Score</vt:lpstr>
      <vt:lpstr>Q45_answers</vt:lpstr>
      <vt:lpstr>Q45_Score</vt:lpstr>
      <vt:lpstr>Q46_answers</vt:lpstr>
      <vt:lpstr>Q46_Score</vt:lpstr>
      <vt:lpstr>Q47_answers</vt:lpstr>
      <vt:lpstr>Q47_Score</vt:lpstr>
      <vt:lpstr>Q48_answers</vt:lpstr>
      <vt:lpstr>Q48_Score</vt:lpstr>
      <vt:lpstr>Q49_answers</vt:lpstr>
      <vt:lpstr>Q49_Score</vt:lpstr>
      <vt:lpstr>Q5_answers</vt:lpstr>
      <vt:lpstr>Q5_Score</vt:lpstr>
      <vt:lpstr>Q50_answers</vt:lpstr>
      <vt:lpstr>Q50_Score</vt:lpstr>
      <vt:lpstr>Q51_answers</vt:lpstr>
      <vt:lpstr>Q51_Score</vt:lpstr>
      <vt:lpstr>Q52_answers</vt:lpstr>
      <vt:lpstr>Q52_Score</vt:lpstr>
      <vt:lpstr>Q53_answers</vt:lpstr>
      <vt:lpstr>Q53_Score</vt:lpstr>
      <vt:lpstr>Q54_answers</vt:lpstr>
      <vt:lpstr>Q54_Score</vt:lpstr>
      <vt:lpstr>Q55_answers</vt:lpstr>
      <vt:lpstr>Q55_Score</vt:lpstr>
      <vt:lpstr>Q56_answers</vt:lpstr>
      <vt:lpstr>Q56_Score</vt:lpstr>
      <vt:lpstr>Q57_answers</vt:lpstr>
      <vt:lpstr>Q57_Score</vt:lpstr>
      <vt:lpstr>Q58_answers</vt:lpstr>
      <vt:lpstr>Q58_Score</vt:lpstr>
      <vt:lpstr>Q59_answers</vt:lpstr>
      <vt:lpstr>Q59_Score</vt:lpstr>
      <vt:lpstr>Q6_answers</vt:lpstr>
      <vt:lpstr>Q6_Score</vt:lpstr>
      <vt:lpstr>Q60_answers</vt:lpstr>
      <vt:lpstr>Q60_Score</vt:lpstr>
      <vt:lpstr>Q61_answers</vt:lpstr>
      <vt:lpstr>Q61_Score</vt:lpstr>
      <vt:lpstr>Q62_answers</vt:lpstr>
      <vt:lpstr>Q62_Score</vt:lpstr>
      <vt:lpstr>Q63_answers</vt:lpstr>
      <vt:lpstr>Q63_Score</vt:lpstr>
      <vt:lpstr>Q64_answers</vt:lpstr>
      <vt:lpstr>Q64_Score</vt:lpstr>
      <vt:lpstr>Q65_answers</vt:lpstr>
      <vt:lpstr>Q65_Score</vt:lpstr>
      <vt:lpstr>Q66_answers</vt:lpstr>
      <vt:lpstr>Q66_Score</vt:lpstr>
      <vt:lpstr>Q67_answers</vt:lpstr>
      <vt:lpstr>Q67_Score</vt:lpstr>
      <vt:lpstr>Q68_answers</vt:lpstr>
      <vt:lpstr>Q68_Score</vt:lpstr>
      <vt:lpstr>Q69_answers</vt:lpstr>
      <vt:lpstr>Q69_Score</vt:lpstr>
      <vt:lpstr>Q7_answers</vt:lpstr>
      <vt:lpstr>Q7_Score</vt:lpstr>
      <vt:lpstr>Q70_answers</vt:lpstr>
      <vt:lpstr>Q70_Score</vt:lpstr>
      <vt:lpstr>Q71_answers</vt:lpstr>
      <vt:lpstr>Q71_Score</vt:lpstr>
      <vt:lpstr>Q72_answers</vt:lpstr>
      <vt:lpstr>Q72_Score</vt:lpstr>
      <vt:lpstr>Q73_answers</vt:lpstr>
      <vt:lpstr>Q73_Score</vt:lpstr>
      <vt:lpstr>Q74_answers</vt:lpstr>
      <vt:lpstr>Q74_Score</vt:lpstr>
      <vt:lpstr>Q75_answers</vt:lpstr>
      <vt:lpstr>Q75_Score</vt:lpstr>
      <vt:lpstr>Q76_answers</vt:lpstr>
      <vt:lpstr>Q76_Score</vt:lpstr>
      <vt:lpstr>Q77_answers</vt:lpstr>
      <vt:lpstr>Q77_Score</vt:lpstr>
      <vt:lpstr>Q78_answers</vt:lpstr>
      <vt:lpstr>Q78_Score</vt:lpstr>
      <vt:lpstr>Q79_answers</vt:lpstr>
      <vt:lpstr>Q79_Score</vt:lpstr>
      <vt:lpstr>Q8_answers</vt:lpstr>
      <vt:lpstr>Q8_Score</vt:lpstr>
      <vt:lpstr>Q80_answers</vt:lpstr>
      <vt:lpstr>Q80_Score</vt:lpstr>
      <vt:lpstr>Q81_answers</vt:lpstr>
      <vt:lpstr>Q81_Score</vt:lpstr>
      <vt:lpstr>Q82_answers</vt:lpstr>
      <vt:lpstr>Q82_Score</vt:lpstr>
      <vt:lpstr>Q83_answers</vt:lpstr>
      <vt:lpstr>Q83_Score</vt:lpstr>
      <vt:lpstr>Q84_answers</vt:lpstr>
      <vt:lpstr>Q84_Score</vt:lpstr>
      <vt:lpstr>Q85_answers</vt:lpstr>
      <vt:lpstr>Q85_Score</vt:lpstr>
      <vt:lpstr>Q86_answers</vt:lpstr>
      <vt:lpstr>Q86_Score</vt:lpstr>
      <vt:lpstr>Q87_answers</vt:lpstr>
      <vt:lpstr>Q87_Score</vt:lpstr>
      <vt:lpstr>Q88_answers</vt:lpstr>
      <vt:lpstr>Q88_Score</vt:lpstr>
      <vt:lpstr>Q89_answers</vt:lpstr>
      <vt:lpstr>Q89_Score</vt:lpstr>
      <vt:lpstr>Q9_answers</vt:lpstr>
      <vt:lpstr>Q9_Score</vt:lpstr>
      <vt:lpstr>Q90_answers</vt:lpstr>
      <vt:lpstr>Q90_Score</vt:lpstr>
      <vt:lpstr>Q91_answers</vt:lpstr>
      <vt:lpstr>Q91_Score</vt:lpstr>
      <vt:lpstr>Q92_answers</vt:lpstr>
      <vt:lpstr>Q92_Score</vt:lpstr>
      <vt:lpstr>Q93_answers</vt:lpstr>
      <vt:lpstr>Q93_Score</vt:lpstr>
      <vt:lpstr>Q94_answers</vt:lpstr>
      <vt:lpstr>Q94_Score</vt:lpstr>
      <vt:lpstr>Q95_answers</vt:lpstr>
      <vt:lpstr>Q95_Score</vt:lpstr>
      <vt:lpstr>Q96_answers</vt:lpstr>
      <vt:lpstr>Q96_Score</vt:lpstr>
      <vt:lpstr>Q97_answers</vt:lpstr>
      <vt:lpstr>Q97_Score</vt:lpstr>
      <vt:lpstr>Q98_answers</vt:lpstr>
      <vt:lpstr>Q98_Score</vt:lpstr>
      <vt:lpstr>Q99_answers</vt:lpstr>
      <vt:lpstr>Q99_Score</vt:lpstr>
      <vt:lpstr>QuestionList</vt:lpstr>
      <vt:lpstr>Recommendations</vt:lpstr>
      <vt:lpstr>RegulatoryReqs</vt:lpstr>
      <vt:lpstr>RiskMatrix</vt:lpstr>
      <vt:lpstr>SGRM_1_Score</vt:lpstr>
      <vt:lpstr>SGRM_2_Score</vt:lpstr>
      <vt:lpstr>SGRM_3_Score</vt:lpstr>
      <vt:lpstr>SGRM_Score</vt:lpstr>
      <vt:lpstr>SGRM_Score_Adj</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Marcelo Bertani</dc:creator>
  <cp:lastModifiedBy>Abdel Sy Fane</cp:lastModifiedBy>
  <dcterms:created xsi:type="dcterms:W3CDTF">2025-07-06T22:07:36Z</dcterms:created>
  <dcterms:modified xsi:type="dcterms:W3CDTF">2025-09-04T14:26:17Z</dcterms:modified>
</cp:coreProperties>
</file>